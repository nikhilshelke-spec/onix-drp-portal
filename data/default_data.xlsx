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<sst xmlns="http://schemas.openxmlformats.org/spreadsheetml/2006/main" count="817" uniqueCount="12">
  <si>
    <t>Employee Id</t>
  </si>
  <si>
    <t>Status</t>
  </si>
  <si>
    <t>Function</t>
  </si>
  <si>
    <t>Direct Manager Name</t>
  </si>
  <si>
    <t>Cluster/Portfolio</t>
  </si>
  <si>
    <t>DRP ID</t>
  </si>
  <si>
    <t>DRP Score</t>
  </si>
  <si>
    <t>Tier</t>
  </si>
  <si>
    <t>DRP ID Status</t>
  </si>
  <si>
    <t>Product</t>
  </si>
  <si>
    <t>ONIX Skills</t>
  </si>
  <si>
    <t>Active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</si>
</sst>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0.0"/>
      <color theme="1"/>
      <name val="Plus Jakarta Sans"/>
    </font>
    <font>
      <color theme="1"/>
      <name val="Arial"/>
    </font>
    <font>
      <sz val="10.0"/>
      <color theme="1"/>
      <name val="Plus Jakarta Sans"/>
    </font>
    <font>
      <sz val="9.0"/>
      <color theme="1"/>
      <name val="Plus Jakarta Sans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horizontal="center"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5" numFmtId="0" xfId="0" applyFont="1"/>
    <xf borderId="0" fillId="0" fontId="5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6.25"/>
    <col customWidth="1" min="9" max="9" width="9.5"/>
    <col customWidth="1" min="10" max="10" width="7.88"/>
  </cols>
  <sheetData>
    <row r="1">
      <c r="A1" s="1" t="s">
        <v>0</v>
      </c>
      <c r="B1" s="1" t="str">
        <f>IFERROR(__xludf.DUMMYFUNCTION("importrange(""1kw74ismGU34AsZ5x-W4x7F3Zt2xc8NSYcCVMrCJBmdQ"",""DRP for 8 products!A:B"")"),"Name")</f>
        <v>Name</v>
      </c>
      <c r="C1" s="1" t="str">
        <f>IFERROR(__xludf.DUMMYFUNCTION("""COMPUTED_VALUE"""),"Email")</f>
        <v>Email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2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tr">
        <f>IFERROR(__xludf.DUMMYFUNCTION("vlookup(C2,IMPORTRANGE(""1Kgoo8qyo6zMtf_5B03ksZz228jg0XpZ4_KXsdHQ4Vks"",""14 Sept!A:B""),2,0)"),"DME3295")</f>
        <v>DME3295</v>
      </c>
      <c r="B2" s="5" t="str">
        <f>IFERROR(__xludf.DUMMYFUNCTION("""COMPUTED_VALUE"""),"Aarti Chaple")</f>
        <v>Aarti Chaple</v>
      </c>
      <c r="C2" s="5" t="str">
        <f>IFERROR(__xludf.DUMMYFUNCTION("""COMPUTED_VALUE"""),"aarti.chaple@onixnet.com")</f>
        <v>aarti.chaple@onixnet.com</v>
      </c>
      <c r="D2" s="4" t="s">
        <v>11</v>
      </c>
      <c r="E2" s="6" t="str">
        <f>IFERROR(__xludf.DUMMYFUNCTION("vlookup($A2,importrange(""1fyGnaViAX9kns28pvsfPvI9925sAI7kxPlM7jpuHVJM"",""Validation!A:Z""),11,0)"),"Delivery Services")</f>
        <v>Delivery Services</v>
      </c>
      <c r="F2" s="6" t="str">
        <f>IFERROR(__xludf.DUMMYFUNCTION("vlookup($A2,importrange(""1fyGnaViAX9kns28pvsfPvI9925sAI7kxPlM7jpuHVJM"",""Validation!A:Z""),23,0)"),"Vijender Bhardwaj")</f>
        <v>Vijender Bhardwaj</v>
      </c>
      <c r="G2" s="6" t="str">
        <f>IFERROR(__xludf.DUMMYFUNCTION("vlookup(A2,importrange(""1fyGnaViAX9kns28pvsfPvI9925sAI7kxPlM7jpuHVJM"",""Validation!A:Z""),22,0)"),"Cluster - Varun")</f>
        <v>Cluster - Varun</v>
      </c>
      <c r="H2" s="4" t="str">
        <f>IFERROR(__xludf.DUMMYFUNCTION("vlookup(C2,importrange(""1kw74ismGU34AsZ5x-W4x7F3Zt2xc8NSYcCVMrCJBmdQ"",""DRP for 8 products!B:C""),2,0)"),"ONIACSMN1")</f>
        <v>ONIACSMN1</v>
      </c>
      <c r="I2" s="7">
        <f>IFERROR(__xludf.DUMMYFUNCTION("vlookup(C2,importrange(""1kw74ismGU34AsZ5x-W4x7F3Zt2xc8NSYcCVMrCJBmdQ"",""DRP for 8 products!B:E""),4,0)"),5.0)</f>
        <v>5</v>
      </c>
      <c r="J2" s="8" t="str">
        <f t="shared" ref="J2:J807" si="1">IF(I2&lt;20,"Tier 4",IF(I2&lt;35,"Tier 3",IF(I2&lt;50,"Tier 2",IF(I2&lt;=100,"Tier 1",""))))</f>
        <v>Tier 4</v>
      </c>
      <c r="K2" s="9" t="str">
        <f t="shared" ref="K2:K807" si="2">IF(I2="", "ID Not Created", IF(I2=0, "ID Created DRP score 0", IF(I2&gt;0, "Active", "")))</f>
        <v>Active</v>
      </c>
      <c r="L2" s="4" t="str">
        <f>IFERROR(__xludf.DUMMYFUNCTION("vlookup(C2,importrange(""1kw74ismGU34AsZ5x-W4x7F3Zt2xc8NSYcCVMrCJBmdQ"",""DRP for 8 products!B:H""),6,0)"),"Cloud SQL")</f>
        <v>Cloud SQL</v>
      </c>
      <c r="M2" s="10" t="str">
        <f t="shared" ref="M2:M807" si="3">IF(ISNUMBER(MATCH(TRIM(CLEAN(L2)), {"AlloyDB for PostgreSQL","BigQuery","Cloud SQL","Dataflow","Dataproc","Looker","Oracle","Spanner"}, 0)), "Yes", "No")</f>
        <v>Yes</v>
      </c>
    </row>
    <row r="3">
      <c r="A3" s="4" t="str">
        <f>IFERROR(__xludf.DUMMYFUNCTION("vlookup(C3,IMPORTRANGE(""1Kgoo8qyo6zMtf_5B03ksZz228jg0XpZ4_KXsdHQ4Vks"",""14 Sept!A:B""),2,0)"),"DME3177")</f>
        <v>DME3177</v>
      </c>
      <c r="B3" s="5" t="str">
        <f>IFERROR(__xludf.DUMMYFUNCTION("""COMPUTED_VALUE"""),"sanjay mandale")</f>
        <v>sanjay mandale</v>
      </c>
      <c r="C3" s="5" t="str">
        <f>IFERROR(__xludf.DUMMYFUNCTION("""COMPUTED_VALUE"""),"sanjay.mandale@onixnet.com")</f>
        <v>sanjay.mandale@onixnet.com</v>
      </c>
      <c r="D3" s="4" t="s">
        <v>11</v>
      </c>
      <c r="E3" s="6" t="str">
        <f>IFERROR(__xludf.DUMMYFUNCTION("vlookup($A3,importrange(""1fyGnaViAX9kns28pvsfPvI9925sAI7kxPlM7jpuHVJM"",""Validation!A:Z""),11,0)"),"Delivery Services")</f>
        <v>Delivery Services</v>
      </c>
      <c r="F3" s="6" t="str">
        <f>IFERROR(__xludf.DUMMYFUNCTION("vlookup($A3,importrange(""1fyGnaViAX9kns28pvsfPvI9925sAI7kxPlM7jpuHVJM"",""Validation!A:Z""),23,0)"),"Anubhav Sharma")</f>
        <v>Anubhav Sharma</v>
      </c>
      <c r="G3" s="6" t="str">
        <f>IFERROR(__xludf.DUMMYFUNCTION("vlookup(A3,importrange(""1fyGnaViAX9kns28pvsfPvI9925sAI7kxPlM7jpuHVJM"",""Validation!A:Z""),22,0)"),"Cluster - Varun")</f>
        <v>Cluster - Varun</v>
      </c>
      <c r="H3" s="4" t="str">
        <f>IFERROR(__xludf.DUMMYFUNCTION("vlookup(C3,importrange(""1kw74ismGU34AsZ5x-W4x7F3Zt2xc8NSYcCVMrCJBmdQ"",""DRP for 8 products!B:C""),2,0)"),"ONISMMUK9")</f>
        <v>ONISMMUK9</v>
      </c>
      <c r="I3" s="7">
        <f>IFERROR(__xludf.DUMMYFUNCTION("vlookup(C3,importrange(""1kw74ismGU34AsZ5x-W4x7F3Zt2xc8NSYcCVMrCJBmdQ"",""DRP for 8 products!B:E""),4,0)"),65.0)</f>
        <v>65</v>
      </c>
      <c r="J3" s="8" t="str">
        <f t="shared" si="1"/>
        <v>Tier 1</v>
      </c>
      <c r="K3" s="9" t="str">
        <f t="shared" si="2"/>
        <v>Active</v>
      </c>
      <c r="L3" s="4" t="str">
        <f>IFERROR(__xludf.DUMMYFUNCTION("vlookup(C3,importrange(""1kw74ismGU34AsZ5x-W4x7F3Zt2xc8NSYcCVMrCJBmdQ"",""DRP for 8 products!B:H""),6,0)"),"Cloud SQL")</f>
        <v>Cloud SQL</v>
      </c>
      <c r="M3" s="10" t="str">
        <f t="shared" si="3"/>
        <v>Yes</v>
      </c>
    </row>
    <row r="4">
      <c r="A4" s="4" t="str">
        <f>IFERROR(__xludf.DUMMYFUNCTION("vlookup(C4,IMPORTRANGE(""1Kgoo8qyo6zMtf_5B03ksZz228jg0XpZ4_KXsdHQ4Vks"",""14 Sept!A:B""),2,0)"),"DME2700")</f>
        <v>DME2700</v>
      </c>
      <c r="B4" s="5" t="str">
        <f>IFERROR(__xludf.DUMMYFUNCTION("""COMPUTED_VALUE"""),"Om Kubare")</f>
        <v>Om Kubare</v>
      </c>
      <c r="C4" s="5" t="str">
        <f>IFERROR(__xludf.DUMMYFUNCTION("""COMPUTED_VALUE"""),"om.kubare@onixnet.com")</f>
        <v>om.kubare@onixnet.com</v>
      </c>
      <c r="D4" s="4" t="s">
        <v>11</v>
      </c>
      <c r="E4" s="6" t="str">
        <f>IFERROR(__xludf.DUMMYFUNCTION("vlookup($A4,importrange(""1fyGnaViAX9kns28pvsfPvI9925sAI7kxPlM7jpuHVJM"",""Validation!A:Z""),11,0)"),"Delivery Services")</f>
        <v>Delivery Services</v>
      </c>
      <c r="F4" s="6" t="str">
        <f>IFERROR(__xludf.DUMMYFUNCTION("vlookup($A4,importrange(""1fyGnaViAX9kns28pvsfPvI9925sAI7kxPlM7jpuHVJM"",""Validation!A:Z""),23,0)"),"Sneha Bhatambrekar")</f>
        <v>Sneha Bhatambrekar</v>
      </c>
      <c r="G4" s="6" t="str">
        <f>IFERROR(__xludf.DUMMYFUNCTION("vlookup(A4,importrange(""1fyGnaViAX9kns28pvsfPvI9925sAI7kxPlM7jpuHVJM"",""Validation!A:Z""),22,0)"),"Cluster - Sandeep")</f>
        <v>Cluster - Sandeep</v>
      </c>
      <c r="H4" s="4" t="str">
        <f>IFERROR(__xludf.DUMMYFUNCTION("vlookup(C4,importrange(""1kw74ismGU34AsZ5x-W4x7F3Zt2xc8NSYcCVMrCJBmdQ"",""DRP for 8 products!B:C""),2,0)"),"ONIOKFGU4")</f>
        <v>ONIOKFGU4</v>
      </c>
      <c r="I4" s="7">
        <f>IFERROR(__xludf.DUMMYFUNCTION("vlookup(C4,importrange(""1kw74ismGU34AsZ5x-W4x7F3Zt2xc8NSYcCVMrCJBmdQ"",""DRP for 8 products!B:E""),4,0)"),12.0)</f>
        <v>12</v>
      </c>
      <c r="J4" s="8" t="str">
        <f t="shared" si="1"/>
        <v>Tier 4</v>
      </c>
      <c r="K4" s="9" t="str">
        <f t="shared" si="2"/>
        <v>Active</v>
      </c>
      <c r="L4" s="4" t="str">
        <f>IFERROR(__xludf.DUMMYFUNCTION("vlookup(C4,importrange(""1kw74ismGU34AsZ5x-W4x7F3Zt2xc8NSYcCVMrCJBmdQ"",""DRP for 8 products!B:H""),6,0)"),"Dataflow")</f>
        <v>Dataflow</v>
      </c>
      <c r="M4" s="10" t="str">
        <f t="shared" si="3"/>
        <v>Yes</v>
      </c>
    </row>
    <row r="5">
      <c r="A5" s="4" t="str">
        <f>IFERROR(__xludf.DUMMYFUNCTION("vlookup(C5,IMPORTRANGE(""1Kgoo8qyo6zMtf_5B03ksZz228jg0XpZ4_KXsdHQ4Vks"",""14 Sept!A:B""),2,0)"),"DME2121")</f>
        <v>DME2121</v>
      </c>
      <c r="B5" s="5" t="str">
        <f>IFERROR(__xludf.DUMMYFUNCTION("""COMPUTED_VALUE"""),"Nikita Yeole")</f>
        <v>Nikita Yeole</v>
      </c>
      <c r="C5" s="5" t="str">
        <f>IFERROR(__xludf.DUMMYFUNCTION("""COMPUTED_VALUE"""),"nikita.yeole@onixnet.com")</f>
        <v>nikita.yeole@onixnet.com</v>
      </c>
      <c r="D5" s="4" t="s">
        <v>11</v>
      </c>
      <c r="E5" s="6" t="str">
        <f>IFERROR(__xludf.DUMMYFUNCTION("vlookup($A5,importrange(""1fyGnaViAX9kns28pvsfPvI9925sAI7kxPlM7jpuHVJM"",""Validation!A:Z""),11,0)"),"Delivery Services")</f>
        <v>Delivery Services</v>
      </c>
      <c r="F5" s="6" t="str">
        <f>IFERROR(__xludf.DUMMYFUNCTION("vlookup($A5,importrange(""1fyGnaViAX9kns28pvsfPvI9925sAI7kxPlM7jpuHVJM"",""Validation!A:Z""),23,0)"),"Gaurav Rajpal")</f>
        <v>Gaurav Rajpal</v>
      </c>
      <c r="G5" s="6" t="str">
        <f>IFERROR(__xludf.DUMMYFUNCTION("vlookup(A5,importrange(""1fyGnaViAX9kns28pvsfPvI9925sAI7kxPlM7jpuHVJM"",""Validation!A:Z""),22,0)"),"Cluster - Sagar")</f>
        <v>Cluster - Sagar</v>
      </c>
      <c r="H5" s="4" t="str">
        <f>IFERROR(__xludf.DUMMYFUNCTION("vlookup(C5,importrange(""1kw74ismGU34AsZ5x-W4x7F3Zt2xc8NSYcCVMrCJBmdQ"",""DRP for 8 products!B:C""),2,0)"),"ONINYORV7")</f>
        <v>ONINYORV7</v>
      </c>
      <c r="I5" s="7">
        <f>IFERROR(__xludf.DUMMYFUNCTION("vlookup(C5,importrange(""1kw74ismGU34AsZ5x-W4x7F3Zt2xc8NSYcCVMrCJBmdQ"",""DRP for 8 products!B:E""),4,0)"),24.0)</f>
        <v>24</v>
      </c>
      <c r="J5" s="8" t="str">
        <f t="shared" si="1"/>
        <v>Tier 3</v>
      </c>
      <c r="K5" s="9" t="str">
        <f t="shared" si="2"/>
        <v>Active</v>
      </c>
      <c r="L5" s="4" t="str">
        <f>IFERROR(__xludf.DUMMYFUNCTION("vlookup(C5,importrange(""1kw74ismGU34AsZ5x-W4x7F3Zt2xc8NSYcCVMrCJBmdQ"",""DRP for 8 products!B:H""),6,0)"),"BigQuery")</f>
        <v>BigQuery</v>
      </c>
      <c r="M5" s="10" t="str">
        <f t="shared" si="3"/>
        <v>Yes</v>
      </c>
    </row>
    <row r="6">
      <c r="A6" s="4" t="str">
        <f>IFERROR(__xludf.DUMMYFUNCTION("vlookup(C6,IMPORTRANGE(""1Kgoo8qyo6zMtf_5B03ksZz228jg0XpZ4_KXsdHQ4Vks"",""14 Sept!A:B""),2,0)"),"DME2783")</f>
        <v>DME2783</v>
      </c>
      <c r="B6" s="5" t="str">
        <f>IFERROR(__xludf.DUMMYFUNCTION("""COMPUTED_VALUE"""),"Ankit Sayane")</f>
        <v>Ankit Sayane</v>
      </c>
      <c r="C6" s="5" t="str">
        <f>IFERROR(__xludf.DUMMYFUNCTION("""COMPUTED_VALUE"""),"ankit.sayane@onixnet.com")</f>
        <v>ankit.sayane@onixnet.com</v>
      </c>
      <c r="D6" s="4" t="s">
        <v>11</v>
      </c>
      <c r="E6" s="6" t="str">
        <f>IFERROR(__xludf.DUMMYFUNCTION("vlookup($A6,importrange(""1fyGnaViAX9kns28pvsfPvI9925sAI7kxPlM7jpuHVJM"",""Validation!A:Z""),11,0)"),"Delivery Services")</f>
        <v>Delivery Services</v>
      </c>
      <c r="F6" s="6" t="str">
        <f>IFERROR(__xludf.DUMMYFUNCTION("vlookup($A6,importrange(""1fyGnaViAX9kns28pvsfPvI9925sAI7kxPlM7jpuHVJM"",""Validation!A:Z""),23,0)"),"Amit Malav")</f>
        <v>Amit Malav</v>
      </c>
      <c r="G6" s="6" t="str">
        <f>IFERROR(__xludf.DUMMYFUNCTION("vlookup(A6,importrange(""1fyGnaViAX9kns28pvsfPvI9925sAI7kxPlM7jpuHVJM"",""Validation!A:Z""),22,0)"),"Cluster - Gaurav")</f>
        <v>Cluster - Gaurav</v>
      </c>
      <c r="H6" s="4" t="str">
        <f>IFERROR(__xludf.DUMMYFUNCTION("vlookup(C6,importrange(""1kw74ismGU34AsZ5x-W4x7F3Zt2xc8NSYcCVMrCJBmdQ"",""DRP for 8 products!B:C""),2,0)"),"ONIASLAB5")</f>
        <v>ONIASLAB5</v>
      </c>
      <c r="I6" s="7">
        <f>IFERROR(__xludf.DUMMYFUNCTION("vlookup(C6,importrange(""1kw74ismGU34AsZ5x-W4x7F3Zt2xc8NSYcCVMrCJBmdQ"",""DRP for 8 products!B:E""),4,0)"),62.0)</f>
        <v>62</v>
      </c>
      <c r="J6" s="8" t="str">
        <f t="shared" si="1"/>
        <v>Tier 1</v>
      </c>
      <c r="K6" s="9" t="str">
        <f t="shared" si="2"/>
        <v>Active</v>
      </c>
      <c r="L6" s="4" t="str">
        <f>IFERROR(__xludf.DUMMYFUNCTION("vlookup(C6,importrange(""1kw74ismGU34AsZ5x-W4x7F3Zt2xc8NSYcCVMrCJBmdQ"",""DRP for 8 products!B:H""),6,0)"),"BigQuery")</f>
        <v>BigQuery</v>
      </c>
      <c r="M6" s="10" t="str">
        <f t="shared" si="3"/>
        <v>Yes</v>
      </c>
    </row>
    <row r="7">
      <c r="A7" s="4" t="str">
        <f>IFERROR(__xludf.DUMMYFUNCTION("vlookup(C7,IMPORTRANGE(""1Kgoo8qyo6zMtf_5B03ksZz228jg0XpZ4_KXsdHQ4Vks"",""14 Sept!A:B""),2,0)"),"DME1159")</f>
        <v>DME1159</v>
      </c>
      <c r="B7" s="5" t="str">
        <f>IFERROR(__xludf.DUMMYFUNCTION("""COMPUTED_VALUE"""),"Chandra Emula")</f>
        <v>Chandra Emula</v>
      </c>
      <c r="C7" s="5" t="str">
        <f>IFERROR(__xludf.DUMMYFUNCTION("""COMPUTED_VALUE"""),"chandra.emula@onixnet.com")</f>
        <v>chandra.emula@onixnet.com</v>
      </c>
      <c r="D7" s="4" t="s">
        <v>11</v>
      </c>
      <c r="E7" s="6" t="str">
        <f>IFERROR(__xludf.DUMMYFUNCTION("vlookup($A7,importrange(""1fyGnaViAX9kns28pvsfPvI9925sAI7kxPlM7jpuHVJM"",""Validation!A:Z""),11,0)"),"Delivery Services")</f>
        <v>Delivery Services</v>
      </c>
      <c r="F7" s="6" t="str">
        <f>IFERROR(__xludf.DUMMYFUNCTION("vlookup($A7,importrange(""1fyGnaViAX9kns28pvsfPvI9925sAI7kxPlM7jpuHVJM"",""Validation!A:Z""),23,0)"),"Aakash Vinod Tolani")</f>
        <v>Aakash Vinod Tolani</v>
      </c>
      <c r="G7" s="6" t="str">
        <f>IFERROR(__xludf.DUMMYFUNCTION("vlookup(A7,importrange(""1fyGnaViAX9kns28pvsfPvI9925sAI7kxPlM7jpuHVJM"",""Validation!A:Z""),22,0)"),"Cluster - Shreepad")</f>
        <v>Cluster - Shreepad</v>
      </c>
      <c r="H7" s="4" t="str">
        <f>IFERROR(__xludf.DUMMYFUNCTION("vlookup(C7,importrange(""1kw74ismGU34AsZ5x-W4x7F3Zt2xc8NSYcCVMrCJBmdQ"",""DRP for 8 products!B:C""),2,0)"),"ONICEMYK3")</f>
        <v>ONICEMYK3</v>
      </c>
      <c r="I7" s="7">
        <f>IFERROR(__xludf.DUMMYFUNCTION("vlookup(C7,importrange(""1kw74ismGU34AsZ5x-W4x7F3Zt2xc8NSYcCVMrCJBmdQ"",""DRP for 8 products!B:E""),4,0)"),19.0)</f>
        <v>19</v>
      </c>
      <c r="J7" s="8" t="str">
        <f t="shared" si="1"/>
        <v>Tier 4</v>
      </c>
      <c r="K7" s="9" t="str">
        <f t="shared" si="2"/>
        <v>Active</v>
      </c>
      <c r="L7" s="4" t="str">
        <f>IFERROR(__xludf.DUMMYFUNCTION("vlookup(C7,importrange(""1kw74ismGU34AsZ5x-W4x7F3Zt2xc8NSYcCVMrCJBmdQ"",""DRP for 8 products!B:H""),6,0)"),"BigQuery")</f>
        <v>BigQuery</v>
      </c>
      <c r="M7" s="10" t="str">
        <f t="shared" si="3"/>
        <v>Yes</v>
      </c>
    </row>
    <row r="8">
      <c r="A8" s="4" t="str">
        <f>IFERROR(__xludf.DUMMYFUNCTION("vlookup(C8,IMPORTRANGE(""1Kgoo8qyo6zMtf_5B03ksZz228jg0XpZ4_KXsdHQ4Vks"",""14 Sept!A:B""),2,0)"),"DME2475")</f>
        <v>DME2475</v>
      </c>
      <c r="B8" s="5" t="str">
        <f>IFERROR(__xludf.DUMMYFUNCTION("""COMPUTED_VALUE"""),"kiran tengle")</f>
        <v>kiran tengle</v>
      </c>
      <c r="C8" s="5" t="str">
        <f>IFERROR(__xludf.DUMMYFUNCTION("""COMPUTED_VALUE"""),"kiran.tengle@onixnet.com")</f>
        <v>kiran.tengle@onixnet.com</v>
      </c>
      <c r="D8" s="4" t="s">
        <v>11</v>
      </c>
      <c r="E8" s="6" t="str">
        <f>IFERROR(__xludf.DUMMYFUNCTION("vlookup($A8,importrange(""1fyGnaViAX9kns28pvsfPvI9925sAI7kxPlM7jpuHVJM"",""Validation!A:Z""),11,0)"),"Delivery Services")</f>
        <v>Delivery Services</v>
      </c>
      <c r="F8" s="6" t="str">
        <f>IFERROR(__xludf.DUMMYFUNCTION("vlookup($A8,importrange(""1fyGnaViAX9kns28pvsfPvI9925sAI7kxPlM7jpuHVJM"",""Validation!A:Z""),23,0)"),"Aakash Vinod Tolani")</f>
        <v>Aakash Vinod Tolani</v>
      </c>
      <c r="G8" s="6" t="str">
        <f>IFERROR(__xludf.DUMMYFUNCTION("vlookup(A8,importrange(""1fyGnaViAX9kns28pvsfPvI9925sAI7kxPlM7jpuHVJM"",""Validation!A:Z""),22,0)"),"Cluster - Shreepad")</f>
        <v>Cluster - Shreepad</v>
      </c>
      <c r="H8" s="4" t="str">
        <f>IFERROR(__xludf.DUMMYFUNCTION("vlookup(C8,importrange(""1kw74ismGU34AsZ5x-W4x7F3Zt2xc8NSYcCVMrCJBmdQ"",""DRP for 8 products!B:C""),2,0)"),"ONIKTZUZ7")</f>
        <v>ONIKTZUZ7</v>
      </c>
      <c r="I8" s="7">
        <f>IFERROR(__xludf.DUMMYFUNCTION("vlookup(C8,importrange(""1kw74ismGU34AsZ5x-W4x7F3Zt2xc8NSYcCVMrCJBmdQ"",""DRP for 8 products!B:E""),4,0)"),27.0)</f>
        <v>27</v>
      </c>
      <c r="J8" s="8" t="str">
        <f t="shared" si="1"/>
        <v>Tier 3</v>
      </c>
      <c r="K8" s="9" t="str">
        <f t="shared" si="2"/>
        <v>Active</v>
      </c>
      <c r="L8" s="4" t="str">
        <f>IFERROR(__xludf.DUMMYFUNCTION("vlookup(C8,importrange(""1kw74ismGU34AsZ5x-W4x7F3Zt2xc8NSYcCVMrCJBmdQ"",""DRP for 8 products!B:H""),6,0)"),"BigQuery")</f>
        <v>BigQuery</v>
      </c>
      <c r="M8" s="10" t="str">
        <f t="shared" si="3"/>
        <v>Yes</v>
      </c>
    </row>
    <row r="9">
      <c r="A9" s="4" t="str">
        <f>IFERROR(__xludf.DUMMYFUNCTION("vlookup(C9,IMPORTRANGE(""1Kgoo8qyo6zMtf_5B03ksZz228jg0XpZ4_KXsdHQ4Vks"",""14 Sept!A:B""),2,0)"),"DME2514")</f>
        <v>DME2514</v>
      </c>
      <c r="B9" s="5" t="str">
        <f>IFERROR(__xludf.DUMMYFUNCTION("""COMPUTED_VALUE"""),"mohan rao veluduti")</f>
        <v>mohan rao veluduti</v>
      </c>
      <c r="C9" s="5" t="str">
        <f>IFERROR(__xludf.DUMMYFUNCTION("""COMPUTED_VALUE"""),"mohan.veluduti@onixnet.com")</f>
        <v>mohan.veluduti@onixnet.com</v>
      </c>
      <c r="D9" s="4" t="s">
        <v>11</v>
      </c>
      <c r="E9" s="6" t="str">
        <f>IFERROR(__xludf.DUMMYFUNCTION("vlookup($A9,importrange(""1fyGnaViAX9kns28pvsfPvI9925sAI7kxPlM7jpuHVJM"",""Validation!A:Z""),11,0)"),"Delivery Services")</f>
        <v>Delivery Services</v>
      </c>
      <c r="F9" s="6" t="str">
        <f>IFERROR(__xludf.DUMMYFUNCTION("vlookup($A9,importrange(""1fyGnaViAX9kns28pvsfPvI9925sAI7kxPlM7jpuHVJM"",""Validation!A:Z""),23,0)"),"Kamal Amrutham")</f>
        <v>Kamal Amrutham</v>
      </c>
      <c r="G9" s="6" t="str">
        <f>IFERROR(__xludf.DUMMYFUNCTION("vlookup(A9,importrange(""1fyGnaViAX9kns28pvsfPvI9925sAI7kxPlM7jpuHVJM"",""Validation!A:Z""),22,0)"),"Cluster - Shreepad")</f>
        <v>Cluster - Shreepad</v>
      </c>
      <c r="H9" s="4" t="str">
        <f>IFERROR(__xludf.DUMMYFUNCTION("vlookup(C9,importrange(""1kw74ismGU34AsZ5x-W4x7F3Zt2xc8NSYcCVMrCJBmdQ"",""DRP for 8 products!B:C""),2,0)"),"ONIMVJWC1")</f>
        <v>ONIMVJWC1</v>
      </c>
      <c r="I9" s="7">
        <f>IFERROR(__xludf.DUMMYFUNCTION("vlookup(C9,importrange(""1kw74ismGU34AsZ5x-W4x7F3Zt2xc8NSYcCVMrCJBmdQ"",""DRP for 8 products!B:E""),4,0)"),59.0)</f>
        <v>59</v>
      </c>
      <c r="J9" s="8" t="str">
        <f t="shared" si="1"/>
        <v>Tier 1</v>
      </c>
      <c r="K9" s="9" t="str">
        <f t="shared" si="2"/>
        <v>Active</v>
      </c>
      <c r="L9" s="4" t="str">
        <f>IFERROR(__xludf.DUMMYFUNCTION("vlookup(C9,importrange(""1kw74ismGU34AsZ5x-W4x7F3Zt2xc8NSYcCVMrCJBmdQ"",""DRP for 8 products!B:H""),6,0)"),"BigQuery")</f>
        <v>BigQuery</v>
      </c>
      <c r="M9" s="10" t="str">
        <f t="shared" si="3"/>
        <v>Yes</v>
      </c>
    </row>
    <row r="10">
      <c r="A10" s="4" t="str">
        <f>IFERROR(__xludf.DUMMYFUNCTION("vlookup(C10,IMPORTRANGE(""1Kgoo8qyo6zMtf_5B03ksZz228jg0XpZ4_KXsdHQ4Vks"",""14 Sept!A:B""),2,0)"),"DME2489")</f>
        <v>DME2489</v>
      </c>
      <c r="B10" s="5" t="str">
        <f>IFERROR(__xludf.DUMMYFUNCTION("""COMPUTED_VALUE"""),"Rushikesh Shinde")</f>
        <v>Rushikesh Shinde</v>
      </c>
      <c r="C10" s="5" t="str">
        <f>IFERROR(__xludf.DUMMYFUNCTION("""COMPUTED_VALUE"""),"rushikesh.shinde@onixnet.com")</f>
        <v>rushikesh.shinde@onixnet.com</v>
      </c>
      <c r="D10" s="4" t="s">
        <v>11</v>
      </c>
      <c r="E10" s="6" t="str">
        <f>IFERROR(__xludf.DUMMYFUNCTION("vlookup($A10,importrange(""1fyGnaViAX9kns28pvsfPvI9925sAI7kxPlM7jpuHVJM"",""Validation!A:Z""),11,0)"),"Delivery Services")</f>
        <v>Delivery Services</v>
      </c>
      <c r="F10" s="6" t="str">
        <f>IFERROR(__xludf.DUMMYFUNCTION("vlookup($A10,importrange(""1fyGnaViAX9kns28pvsfPvI9925sAI7kxPlM7jpuHVJM"",""Validation!A:Z""),23,0)"),"Manoj Patil")</f>
        <v>Manoj Patil</v>
      </c>
      <c r="G10" s="6" t="str">
        <f>IFERROR(__xludf.DUMMYFUNCTION("vlookup(A10,importrange(""1fyGnaViAX9kns28pvsfPvI9925sAI7kxPlM7jpuHVJM"",""Validation!A:Z""),22,0)"),"Cluster - Shreepad")</f>
        <v>Cluster - Shreepad</v>
      </c>
      <c r="H10" s="4" t="str">
        <f>IFERROR(__xludf.DUMMYFUNCTION("vlookup(C10,importrange(""1kw74ismGU34AsZ5x-W4x7F3Zt2xc8NSYcCVMrCJBmdQ"",""DRP for 8 products!B:C""),2,0)"),"ONIRSOPZ8")</f>
        <v>ONIRSOPZ8</v>
      </c>
      <c r="I10" s="7">
        <f>IFERROR(__xludf.DUMMYFUNCTION("vlookup(C10,importrange(""1kw74ismGU34AsZ5x-W4x7F3Zt2xc8NSYcCVMrCJBmdQ"",""DRP for 8 products!B:E""),4,0)"),37.0)</f>
        <v>37</v>
      </c>
      <c r="J10" s="8" t="str">
        <f t="shared" si="1"/>
        <v>Tier 2</v>
      </c>
      <c r="K10" s="9" t="str">
        <f t="shared" si="2"/>
        <v>Active</v>
      </c>
      <c r="L10" s="4" t="str">
        <f>IFERROR(__xludf.DUMMYFUNCTION("vlookup(C10,importrange(""1kw74ismGU34AsZ5x-W4x7F3Zt2xc8NSYcCVMrCJBmdQ"",""DRP for 8 products!B:H""),6,0)"),"BigQuery")</f>
        <v>BigQuery</v>
      </c>
      <c r="M10" s="10" t="str">
        <f t="shared" si="3"/>
        <v>Yes</v>
      </c>
    </row>
    <row r="11">
      <c r="A11" s="4" t="str">
        <f>IFERROR(__xludf.DUMMYFUNCTION("vlookup(C11,IMPORTRANGE(""1Kgoo8qyo6zMtf_5B03ksZz228jg0XpZ4_KXsdHQ4Vks"",""14 Sept!A:B""),2,0)"),"DME2174")</f>
        <v>DME2174</v>
      </c>
      <c r="B11" s="5" t="str">
        <f>IFERROR(__xludf.DUMMYFUNCTION("""COMPUTED_VALUE"""),"Utkarsha Talele")</f>
        <v>Utkarsha Talele</v>
      </c>
      <c r="C11" s="5" t="str">
        <f>IFERROR(__xludf.DUMMYFUNCTION("""COMPUTED_VALUE"""),"utkarsha.talele@onixnet.com")</f>
        <v>utkarsha.talele@onixnet.com</v>
      </c>
      <c r="D11" s="4" t="s">
        <v>11</v>
      </c>
      <c r="E11" s="6" t="str">
        <f>IFERROR(__xludf.DUMMYFUNCTION("vlookup($A11,importrange(""1fyGnaViAX9kns28pvsfPvI9925sAI7kxPlM7jpuHVJM"",""Validation!A:Z""),11,0)"),"Delivery Services")</f>
        <v>Delivery Services</v>
      </c>
      <c r="F11" s="6" t="str">
        <f>IFERROR(__xludf.DUMMYFUNCTION("vlookup($A11,importrange(""1fyGnaViAX9kns28pvsfPvI9925sAI7kxPlM7jpuHVJM"",""Validation!A:Z""),23,0)"),"Jitender Singh")</f>
        <v>Jitender Singh</v>
      </c>
      <c r="G11" s="6" t="str">
        <f>IFERROR(__xludf.DUMMYFUNCTION("vlookup(A11,importrange(""1fyGnaViAX9kns28pvsfPvI9925sAI7kxPlM7jpuHVJM"",""Validation!A:Z""),22,0)"),"Cluster - Gaurav")</f>
        <v>Cluster - Gaurav</v>
      </c>
      <c r="H11" s="4" t="str">
        <f>IFERROR(__xludf.DUMMYFUNCTION("vlookup(C11,importrange(""1kw74ismGU34AsZ5x-W4x7F3Zt2xc8NSYcCVMrCJBmdQ"",""DRP for 8 products!B:C""),2,0)"),"ONIUTZNM9")</f>
        <v>ONIUTZNM9</v>
      </c>
      <c r="I11" s="7">
        <f>IFERROR(__xludf.DUMMYFUNCTION("vlookup(C11,importrange(""1kw74ismGU34AsZ5x-W4x7F3Zt2xc8NSYcCVMrCJBmdQ"",""DRP for 8 products!B:E""),4,0)"),20.0)</f>
        <v>20</v>
      </c>
      <c r="J11" s="8" t="str">
        <f t="shared" si="1"/>
        <v>Tier 3</v>
      </c>
      <c r="K11" s="9" t="str">
        <f t="shared" si="2"/>
        <v>Active</v>
      </c>
      <c r="L11" s="4" t="str">
        <f>IFERROR(__xludf.DUMMYFUNCTION("vlookup(C11,importrange(""1kw74ismGU34AsZ5x-W4x7F3Zt2xc8NSYcCVMrCJBmdQ"",""DRP for 8 products!B:H""),6,0)"),"BigQuery")</f>
        <v>BigQuery</v>
      </c>
      <c r="M11" s="10" t="str">
        <f t="shared" si="3"/>
        <v>Yes</v>
      </c>
    </row>
    <row r="12">
      <c r="A12" s="4" t="str">
        <f>IFERROR(__xludf.DUMMYFUNCTION("vlookup(C12,IMPORTRANGE(""1Kgoo8qyo6zMtf_5B03ksZz228jg0XpZ4_KXsdHQ4Vks"",""14 Sept!A:B""),2,0)"),"ONIX747")</f>
        <v>ONIX747</v>
      </c>
      <c r="B12" s="5" t="str">
        <f>IFERROR(__xludf.DUMMYFUNCTION("""COMPUTED_VALUE"""),"Vipul Sharma")</f>
        <v>Vipul Sharma</v>
      </c>
      <c r="C12" s="5" t="str">
        <f>IFERROR(__xludf.DUMMYFUNCTION("""COMPUTED_VALUE"""),"vipul.sharma@onixnet.com")</f>
        <v>vipul.sharma@onixnet.com</v>
      </c>
      <c r="D12" s="4" t="s">
        <v>11</v>
      </c>
      <c r="E12" s="6" t="str">
        <f>IFERROR(__xludf.DUMMYFUNCTION("vlookup($A12,importrange(""1fyGnaViAX9kns28pvsfPvI9925sAI7kxPlM7jpuHVJM"",""Validation!A:Z""),11,0)"),"Solution Management")</f>
        <v>Solution Management</v>
      </c>
      <c r="F12" s="6" t="str">
        <f>IFERROR(__xludf.DUMMYFUNCTION("vlookup($A12,importrange(""1fyGnaViAX9kns28pvsfPvI9925sAI7kxPlM7jpuHVJM"",""Validation!A:Z""),23,0)"),"Venkat Srinivasan")</f>
        <v>Venkat Srinivasan</v>
      </c>
      <c r="G12" s="6" t="str">
        <f>IFERROR(__xludf.DUMMYFUNCTION("vlookup(A12,importrange(""1fyGnaViAX9kns28pvsfPvI9925sAI7kxPlM7jpuHVJM"",""Validation!A:Z""),22,0)"),"Portfolio - Rajesh")</f>
        <v>Portfolio - Rajesh</v>
      </c>
      <c r="H12" s="4" t="str">
        <f>IFERROR(__xludf.DUMMYFUNCTION("vlookup(C12,importrange(""1kw74ismGU34AsZ5x-W4x7F3Zt2xc8NSYcCVMrCJBmdQ"",""DRP for 8 products!B:C""),2,0)"),"ONIVSMTU9")</f>
        <v>ONIVSMTU9</v>
      </c>
      <c r="I12" s="7">
        <f>IFERROR(__xludf.DUMMYFUNCTION("vlookup(C12,importrange(""1kw74ismGU34AsZ5x-W4x7F3Zt2xc8NSYcCVMrCJBmdQ"",""DRP for 8 products!B:E""),4,0)"),19.0)</f>
        <v>19</v>
      </c>
      <c r="J12" s="8" t="str">
        <f t="shared" si="1"/>
        <v>Tier 4</v>
      </c>
      <c r="K12" s="9" t="str">
        <f t="shared" si="2"/>
        <v>Active</v>
      </c>
      <c r="L12" s="4" t="str">
        <f>IFERROR(__xludf.DUMMYFUNCTION("vlookup(C12,importrange(""1kw74ismGU34AsZ5x-W4x7F3Zt2xc8NSYcCVMrCJBmdQ"",""DRP for 8 products!B:H""),6,0)"),"BigQuery")</f>
        <v>BigQuery</v>
      </c>
      <c r="M12" s="10" t="str">
        <f t="shared" si="3"/>
        <v>Yes</v>
      </c>
    </row>
    <row r="13">
      <c r="A13" s="4" t="str">
        <f>IFERROR(__xludf.DUMMYFUNCTION("vlookup(C13,IMPORTRANGE(""1Kgoo8qyo6zMtf_5B03ksZz228jg0XpZ4_KXsdHQ4Vks"",""14 Sept!A:B""),2,0)"),"DME3401")</f>
        <v>DME3401</v>
      </c>
      <c r="B13" s="5" t="str">
        <f>IFERROR(__xludf.DUMMYFUNCTION("""COMPUTED_VALUE"""),"Om Shinde")</f>
        <v>Om Shinde</v>
      </c>
      <c r="C13" s="5" t="str">
        <f>IFERROR(__xludf.DUMMYFUNCTION("""COMPUTED_VALUE"""),"om.shinde@onixnet.com")</f>
        <v>om.shinde@onixnet.com</v>
      </c>
      <c r="D13" s="4" t="s">
        <v>11</v>
      </c>
      <c r="E13" s="6" t="str">
        <f>IFERROR(__xludf.DUMMYFUNCTION("vlookup($A13,importrange(""1fyGnaViAX9kns28pvsfPvI9925sAI7kxPlM7jpuHVJM"",""Validation!A:Z""),11,0)"),"Delivery Services")</f>
        <v>Delivery Services</v>
      </c>
      <c r="F13" s="6" t="str">
        <f>IFERROR(__xludf.DUMMYFUNCTION("vlookup($A13,importrange(""1fyGnaViAX9kns28pvsfPvI9925sAI7kxPlM7jpuHVJM"",""Validation!A:Z""),23,0)"),"Lokesh Bhardwaj")</f>
        <v>Lokesh Bhardwaj</v>
      </c>
      <c r="G13" s="6" t="str">
        <f>IFERROR(__xludf.DUMMYFUNCTION("vlookup(A13,importrange(""1fyGnaViAX9kns28pvsfPvI9925sAI7kxPlM7jpuHVJM"",""Validation!A:Z""),22,0)"),"Cluster - Kalpa")</f>
        <v>Cluster - Kalpa</v>
      </c>
      <c r="H13" s="4" t="str">
        <f>IFERROR(__xludf.DUMMYFUNCTION("vlookup(C13,importrange(""1kw74ismGU34AsZ5x-W4x7F3Zt2xc8NSYcCVMrCJBmdQ"",""DRP for 8 products!B:C""),2,0)"),"ONIOSYRQ0")</f>
        <v>ONIOSYRQ0</v>
      </c>
      <c r="I13" s="7">
        <f>IFERROR(__xludf.DUMMYFUNCTION("vlookup(C13,importrange(""1kw74ismGU34AsZ5x-W4x7F3Zt2xc8NSYcCVMrCJBmdQ"",""DRP for 8 products!B:E""),4,0)"),36.0)</f>
        <v>36</v>
      </c>
      <c r="J13" s="8" t="str">
        <f t="shared" si="1"/>
        <v>Tier 2</v>
      </c>
      <c r="K13" s="9" t="str">
        <f t="shared" si="2"/>
        <v>Active</v>
      </c>
      <c r="L13" s="4" t="str">
        <f>IFERROR(__xludf.DUMMYFUNCTION("vlookup(C13,importrange(""1kw74ismGU34AsZ5x-W4x7F3Zt2xc8NSYcCVMrCJBmdQ"",""DRP for 8 products!B:H""),6,0)"),"BigQuery")</f>
        <v>BigQuery</v>
      </c>
      <c r="M13" s="10" t="str">
        <f t="shared" si="3"/>
        <v>Yes</v>
      </c>
    </row>
    <row r="14">
      <c r="A14" s="4" t="str">
        <f>IFERROR(__xludf.DUMMYFUNCTION("vlookup(C14,IMPORTRANGE(""1Kgoo8qyo6zMtf_5B03ksZz228jg0XpZ4_KXsdHQ4Vks"",""14 Sept!A:B""),2,0)"),"DME1796")</f>
        <v>DME1796</v>
      </c>
      <c r="B14" s="5" t="str">
        <f>IFERROR(__xludf.DUMMYFUNCTION("""COMPUTED_VALUE"""),"Ashutosh Shitole")</f>
        <v>Ashutosh Shitole</v>
      </c>
      <c r="C14" s="5" t="str">
        <f>IFERROR(__xludf.DUMMYFUNCTION("""COMPUTED_VALUE"""),"ashutosh.shitole@onixnet.com")</f>
        <v>ashutosh.shitole@onixnet.com</v>
      </c>
      <c r="D14" s="4" t="s">
        <v>11</v>
      </c>
      <c r="E14" s="6" t="str">
        <f>IFERROR(__xludf.DUMMYFUNCTION("vlookup($A14,importrange(""1fyGnaViAX9kns28pvsfPvI9925sAI7kxPlM7jpuHVJM"",""Validation!A:Z""),11,0)"),"Eagle Assessment")</f>
        <v>Eagle Assessment</v>
      </c>
      <c r="F14" s="6" t="str">
        <f>IFERROR(__xludf.DUMMYFUNCTION("vlookup($A14,importrange(""1fyGnaViAX9kns28pvsfPvI9925sAI7kxPlM7jpuHVJM"",""Validation!A:Z""),23,0)"),"Lokesh Bhardwaj")</f>
        <v>Lokesh Bhardwaj</v>
      </c>
      <c r="G14" s="6" t="str">
        <f>IFERROR(__xludf.DUMMYFUNCTION("vlookup(A14,importrange(""1fyGnaViAX9kns28pvsfPvI9925sAI7kxPlM7jpuHVJM"",""Validation!A:Z""),22,0)"),"Cluster - Kalpa")</f>
        <v>Cluster - Kalpa</v>
      </c>
      <c r="H14" s="4" t="str">
        <f>IFERROR(__xludf.DUMMYFUNCTION("vlookup(C14,importrange(""1kw74ismGU34AsZ5x-W4x7F3Zt2xc8NSYcCVMrCJBmdQ"",""DRP for 8 products!B:C""),2,0)"),"ONIASRKZ0")</f>
        <v>ONIASRKZ0</v>
      </c>
      <c r="I14" s="7">
        <f>IFERROR(__xludf.DUMMYFUNCTION("vlookup(C14,importrange(""1kw74ismGU34AsZ5x-W4x7F3Zt2xc8NSYcCVMrCJBmdQ"",""DRP for 8 products!B:E""),4,0)"),68.0)</f>
        <v>68</v>
      </c>
      <c r="J14" s="8" t="str">
        <f t="shared" si="1"/>
        <v>Tier 1</v>
      </c>
      <c r="K14" s="9" t="str">
        <f t="shared" si="2"/>
        <v>Active</v>
      </c>
      <c r="L14" s="4" t="str">
        <f>IFERROR(__xludf.DUMMYFUNCTION("vlookup(C14,importrange(""1kw74ismGU34AsZ5x-W4x7F3Zt2xc8NSYcCVMrCJBmdQ"",""DRP for 8 products!B:H""),6,0)"),"BigQuery")</f>
        <v>BigQuery</v>
      </c>
      <c r="M14" s="10" t="str">
        <f t="shared" si="3"/>
        <v>Yes</v>
      </c>
    </row>
    <row r="15">
      <c r="A15" s="4" t="str">
        <f>IFERROR(__xludf.DUMMYFUNCTION("vlookup(C15,IMPORTRANGE(""1Kgoo8qyo6zMtf_5B03ksZz228jg0XpZ4_KXsdHQ4Vks"",""14 Sept!A:B""),2,0)"),"DME2106")</f>
        <v>DME2106</v>
      </c>
      <c r="B15" s="5" t="str">
        <f>IFERROR(__xludf.DUMMYFUNCTION("""COMPUTED_VALUE"""),"Ajinkya Patil")</f>
        <v>Ajinkya Patil</v>
      </c>
      <c r="C15" s="5" t="str">
        <f>IFERROR(__xludf.DUMMYFUNCTION("""COMPUTED_VALUE"""),"ajinkya.patil@onixnet.com")</f>
        <v>ajinkya.patil@onixnet.com</v>
      </c>
      <c r="D15" s="4" t="s">
        <v>11</v>
      </c>
      <c r="E15" s="6" t="str">
        <f>IFERROR(__xludf.DUMMYFUNCTION("vlookup($A15,importrange(""1fyGnaViAX9kns28pvsfPvI9925sAI7kxPlM7jpuHVJM"",""Validation!A:Z""),11,0)"),"Product Engineering")</f>
        <v>Product Engineering</v>
      </c>
      <c r="F15" s="6" t="str">
        <f>IFERROR(__xludf.DUMMYFUNCTION("vlookup($A15,importrange(""1fyGnaViAX9kns28pvsfPvI9925sAI7kxPlM7jpuHVJM"",""Validation!A:Z""),23,0)"),"Yogendra Singh")</f>
        <v>Yogendra Singh</v>
      </c>
      <c r="G15" s="6" t="str">
        <f>IFERROR(__xludf.DUMMYFUNCTION("vlookup(A15,importrange(""1fyGnaViAX9kns28pvsfPvI9925sAI7kxPlM7jpuHVJM"",""Validation!A:Z""),22,0)"),"Cluster - Mayur")</f>
        <v>Cluster - Mayur</v>
      </c>
      <c r="H15" s="4" t="str">
        <f>IFERROR(__xludf.DUMMYFUNCTION("vlookup(C15,importrange(""1kw74ismGU34AsZ5x-W4x7F3Zt2xc8NSYcCVMrCJBmdQ"",""DRP for 8 products!B:C""),2,0)"),"ONIAPRGZ9")</f>
        <v>ONIAPRGZ9</v>
      </c>
      <c r="I15" s="7">
        <f>IFERROR(__xludf.DUMMYFUNCTION("vlookup(C15,importrange(""1kw74ismGU34AsZ5x-W4x7F3Zt2xc8NSYcCVMrCJBmdQ"",""DRP for 8 products!B:E""),4,0)"),10.0)</f>
        <v>10</v>
      </c>
      <c r="J15" s="8" t="str">
        <f t="shared" si="1"/>
        <v>Tier 4</v>
      </c>
      <c r="K15" s="9" t="str">
        <f t="shared" si="2"/>
        <v>Active</v>
      </c>
      <c r="L15" s="4" t="str">
        <f>IFERROR(__xludf.DUMMYFUNCTION("vlookup(C15,importrange(""1kw74ismGU34AsZ5x-W4x7F3Zt2xc8NSYcCVMrCJBmdQ"",""DRP for 8 products!B:H""),6,0)"),"AlloyDB for PostgreSQL")</f>
        <v>AlloyDB for PostgreSQL</v>
      </c>
      <c r="M15" s="10" t="str">
        <f t="shared" si="3"/>
        <v>Yes</v>
      </c>
    </row>
    <row r="16">
      <c r="A16" s="4" t="str">
        <f>IFERROR(__xludf.DUMMYFUNCTION("vlookup(C16,IMPORTRANGE(""1Kgoo8qyo6zMtf_5B03ksZz228jg0XpZ4_KXsdHQ4Vks"",""14 Sept!A:B""),2,0)"),"DME2290")</f>
        <v>DME2290</v>
      </c>
      <c r="B16" s="5" t="str">
        <f>IFERROR(__xludf.DUMMYFUNCTION("""COMPUTED_VALUE"""),"Chaitanya Patil")</f>
        <v>Chaitanya Patil</v>
      </c>
      <c r="C16" s="5" t="str">
        <f>IFERROR(__xludf.DUMMYFUNCTION("""COMPUTED_VALUE"""),"chaitanya.patil@onixnet.com")</f>
        <v>chaitanya.patil@onixnet.com</v>
      </c>
      <c r="D16" s="4" t="s">
        <v>11</v>
      </c>
      <c r="E16" s="6" t="str">
        <f>IFERROR(__xludf.DUMMYFUNCTION("vlookup($A16,importrange(""1fyGnaViAX9kns28pvsfPvI9925sAI7kxPlM7jpuHVJM"",""Validation!A:Z""),11,0)"),"Delivery Services")</f>
        <v>Delivery Services</v>
      </c>
      <c r="F16" s="6" t="str">
        <f>IFERROR(__xludf.DUMMYFUNCTION("vlookup($A16,importrange(""1fyGnaViAX9kns28pvsfPvI9925sAI7kxPlM7jpuHVJM"",""Validation!A:Z""),23,0)"),"Vipul Nilapwar")</f>
        <v>Vipul Nilapwar</v>
      </c>
      <c r="G16" s="6" t="str">
        <f>IFERROR(__xludf.DUMMYFUNCTION("vlookup(A16,importrange(""1fyGnaViAX9kns28pvsfPvI9925sAI7kxPlM7jpuHVJM"",""Validation!A:Z""),22,0)"),"Cluster - Sachin")</f>
        <v>Cluster - Sachin</v>
      </c>
      <c r="H16" s="4" t="str">
        <f>IFERROR(__xludf.DUMMYFUNCTION("vlookup(C16,importrange(""1kw74ismGU34AsZ5x-W4x7F3Zt2xc8NSYcCVMrCJBmdQ"",""DRP for 8 products!B:C""),2,0)"),"ONICPIQT8")</f>
        <v>ONICPIQT8</v>
      </c>
      <c r="I16" s="7">
        <f>IFERROR(__xludf.DUMMYFUNCTION("vlookup(C16,importrange(""1kw74ismGU34AsZ5x-W4x7F3Zt2xc8NSYcCVMrCJBmdQ"",""DRP for 8 products!B:E""),4,0)"),59.0)</f>
        <v>59</v>
      </c>
      <c r="J16" s="8" t="str">
        <f t="shared" si="1"/>
        <v>Tier 1</v>
      </c>
      <c r="K16" s="9" t="str">
        <f t="shared" si="2"/>
        <v>Active</v>
      </c>
      <c r="L16" s="4" t="str">
        <f>IFERROR(__xludf.DUMMYFUNCTION("vlookup(C16,importrange(""1kw74ismGU34AsZ5x-W4x7F3Zt2xc8NSYcCVMrCJBmdQ"",""DRP for 8 products!B:H""),6,0)"),"BigQuery")</f>
        <v>BigQuery</v>
      </c>
      <c r="M16" s="10" t="str">
        <f t="shared" si="3"/>
        <v>Yes</v>
      </c>
    </row>
    <row r="17">
      <c r="A17" s="4" t="str">
        <f>IFERROR(__xludf.DUMMYFUNCTION("vlookup(C17,IMPORTRANGE(""1Kgoo8qyo6zMtf_5B03ksZz228jg0XpZ4_KXsdHQ4Vks"",""14 Sept!A:B""),2,0)"),"DME1487")</f>
        <v>DME1487</v>
      </c>
      <c r="B17" s="5" t="str">
        <f>IFERROR(__xludf.DUMMYFUNCTION("""COMPUTED_VALUE"""),"omkar kumbhar")</f>
        <v>omkar kumbhar</v>
      </c>
      <c r="C17" s="5" t="str">
        <f>IFERROR(__xludf.DUMMYFUNCTION("""COMPUTED_VALUE"""),"omkar.kumbhar@onixnet.com")</f>
        <v>omkar.kumbhar@onixnet.com</v>
      </c>
      <c r="D17" s="4" t="s">
        <v>11</v>
      </c>
      <c r="E17" s="6" t="str">
        <f>IFERROR(__xludf.DUMMYFUNCTION("vlookup($A17,importrange(""1fyGnaViAX9kns28pvsfPvI9925sAI7kxPlM7jpuHVJM"",""Validation!A:Z""),11,0)"),"Delivery Services")</f>
        <v>Delivery Services</v>
      </c>
      <c r="F17" s="6" t="str">
        <f>IFERROR(__xludf.DUMMYFUNCTION("vlookup($A17,importrange(""1fyGnaViAX9kns28pvsfPvI9925sAI7kxPlM7jpuHVJM"",""Validation!A:Z""),23,0)"),"Birendra Kumar Negi")</f>
        <v>Birendra Kumar Negi</v>
      </c>
      <c r="G17" s="6" t="str">
        <f>IFERROR(__xludf.DUMMYFUNCTION("vlookup(A17,importrange(""1fyGnaViAX9kns28pvsfPvI9925sAI7kxPlM7jpuHVJM"",""Validation!A:Z""),22,0)"),"Cluster - Sachin")</f>
        <v>Cluster - Sachin</v>
      </c>
      <c r="H17" s="4" t="str">
        <f>IFERROR(__xludf.DUMMYFUNCTION("vlookup(C17,importrange(""1kw74ismGU34AsZ5x-W4x7F3Zt2xc8NSYcCVMrCJBmdQ"",""DRP for 8 products!B:C""),2,0)"),"ONIOKGYV3")</f>
        <v>ONIOKGYV3</v>
      </c>
      <c r="I17" s="7">
        <f>IFERROR(__xludf.DUMMYFUNCTION("vlookup(C17,importrange(""1kw74ismGU34AsZ5x-W4x7F3Zt2xc8NSYcCVMrCJBmdQ"",""DRP for 8 products!B:E""),4,0)"),54.0)</f>
        <v>54</v>
      </c>
      <c r="J17" s="8" t="str">
        <f t="shared" si="1"/>
        <v>Tier 1</v>
      </c>
      <c r="K17" s="9" t="str">
        <f t="shared" si="2"/>
        <v>Active</v>
      </c>
      <c r="L17" s="4" t="str">
        <f>IFERROR(__xludf.DUMMYFUNCTION("vlookup(C17,importrange(""1kw74ismGU34AsZ5x-W4x7F3Zt2xc8NSYcCVMrCJBmdQ"",""DRP for 8 products!B:H""),6,0)"),"BigQuery")</f>
        <v>BigQuery</v>
      </c>
      <c r="M17" s="10" t="str">
        <f t="shared" si="3"/>
        <v>Yes</v>
      </c>
    </row>
    <row r="18">
      <c r="A18" s="4" t="str">
        <f>IFERROR(__xludf.DUMMYFUNCTION("vlookup(C18,IMPORTRANGE(""1Kgoo8qyo6zMtf_5B03ksZz228jg0XpZ4_KXsdHQ4Vks"",""14 Sept!A:B""),2,0)"),"DME0969")</f>
        <v>DME0969</v>
      </c>
      <c r="B18" s="5" t="str">
        <f>IFERROR(__xludf.DUMMYFUNCTION("""COMPUTED_VALUE"""),"Shubhendu S")</f>
        <v>Shubhendu S</v>
      </c>
      <c r="C18" s="5" t="str">
        <f>IFERROR(__xludf.DUMMYFUNCTION("""COMPUTED_VALUE"""),"shubhendu.shubhendu@onixnet.com")</f>
        <v>shubhendu.shubhendu@onixnet.com</v>
      </c>
      <c r="D18" s="4" t="s">
        <v>11</v>
      </c>
      <c r="E18" s="6" t="str">
        <f>IFERROR(__xludf.DUMMYFUNCTION("vlookup($A18,importrange(""1fyGnaViAX9kns28pvsfPvI9925sAI7kxPlM7jpuHVJM"",""Validation!A:Z""),11,0)"),"Delivery Services")</f>
        <v>Delivery Services</v>
      </c>
      <c r="F18" s="6" t="str">
        <f>IFERROR(__xludf.DUMMYFUNCTION("vlookup($A18,importrange(""1fyGnaViAX9kns28pvsfPvI9925sAI7kxPlM7jpuHVJM"",""Validation!A:Z""),23,0)"),"Ashwini Kumar")</f>
        <v>Ashwini Kumar</v>
      </c>
      <c r="G18" s="6" t="str">
        <f>IFERROR(__xludf.DUMMYFUNCTION("vlookup(A18,importrange(""1fyGnaViAX9kns28pvsfPvI9925sAI7kxPlM7jpuHVJM"",""Validation!A:Z""),22,0)"),"Cluster - Kanhaiya")</f>
        <v>Cluster - Kanhaiya</v>
      </c>
      <c r="H18" s="4" t="str">
        <f>IFERROR(__xludf.DUMMYFUNCTION("vlookup(C18,importrange(""1kw74ismGU34AsZ5x-W4x7F3Zt2xc8NSYcCVMrCJBmdQ"",""DRP for 8 products!B:C""),2,0)"),"ONISSPUZ0")</f>
        <v>ONISSPUZ0</v>
      </c>
      <c r="I18" s="7">
        <f>IFERROR(__xludf.DUMMYFUNCTION("vlookup(C18,importrange(""1kw74ismGU34AsZ5x-W4x7F3Zt2xc8NSYcCVMrCJBmdQ"",""DRP for 8 products!B:E""),4,0)"),26.0)</f>
        <v>26</v>
      </c>
      <c r="J18" s="8" t="str">
        <f t="shared" si="1"/>
        <v>Tier 3</v>
      </c>
      <c r="K18" s="9" t="str">
        <f t="shared" si="2"/>
        <v>Active</v>
      </c>
      <c r="L18" s="4" t="str">
        <f>IFERROR(__xludf.DUMMYFUNCTION("vlookup(C18,importrange(""1kw74ismGU34AsZ5x-W4x7F3Zt2xc8NSYcCVMrCJBmdQ"",""DRP for 8 products!B:H""),6,0)"),"BigQuery")</f>
        <v>BigQuery</v>
      </c>
      <c r="M18" s="10" t="str">
        <f t="shared" si="3"/>
        <v>Yes</v>
      </c>
    </row>
    <row r="19">
      <c r="A19" s="4" t="str">
        <f>IFERROR(__xludf.DUMMYFUNCTION("vlookup(C19,IMPORTRANGE(""1Kgoo8qyo6zMtf_5B03ksZz228jg0XpZ4_KXsdHQ4Vks"",""14 Sept!A:B""),2,0)"),"DME2641")</f>
        <v>DME2641</v>
      </c>
      <c r="B19" s="5" t="str">
        <f>IFERROR(__xludf.DUMMYFUNCTION("""COMPUTED_VALUE"""),"Siddharth Solankure")</f>
        <v>Siddharth Solankure</v>
      </c>
      <c r="C19" s="5" t="str">
        <f>IFERROR(__xludf.DUMMYFUNCTION("""COMPUTED_VALUE"""),"siddharth.solankure@onixnet.com")</f>
        <v>siddharth.solankure@onixnet.com</v>
      </c>
      <c r="D19" s="4" t="s">
        <v>11</v>
      </c>
      <c r="E19" s="6" t="str">
        <f>IFERROR(__xludf.DUMMYFUNCTION("vlookup($A19,importrange(""1fyGnaViAX9kns28pvsfPvI9925sAI7kxPlM7jpuHVJM"",""Validation!A:Z""),11,0)"),"Delivery Services")</f>
        <v>Delivery Services</v>
      </c>
      <c r="F19" s="6" t="str">
        <f>IFERROR(__xludf.DUMMYFUNCTION("vlookup($A19,importrange(""1fyGnaViAX9kns28pvsfPvI9925sAI7kxPlM7jpuHVJM"",""Validation!A:Z""),23,0)"),"Pratik Karpe")</f>
        <v>Pratik Karpe</v>
      </c>
      <c r="G19" s="6" t="str">
        <f>IFERROR(__xludf.DUMMYFUNCTION("vlookup(A19,importrange(""1fyGnaViAX9kns28pvsfPvI9925sAI7kxPlM7jpuHVJM"",""Validation!A:Z""),22,0)"),"Cluster - Gaurav")</f>
        <v>Cluster - Gaurav</v>
      </c>
      <c r="H19" s="4" t="str">
        <f>IFERROR(__xludf.DUMMYFUNCTION("vlookup(C19,importrange(""1kw74ismGU34AsZ5x-W4x7F3Zt2xc8NSYcCVMrCJBmdQ"",""DRP for 8 products!B:C""),2,0)"),"ONISSYMI6")</f>
        <v>ONISSYMI6</v>
      </c>
      <c r="I19" s="7">
        <f>IFERROR(__xludf.DUMMYFUNCTION("vlookup(C19,importrange(""1kw74ismGU34AsZ5x-W4x7F3Zt2xc8NSYcCVMrCJBmdQ"",""DRP for 8 products!B:E""),4,0)"),32.0)</f>
        <v>32</v>
      </c>
      <c r="J19" s="8" t="str">
        <f t="shared" si="1"/>
        <v>Tier 3</v>
      </c>
      <c r="K19" s="9" t="str">
        <f t="shared" si="2"/>
        <v>Active</v>
      </c>
      <c r="L19" s="4" t="str">
        <f>IFERROR(__xludf.DUMMYFUNCTION("vlookup(C19,importrange(""1kw74ismGU34AsZ5x-W4x7F3Zt2xc8NSYcCVMrCJBmdQ"",""DRP for 8 products!B:H""),6,0)"),"BigQuery")</f>
        <v>BigQuery</v>
      </c>
      <c r="M19" s="10" t="str">
        <f t="shared" si="3"/>
        <v>Yes</v>
      </c>
    </row>
    <row r="20">
      <c r="A20" s="4" t="str">
        <f>IFERROR(__xludf.DUMMYFUNCTION("vlookup(C20,IMPORTRANGE(""1Kgoo8qyo6zMtf_5B03ksZz228jg0XpZ4_KXsdHQ4Vks"",""14 Sept!A:B""),2,0)"),"DME1655")</f>
        <v>DME1655</v>
      </c>
      <c r="B20" s="5" t="str">
        <f>IFERROR(__xludf.DUMMYFUNCTION("""COMPUTED_VALUE"""),"Supriya Paradkar")</f>
        <v>Supriya Paradkar</v>
      </c>
      <c r="C20" s="5" t="str">
        <f>IFERROR(__xludf.DUMMYFUNCTION("""COMPUTED_VALUE"""),"supriya.paradkar@onixnet.com")</f>
        <v>supriya.paradkar@onixnet.com</v>
      </c>
      <c r="D20" s="4" t="s">
        <v>11</v>
      </c>
      <c r="E20" s="6" t="str">
        <f>IFERROR(__xludf.DUMMYFUNCTION("vlookup($A20,importrange(""1fyGnaViAX9kns28pvsfPvI9925sAI7kxPlM7jpuHVJM"",""Validation!A:Z""),11,0)"),"Product Engineering")</f>
        <v>Product Engineering</v>
      </c>
      <c r="F20" s="6" t="str">
        <f>IFERROR(__xludf.DUMMYFUNCTION("vlookup($A20,importrange(""1fyGnaViAX9kns28pvsfPvI9925sAI7kxPlM7jpuHVJM"",""Validation!A:Z""),23,0)"),"Yogendra Singh")</f>
        <v>Yogendra Singh</v>
      </c>
      <c r="G20" s="6" t="str">
        <f>IFERROR(__xludf.DUMMYFUNCTION("vlookup(A20,importrange(""1fyGnaViAX9kns28pvsfPvI9925sAI7kxPlM7jpuHVJM"",""Validation!A:Z""),22,0)"),"Cluster - Mayur")</f>
        <v>Cluster - Mayur</v>
      </c>
      <c r="H20" s="4" t="str">
        <f>IFERROR(__xludf.DUMMYFUNCTION("vlookup(C20,importrange(""1kw74ismGU34AsZ5x-W4x7F3Zt2xc8NSYcCVMrCJBmdQ"",""DRP for 8 products!B:C""),2,0)"),"ONISPBTT6")</f>
        <v>ONISPBTT6</v>
      </c>
      <c r="I20" s="7">
        <f>IFERROR(__xludf.DUMMYFUNCTION("vlookup(C20,importrange(""1kw74ismGU34AsZ5x-W4x7F3Zt2xc8NSYcCVMrCJBmdQ"",""DRP for 8 products!B:E""),4,0)"),15.0)</f>
        <v>15</v>
      </c>
      <c r="J20" s="8" t="str">
        <f t="shared" si="1"/>
        <v>Tier 4</v>
      </c>
      <c r="K20" s="9" t="str">
        <f t="shared" si="2"/>
        <v>Active</v>
      </c>
      <c r="L20" s="4" t="str">
        <f>IFERROR(__xludf.DUMMYFUNCTION("vlookup(C20,importrange(""1kw74ismGU34AsZ5x-W4x7F3Zt2xc8NSYcCVMrCJBmdQ"",""DRP for 8 products!B:H""),6,0)"),"AlloyDB for PostgreSQL")</f>
        <v>AlloyDB for PostgreSQL</v>
      </c>
      <c r="M20" s="10" t="str">
        <f t="shared" si="3"/>
        <v>Yes</v>
      </c>
    </row>
    <row r="21">
      <c r="A21" s="4" t="str">
        <f>IFERROR(__xludf.DUMMYFUNCTION("vlookup(C21,IMPORTRANGE(""1Kgoo8qyo6zMtf_5B03ksZz228jg0XpZ4_KXsdHQ4Vks"",""14 Sept!A:B""),2,0)"),"DME3369")</f>
        <v>DME3369</v>
      </c>
      <c r="B21" s="5" t="str">
        <f>IFERROR(__xludf.DUMMYFUNCTION("""COMPUTED_VALUE"""),"Jayesh Nikumbh")</f>
        <v>Jayesh Nikumbh</v>
      </c>
      <c r="C21" s="5" t="str">
        <f>IFERROR(__xludf.DUMMYFUNCTION("""COMPUTED_VALUE"""),"jayesh.nikumbh@onixnet.com")</f>
        <v>jayesh.nikumbh@onixnet.com</v>
      </c>
      <c r="D21" s="4" t="s">
        <v>11</v>
      </c>
      <c r="E21" s="6" t="str">
        <f>IFERROR(__xludf.DUMMYFUNCTION("vlookup($A21,importrange(""1fyGnaViAX9kns28pvsfPvI9925sAI7kxPlM7jpuHVJM"",""Validation!A:Z""),11,0)"),"Delivery Services")</f>
        <v>Delivery Services</v>
      </c>
      <c r="F21" s="6" t="str">
        <f>IFERROR(__xludf.DUMMYFUNCTION("vlookup($A21,importrange(""1fyGnaViAX9kns28pvsfPvI9925sAI7kxPlM7jpuHVJM"",""Validation!A:Z""),23,0)"),"Minal Patil")</f>
        <v>Minal Patil</v>
      </c>
      <c r="G21" s="6" t="str">
        <f>IFERROR(__xludf.DUMMYFUNCTION("vlookup(A21,importrange(""1fyGnaViAX9kns28pvsfPvI9925sAI7kxPlM7jpuHVJM"",""Validation!A:Z""),22,0)"),"Cluster - Devayani")</f>
        <v>Cluster - Devayani</v>
      </c>
      <c r="H21" s="4" t="str">
        <f>IFERROR(__xludf.DUMMYFUNCTION("vlookup(C21,importrange(""1kw74ismGU34AsZ5x-W4x7F3Zt2xc8NSYcCVMrCJBmdQ"",""DRP for 8 products!B:C""),2,0)"),"ONIJNXWI2")</f>
        <v>ONIJNXWI2</v>
      </c>
      <c r="I21" s="7">
        <f>IFERROR(__xludf.DUMMYFUNCTION("vlookup(C21,importrange(""1kw74ismGU34AsZ5x-W4x7F3Zt2xc8NSYcCVMrCJBmdQ"",""DRP for 8 products!B:E""),4,0)"),31.0)</f>
        <v>31</v>
      </c>
      <c r="J21" s="8" t="str">
        <f t="shared" si="1"/>
        <v>Tier 3</v>
      </c>
      <c r="K21" s="9" t="str">
        <f t="shared" si="2"/>
        <v>Active</v>
      </c>
      <c r="L21" s="4" t="str">
        <f>IFERROR(__xludf.DUMMYFUNCTION("vlookup(C21,importrange(""1kw74ismGU34AsZ5x-W4x7F3Zt2xc8NSYcCVMrCJBmdQ"",""DRP for 8 products!B:H""),6,0)"),"BigQuery")</f>
        <v>BigQuery</v>
      </c>
      <c r="M21" s="10" t="str">
        <f t="shared" si="3"/>
        <v>Yes</v>
      </c>
    </row>
    <row r="22">
      <c r="A22" s="4" t="str">
        <f>IFERROR(__xludf.DUMMYFUNCTION("vlookup(C22,IMPORTRANGE(""1Kgoo8qyo6zMtf_5B03ksZz228jg0XpZ4_KXsdHQ4Vks"",""14 Sept!A:B""),2,0)"),"DME2636")</f>
        <v>DME2636</v>
      </c>
      <c r="B22" s="5" t="str">
        <f>IFERROR(__xludf.DUMMYFUNCTION("""COMPUTED_VALUE"""),"Manav Shinde")</f>
        <v>Manav Shinde</v>
      </c>
      <c r="C22" s="5" t="str">
        <f>IFERROR(__xludf.DUMMYFUNCTION("""COMPUTED_VALUE"""),"manav.shinde@onixnet.com")</f>
        <v>manav.shinde@onixnet.com</v>
      </c>
      <c r="D22" s="4" t="s">
        <v>11</v>
      </c>
      <c r="E22" s="6" t="str">
        <f>IFERROR(__xludf.DUMMYFUNCTION("vlookup($A22,importrange(""1fyGnaViAX9kns28pvsfPvI9925sAI7kxPlM7jpuHVJM"",""Validation!A:Z""),11,0)"),"Delivery Services")</f>
        <v>Delivery Services</v>
      </c>
      <c r="F22" s="6" t="str">
        <f>IFERROR(__xludf.DUMMYFUNCTION("vlookup($A22,importrange(""1fyGnaViAX9kns28pvsfPvI9925sAI7kxPlM7jpuHVJM"",""Validation!A:Z""),23,0)"),"Prabhat Jain")</f>
        <v>Prabhat Jain</v>
      </c>
      <c r="G22" s="6" t="str">
        <f>IFERROR(__xludf.DUMMYFUNCTION("vlookup(A22,importrange(""1fyGnaViAX9kns28pvsfPvI9925sAI7kxPlM7jpuHVJM"",""Validation!A:Z""),22,0)"),"Cluster - Gaurav")</f>
        <v>Cluster - Gaurav</v>
      </c>
      <c r="H22" s="4" t="str">
        <f>IFERROR(__xludf.DUMMYFUNCTION("vlookup(C22,importrange(""1kw74ismGU34AsZ5x-W4x7F3Zt2xc8NSYcCVMrCJBmdQ"",""DRP for 8 products!B:C""),2,0)"),"ONIMSKIN7")</f>
        <v>ONIMSKIN7</v>
      </c>
      <c r="I22" s="7">
        <f>IFERROR(__xludf.DUMMYFUNCTION("vlookup(C22,importrange(""1kw74ismGU34AsZ5x-W4x7F3Zt2xc8NSYcCVMrCJBmdQ"",""DRP for 8 products!B:E""),4,0)"),23.0)</f>
        <v>23</v>
      </c>
      <c r="J22" s="8" t="str">
        <f t="shared" si="1"/>
        <v>Tier 3</v>
      </c>
      <c r="K22" s="9" t="str">
        <f t="shared" si="2"/>
        <v>Active</v>
      </c>
      <c r="L22" s="4" t="str">
        <f>IFERROR(__xludf.DUMMYFUNCTION("vlookup(C22,importrange(""1kw74ismGU34AsZ5x-W4x7F3Zt2xc8NSYcCVMrCJBmdQ"",""DRP for 8 products!B:H""),6,0)"),"BigQuery")</f>
        <v>BigQuery</v>
      </c>
      <c r="M22" s="10" t="str">
        <f t="shared" si="3"/>
        <v>Yes</v>
      </c>
    </row>
    <row r="23">
      <c r="A23" s="4" t="str">
        <f>IFERROR(__xludf.DUMMYFUNCTION("vlookup(C23,IMPORTRANGE(""1Kgoo8qyo6zMtf_5B03ksZz228jg0XpZ4_KXsdHQ4Vks"",""14 Sept!A:B""),2,0)"),"DME1448")</f>
        <v>DME1448</v>
      </c>
      <c r="B23" s="5" t="str">
        <f>IFERROR(__xludf.DUMMYFUNCTION("""COMPUTED_VALUE"""),"Pradnya Pandit")</f>
        <v>Pradnya Pandit</v>
      </c>
      <c r="C23" s="5" t="str">
        <f>IFERROR(__xludf.DUMMYFUNCTION("""COMPUTED_VALUE"""),"pradnya.pandit@onixnet.com")</f>
        <v>pradnya.pandit@onixnet.com</v>
      </c>
      <c r="D23" s="4" t="s">
        <v>11</v>
      </c>
      <c r="E23" s="6" t="str">
        <f>IFERROR(__xludf.DUMMYFUNCTION("vlookup($A23,importrange(""1fyGnaViAX9kns28pvsfPvI9925sAI7kxPlM7jpuHVJM"",""Validation!A:Z""),11,0)"),"Delivery Services")</f>
        <v>Delivery Services</v>
      </c>
      <c r="F23" s="6" t="str">
        <f>IFERROR(__xludf.DUMMYFUNCTION("vlookup($A23,importrange(""1fyGnaViAX9kns28pvsfPvI9925sAI7kxPlM7jpuHVJM"",""Validation!A:Z""),23,0)"),"Shubham Agnihotri")</f>
        <v>Shubham Agnihotri</v>
      </c>
      <c r="G23" s="6" t="str">
        <f>IFERROR(__xludf.DUMMYFUNCTION("vlookup(A23,importrange(""1fyGnaViAX9kns28pvsfPvI9925sAI7kxPlM7jpuHVJM"",""Validation!A:Z""),22,0)"),"Cluster - Gaurav")</f>
        <v>Cluster - Gaurav</v>
      </c>
      <c r="H23" s="4" t="str">
        <f>IFERROR(__xludf.DUMMYFUNCTION("vlookup(C23,importrange(""1kw74ismGU34AsZ5x-W4x7F3Zt2xc8NSYcCVMrCJBmdQ"",""DRP for 8 products!B:C""),2,0)"),"ONIPPQAK9")</f>
        <v>ONIPPQAK9</v>
      </c>
      <c r="I23" s="7">
        <f>IFERROR(__xludf.DUMMYFUNCTION("vlookup(C23,importrange(""1kw74ismGU34AsZ5x-W4x7F3Zt2xc8NSYcCVMrCJBmdQ"",""DRP for 8 products!B:E""),4,0)"),5.0)</f>
        <v>5</v>
      </c>
      <c r="J23" s="8" t="str">
        <f t="shared" si="1"/>
        <v>Tier 4</v>
      </c>
      <c r="K23" s="9" t="str">
        <f t="shared" si="2"/>
        <v>Active</v>
      </c>
      <c r="L23" s="4" t="str">
        <f>IFERROR(__xludf.DUMMYFUNCTION("vlookup(C23,importrange(""1kw74ismGU34AsZ5x-W4x7F3Zt2xc8NSYcCVMrCJBmdQ"",""DRP for 8 products!B:H""),6,0)"),"Dataproc")</f>
        <v>Dataproc</v>
      </c>
      <c r="M23" s="10" t="str">
        <f t="shared" si="3"/>
        <v>Yes</v>
      </c>
    </row>
    <row r="24">
      <c r="A24" s="4" t="str">
        <f>IFERROR(__xludf.DUMMYFUNCTION("vlookup(C24,IMPORTRANGE(""1Kgoo8qyo6zMtf_5B03ksZz228jg0XpZ4_KXsdHQ4Vks"",""14 Sept!A:B""),2,0)"),"DME1795")</f>
        <v>DME1795</v>
      </c>
      <c r="B24" s="5" t="str">
        <f>IFERROR(__xludf.DUMMYFUNCTION("""COMPUTED_VALUE"""),"ravi rathod")</f>
        <v>ravi rathod</v>
      </c>
      <c r="C24" s="5" t="str">
        <f>IFERROR(__xludf.DUMMYFUNCTION("""COMPUTED_VALUE"""),"ravi.rathod@onixnet.com")</f>
        <v>ravi.rathod@onixnet.com</v>
      </c>
      <c r="D24" s="4" t="s">
        <v>11</v>
      </c>
      <c r="E24" s="6" t="str">
        <f>IFERROR(__xludf.DUMMYFUNCTION("vlookup($A24,importrange(""1fyGnaViAX9kns28pvsfPvI9925sAI7kxPlM7jpuHVJM"",""Validation!A:Z""),11,0)"),"Delivery Services")</f>
        <v>Delivery Services</v>
      </c>
      <c r="F24" s="6" t="str">
        <f>IFERROR(__xludf.DUMMYFUNCTION("vlookup($A24,importrange(""1fyGnaViAX9kns28pvsfPvI9925sAI7kxPlM7jpuHVJM"",""Validation!A:Z""),23,0)"),"Shreyas Meshram")</f>
        <v>Shreyas Meshram</v>
      </c>
      <c r="G24" s="6" t="str">
        <f>IFERROR(__xludf.DUMMYFUNCTION("vlookup(A24,importrange(""1fyGnaViAX9kns28pvsfPvI9925sAI7kxPlM7jpuHVJM"",""Validation!A:Z""),22,0)"),"Cluster - Gaurav")</f>
        <v>Cluster - Gaurav</v>
      </c>
      <c r="H24" s="4" t="str">
        <f>IFERROR(__xludf.DUMMYFUNCTION("vlookup(C24,importrange(""1kw74ismGU34AsZ5x-W4x7F3Zt2xc8NSYcCVMrCJBmdQ"",""DRP for 8 products!B:C""),2,0)"),"ONIRRBSP4")</f>
        <v>ONIRRBSP4</v>
      </c>
      <c r="I24" s="7">
        <f>IFERROR(__xludf.DUMMYFUNCTION("vlookup(C24,importrange(""1kw74ismGU34AsZ5x-W4x7F3Zt2xc8NSYcCVMrCJBmdQ"",""DRP for 8 products!B:E""),4,0)"),19.0)</f>
        <v>19</v>
      </c>
      <c r="J24" s="8" t="str">
        <f t="shared" si="1"/>
        <v>Tier 4</v>
      </c>
      <c r="K24" s="9" t="str">
        <f t="shared" si="2"/>
        <v>Active</v>
      </c>
      <c r="L24" s="4" t="str">
        <f>IFERROR(__xludf.DUMMYFUNCTION("vlookup(C24,importrange(""1kw74ismGU34AsZ5x-W4x7F3Zt2xc8NSYcCVMrCJBmdQ"",""DRP for 8 products!B:H""),6,0)"),"BigQuery")</f>
        <v>BigQuery</v>
      </c>
      <c r="M24" s="10" t="str">
        <f t="shared" si="3"/>
        <v>Yes</v>
      </c>
    </row>
    <row r="25">
      <c r="A25" s="4" t="str">
        <f>IFERROR(__xludf.DUMMYFUNCTION("vlookup(C25,IMPORTRANGE(""1Kgoo8qyo6zMtf_5B03ksZz228jg0XpZ4_KXsdHQ4Vks"",""14 Sept!A:B""),2,0)"),"DME3108")</f>
        <v>DME3108</v>
      </c>
      <c r="B25" s="5" t="str">
        <f>IFERROR(__xludf.DUMMYFUNCTION("""COMPUTED_VALUE"""),"Vaibhav Dhumal")</f>
        <v>Vaibhav Dhumal</v>
      </c>
      <c r="C25" s="5" t="str">
        <f>IFERROR(__xludf.DUMMYFUNCTION("""COMPUTED_VALUE"""),"vaibhav.dhumal@onixnet.com")</f>
        <v>vaibhav.dhumal@onixnet.com</v>
      </c>
      <c r="D25" s="4" t="s">
        <v>11</v>
      </c>
      <c r="E25" s="6" t="str">
        <f>IFERROR(__xludf.DUMMYFUNCTION("vlookup($A25,importrange(""1fyGnaViAX9kns28pvsfPvI9925sAI7kxPlM7jpuHVJM"",""Validation!A:Z""),11,0)"),"Corporate Operations")</f>
        <v>Corporate Operations</v>
      </c>
      <c r="F25" s="6" t="str">
        <f>IFERROR(__xludf.DUMMYFUNCTION("vlookup($A25,importrange(""1fyGnaViAX9kns28pvsfPvI9925sAI7kxPlM7jpuHVJM"",""Validation!A:Z""),23,0)"),"Satya Pillai")</f>
        <v>Satya Pillai</v>
      </c>
      <c r="G25" s="6" t="str">
        <f>IFERROR(__xludf.DUMMYFUNCTION("vlookup(A25,importrange(""1fyGnaViAX9kns28pvsfPvI9925sAI7kxPlM7jpuHVJM"",""Validation!A:Z""),22,0)"),"Cluster - Satya")</f>
        <v>Cluster - Satya</v>
      </c>
      <c r="H25" s="4" t="str">
        <f>IFERROR(__xludf.DUMMYFUNCTION("vlookup(C25,importrange(""1kw74ismGU34AsZ5x-W4x7F3Zt2xc8NSYcCVMrCJBmdQ"",""DRP for 8 products!B:C""),2,0)"),"ONIVDQKG1")</f>
        <v>ONIVDQKG1</v>
      </c>
      <c r="I25" s="7">
        <f>IFERROR(__xludf.DUMMYFUNCTION("vlookup(C25,importrange(""1kw74ismGU34AsZ5x-W4x7F3Zt2xc8NSYcCVMrCJBmdQ"",""DRP for 8 products!B:E""),4,0)"),15.0)</f>
        <v>15</v>
      </c>
      <c r="J25" s="8" t="str">
        <f t="shared" si="1"/>
        <v>Tier 4</v>
      </c>
      <c r="K25" s="9" t="str">
        <f t="shared" si="2"/>
        <v>Active</v>
      </c>
      <c r="L25" s="4" t="str">
        <f>IFERROR(__xludf.DUMMYFUNCTION("vlookup(C25,importrange(""1kw74ismGU34AsZ5x-W4x7F3Zt2xc8NSYcCVMrCJBmdQ"",""DRP for 8 products!B:H""),6,0)"),"AlloyDB for PostgreSQL")</f>
        <v>AlloyDB for PostgreSQL</v>
      </c>
      <c r="M25" s="10" t="str">
        <f t="shared" si="3"/>
        <v>Yes</v>
      </c>
    </row>
    <row r="26">
      <c r="A26" s="4" t="str">
        <f>IFERROR(__xludf.DUMMYFUNCTION("vlookup(C26,IMPORTRANGE(""1Kgoo8qyo6zMtf_5B03ksZz228jg0XpZ4_KXsdHQ4Vks"",""14 Sept!A:B""),2,0)"),"DME2035")</f>
        <v>DME2035</v>
      </c>
      <c r="B26" s="5" t="str">
        <f>IFERROR(__xludf.DUMMYFUNCTION("""COMPUTED_VALUE"""),"Nikhil Jadhav")</f>
        <v>Nikhil Jadhav</v>
      </c>
      <c r="C26" s="5" t="str">
        <f>IFERROR(__xludf.DUMMYFUNCTION("""COMPUTED_VALUE"""),"nikhil.jadhav@onixnet.com")</f>
        <v>nikhil.jadhav@onixnet.com</v>
      </c>
      <c r="D26" s="4" t="s">
        <v>11</v>
      </c>
      <c r="E26" s="6" t="str">
        <f>IFERROR(__xludf.DUMMYFUNCTION("vlookup($A26,importrange(""1fyGnaViAX9kns28pvsfPvI9925sAI7kxPlM7jpuHVJM"",""Validation!A:Z""),11,0)"),"Delivery Services")</f>
        <v>Delivery Services</v>
      </c>
      <c r="F26" s="6" t="str">
        <f>IFERROR(__xludf.DUMMYFUNCTION("vlookup($A26,importrange(""1fyGnaViAX9kns28pvsfPvI9925sAI7kxPlM7jpuHVJM"",""Validation!A:Z""),23,0)"),"Pritesh Chaudhari")</f>
        <v>Pritesh Chaudhari</v>
      </c>
      <c r="G26" s="6" t="str">
        <f>IFERROR(__xludf.DUMMYFUNCTION("vlookup(A26,importrange(""1fyGnaViAX9kns28pvsfPvI9925sAI7kxPlM7jpuHVJM"",""Validation!A:Z""),22,0)"),"Cluster - Sagar")</f>
        <v>Cluster - Sagar</v>
      </c>
      <c r="H26" s="4" t="str">
        <f>IFERROR(__xludf.DUMMYFUNCTION("vlookup(C26,importrange(""1kw74ismGU34AsZ5x-W4x7F3Zt2xc8NSYcCVMrCJBmdQ"",""DRP for 8 products!B:C""),2,0)"),"ONINJUOU4")</f>
        <v>ONINJUOU4</v>
      </c>
      <c r="I26" s="7">
        <f>IFERROR(__xludf.DUMMYFUNCTION("vlookup(C26,importrange(""1kw74ismGU34AsZ5x-W4x7F3Zt2xc8NSYcCVMrCJBmdQ"",""DRP for 8 products!B:E""),4,0)"),49.0)</f>
        <v>49</v>
      </c>
      <c r="J26" s="8" t="str">
        <f t="shared" si="1"/>
        <v>Tier 2</v>
      </c>
      <c r="K26" s="9" t="str">
        <f t="shared" si="2"/>
        <v>Active</v>
      </c>
      <c r="L26" s="4" t="str">
        <f>IFERROR(__xludf.DUMMYFUNCTION("vlookup(C26,importrange(""1kw74ismGU34AsZ5x-W4x7F3Zt2xc8NSYcCVMrCJBmdQ"",""DRP for 8 products!B:H""),6,0)"),"BigQuery")</f>
        <v>BigQuery</v>
      </c>
      <c r="M26" s="10" t="str">
        <f t="shared" si="3"/>
        <v>Yes</v>
      </c>
    </row>
    <row r="27">
      <c r="A27" s="4" t="str">
        <f>IFERROR(__xludf.DUMMYFUNCTION("vlookup(C27,IMPORTRANGE(""1Kgoo8qyo6zMtf_5B03ksZz228jg0XpZ4_KXsdHQ4Vks"",""14 Sept!A:B""),2,0)"),"DME1436")</f>
        <v>DME1436</v>
      </c>
      <c r="B27" s="5" t="str">
        <f>IFERROR(__xludf.DUMMYFUNCTION("""COMPUTED_VALUE"""),"ankita patil")</f>
        <v>ankita patil</v>
      </c>
      <c r="C27" s="5" t="str">
        <f>IFERROR(__xludf.DUMMYFUNCTION("""COMPUTED_VALUE"""),"ankita.patil@onixnet.com")</f>
        <v>ankita.patil@onixnet.com</v>
      </c>
      <c r="D27" s="4" t="s">
        <v>11</v>
      </c>
      <c r="E27" s="6" t="str">
        <f>IFERROR(__xludf.DUMMYFUNCTION("vlookup($A27,importrange(""1fyGnaViAX9kns28pvsfPvI9925sAI7kxPlM7jpuHVJM"",""Validation!A:Z""),11,0)"),"Product Engineering")</f>
        <v>Product Engineering</v>
      </c>
      <c r="F27" s="6" t="str">
        <f>IFERROR(__xludf.DUMMYFUNCTION("vlookup($A27,importrange(""1fyGnaViAX9kns28pvsfPvI9925sAI7kxPlM7jpuHVJM"",""Validation!A:Z""),23,0)"),"Amruta Sikchi")</f>
        <v>Amruta Sikchi</v>
      </c>
      <c r="G27" s="6" t="str">
        <f>IFERROR(__xludf.DUMMYFUNCTION("vlookup(A27,importrange(""1fyGnaViAX9kns28pvsfPvI9925sAI7kxPlM7jpuHVJM"",""Validation!A:Z""),22,0)"),"Cluster - Mayur")</f>
        <v>Cluster - Mayur</v>
      </c>
      <c r="H27" s="4" t="str">
        <f>IFERROR(__xludf.DUMMYFUNCTION("vlookup(C27,importrange(""1kw74ismGU34AsZ5x-W4x7F3Zt2xc8NSYcCVMrCJBmdQ"",""DRP for 8 products!B:C""),2,0)"),"ONIAPWVH3")</f>
        <v>ONIAPWVH3</v>
      </c>
      <c r="I27" s="7">
        <f>IFERROR(__xludf.DUMMYFUNCTION("vlookup(C27,importrange(""1kw74ismGU34AsZ5x-W4x7F3Zt2xc8NSYcCVMrCJBmdQ"",""DRP for 8 products!B:E""),4,0)"),13.0)</f>
        <v>13</v>
      </c>
      <c r="J27" s="8" t="str">
        <f t="shared" si="1"/>
        <v>Tier 4</v>
      </c>
      <c r="K27" s="9" t="str">
        <f t="shared" si="2"/>
        <v>Active</v>
      </c>
      <c r="L27" s="4" t="str">
        <f>IFERROR(__xludf.DUMMYFUNCTION("vlookup(C27,importrange(""1kw74ismGU34AsZ5x-W4x7F3Zt2xc8NSYcCVMrCJBmdQ"",""DRP for 8 products!B:H""),6,0)"),"AlloyDB for PostgreSQL")</f>
        <v>AlloyDB for PostgreSQL</v>
      </c>
      <c r="M27" s="10" t="str">
        <f t="shared" si="3"/>
        <v>Yes</v>
      </c>
    </row>
    <row r="28">
      <c r="A28" s="4" t="str">
        <f>IFERROR(__xludf.DUMMYFUNCTION("vlookup(C28,IMPORTRANGE(""1Kgoo8qyo6zMtf_5B03ksZz228jg0XpZ4_KXsdHQ4Vks"",""14 Sept!A:B""),2,0)"),"DME1845")</f>
        <v>DME1845</v>
      </c>
      <c r="B28" s="5" t="str">
        <f>IFERROR(__xludf.DUMMYFUNCTION("""COMPUTED_VALUE"""),"Sushant Patil")</f>
        <v>Sushant Patil</v>
      </c>
      <c r="C28" s="5" t="str">
        <f>IFERROR(__xludf.DUMMYFUNCTION("""COMPUTED_VALUE"""),"sushant.patil@onixnet.com")</f>
        <v>sushant.patil@onixnet.com</v>
      </c>
      <c r="D28" s="4" t="s">
        <v>11</v>
      </c>
      <c r="E28" s="6" t="str">
        <f>IFERROR(__xludf.DUMMYFUNCTION("vlookup($A28,importrange(""1fyGnaViAX9kns28pvsfPvI9925sAI7kxPlM7jpuHVJM"",""Validation!A:Z""),11,0)"),"Delivery Services")</f>
        <v>Delivery Services</v>
      </c>
      <c r="F28" s="6" t="str">
        <f>IFERROR(__xludf.DUMMYFUNCTION("vlookup($A28,importrange(""1fyGnaViAX9kns28pvsfPvI9925sAI7kxPlM7jpuHVJM"",""Validation!A:Z""),23,0)"),"Nitesh Verma")</f>
        <v>Nitesh Verma</v>
      </c>
      <c r="G28" s="6" t="str">
        <f>IFERROR(__xludf.DUMMYFUNCTION("vlookup(A28,importrange(""1fyGnaViAX9kns28pvsfPvI9925sAI7kxPlM7jpuHVJM"",""Validation!A:Z""),22,0)"),"Cluster - Gaurav")</f>
        <v>Cluster - Gaurav</v>
      </c>
      <c r="H28" s="4" t="str">
        <f>IFERROR(__xludf.DUMMYFUNCTION("vlookup(C28,importrange(""1kw74ismGU34AsZ5x-W4x7F3Zt2xc8NSYcCVMrCJBmdQ"",""DRP for 8 products!B:C""),2,0)"),"ONISPWWI8")</f>
        <v>ONISPWWI8</v>
      </c>
      <c r="I28" s="7">
        <f>IFERROR(__xludf.DUMMYFUNCTION("vlookup(C28,importrange(""1kw74ismGU34AsZ5x-W4x7F3Zt2xc8NSYcCVMrCJBmdQ"",""DRP for 8 products!B:E""),4,0)"),49.0)</f>
        <v>49</v>
      </c>
      <c r="J28" s="8" t="str">
        <f t="shared" si="1"/>
        <v>Tier 2</v>
      </c>
      <c r="K28" s="9" t="str">
        <f t="shared" si="2"/>
        <v>Active</v>
      </c>
      <c r="L28" s="4" t="str">
        <f>IFERROR(__xludf.DUMMYFUNCTION("vlookup(C28,importrange(""1kw74ismGU34AsZ5x-W4x7F3Zt2xc8NSYcCVMrCJBmdQ"",""DRP for 8 products!B:H""),6,0)"),"BigQuery")</f>
        <v>BigQuery</v>
      </c>
      <c r="M28" s="10" t="str">
        <f t="shared" si="3"/>
        <v>Yes</v>
      </c>
    </row>
    <row r="29">
      <c r="A29" s="4" t="str">
        <f>IFERROR(__xludf.DUMMYFUNCTION("vlookup(C29,IMPORTRANGE(""1Kgoo8qyo6zMtf_5B03ksZz228jg0XpZ4_KXsdHQ4Vks"",""14 Sept!A:B""),2,0)"),"DME2289")</f>
        <v>DME2289</v>
      </c>
      <c r="B29" s="5" t="str">
        <f>IFERROR(__xludf.DUMMYFUNCTION("""COMPUTED_VALUE"""),"Ajay Hoke")</f>
        <v>Ajay Hoke</v>
      </c>
      <c r="C29" s="5" t="str">
        <f>IFERROR(__xludf.DUMMYFUNCTION("""COMPUTED_VALUE"""),"ajay.hoke@onixnet.com")</f>
        <v>ajay.hoke@onixnet.com</v>
      </c>
      <c r="D29" s="4" t="s">
        <v>11</v>
      </c>
      <c r="E29" s="6" t="str">
        <f>IFERROR(__xludf.DUMMYFUNCTION("vlookup($A29,importrange(""1fyGnaViAX9kns28pvsfPvI9925sAI7kxPlM7jpuHVJM"",""Validation!A:Z""),11,0)"),"Delivery Services")</f>
        <v>Delivery Services</v>
      </c>
      <c r="F29" s="6" t="str">
        <f>IFERROR(__xludf.DUMMYFUNCTION("vlookup($A29,importrange(""1fyGnaViAX9kns28pvsfPvI9925sAI7kxPlM7jpuHVJM"",""Validation!A:Z""),23,0)"),"Amit Malav")</f>
        <v>Amit Malav</v>
      </c>
      <c r="G29" s="6" t="str">
        <f>IFERROR(__xludf.DUMMYFUNCTION("vlookup(A29,importrange(""1fyGnaViAX9kns28pvsfPvI9925sAI7kxPlM7jpuHVJM"",""Validation!A:Z""),22,0)"),"Cluster - Gaurav")</f>
        <v>Cluster - Gaurav</v>
      </c>
      <c r="H29" s="4" t="str">
        <f>IFERROR(__xludf.DUMMYFUNCTION("vlookup(C29,importrange(""1kw74ismGU34AsZ5x-W4x7F3Zt2xc8NSYcCVMrCJBmdQ"",""DRP for 8 products!B:C""),2,0)"),"ONIAHOGW6")</f>
        <v>ONIAHOGW6</v>
      </c>
      <c r="I29" s="7">
        <f>IFERROR(__xludf.DUMMYFUNCTION("vlookup(C29,importrange(""1kw74ismGU34AsZ5x-W4x7F3Zt2xc8NSYcCVMrCJBmdQ"",""DRP for 8 products!B:E""),4,0)"),53.0)</f>
        <v>53</v>
      </c>
      <c r="J29" s="8" t="str">
        <f t="shared" si="1"/>
        <v>Tier 1</v>
      </c>
      <c r="K29" s="9" t="str">
        <f t="shared" si="2"/>
        <v>Active</v>
      </c>
      <c r="L29" s="4" t="str">
        <f>IFERROR(__xludf.DUMMYFUNCTION("vlookup(C29,importrange(""1kw74ismGU34AsZ5x-W4x7F3Zt2xc8NSYcCVMrCJBmdQ"",""DRP for 8 products!B:H""),6,0)"),"BigQuery")</f>
        <v>BigQuery</v>
      </c>
      <c r="M29" s="10" t="str">
        <f t="shared" si="3"/>
        <v>Yes</v>
      </c>
    </row>
    <row r="30">
      <c r="A30" s="4" t="str">
        <f>IFERROR(__xludf.DUMMYFUNCTION("vlookup(C30,IMPORTRANGE(""1Kgoo8qyo6zMtf_5B03ksZz228jg0XpZ4_KXsdHQ4Vks"",""14 Sept!A:B""),2,0)"),"DME2245")</f>
        <v>DME2245</v>
      </c>
      <c r="B30" s="5" t="str">
        <f>IFERROR(__xludf.DUMMYFUNCTION("""COMPUTED_VALUE"""),"Atharva Karnale")</f>
        <v>Atharva Karnale</v>
      </c>
      <c r="C30" s="5" t="str">
        <f>IFERROR(__xludf.DUMMYFUNCTION("""COMPUTED_VALUE"""),"atharva.karnale@onixnet.com")</f>
        <v>atharva.karnale@onixnet.com</v>
      </c>
      <c r="D30" s="4" t="s">
        <v>11</v>
      </c>
      <c r="E30" s="6" t="str">
        <f>IFERROR(__xludf.DUMMYFUNCTION("vlookup($A30,importrange(""1fyGnaViAX9kns28pvsfPvI9925sAI7kxPlM7jpuHVJM"",""Validation!A:Z""),11,0)"),"Delivery Services")</f>
        <v>Delivery Services</v>
      </c>
      <c r="F30" s="6" t="str">
        <f>IFERROR(__xludf.DUMMYFUNCTION("vlookup($A30,importrange(""1fyGnaViAX9kns28pvsfPvI9925sAI7kxPlM7jpuHVJM"",""Validation!A:Z""),23,0)"),"Devayani Girish Pillai")</f>
        <v>Devayani Girish Pillai</v>
      </c>
      <c r="G30" s="6" t="str">
        <f>IFERROR(__xludf.DUMMYFUNCTION("vlookup(A30,importrange(""1fyGnaViAX9kns28pvsfPvI9925sAI7kxPlM7jpuHVJM"",""Validation!A:Z""),22,0)"),"Cluster - Devayani")</f>
        <v>Cluster - Devayani</v>
      </c>
      <c r="H30" s="4" t="str">
        <f>IFERROR(__xludf.DUMMYFUNCTION("vlookup(C30,importrange(""1kw74ismGU34AsZ5x-W4x7F3Zt2xc8NSYcCVMrCJBmdQ"",""DRP for 8 products!B:C""),2,0)"),"ONIAKTHQ8")</f>
        <v>ONIAKTHQ8</v>
      </c>
      <c r="I30" s="7">
        <f>IFERROR(__xludf.DUMMYFUNCTION("vlookup(C30,importrange(""1kw74ismGU34AsZ5x-W4x7F3Zt2xc8NSYcCVMrCJBmdQ"",""DRP for 8 products!B:E""),4,0)"),53.0)</f>
        <v>53</v>
      </c>
      <c r="J30" s="8" t="str">
        <f t="shared" si="1"/>
        <v>Tier 1</v>
      </c>
      <c r="K30" s="9" t="str">
        <f t="shared" si="2"/>
        <v>Active</v>
      </c>
      <c r="L30" s="4" t="str">
        <f>IFERROR(__xludf.DUMMYFUNCTION("vlookup(C30,importrange(""1kw74ismGU34AsZ5x-W4x7F3Zt2xc8NSYcCVMrCJBmdQ"",""DRP for 8 products!B:H""),6,0)"),"BigQuery")</f>
        <v>BigQuery</v>
      </c>
      <c r="M30" s="10" t="str">
        <f t="shared" si="3"/>
        <v>Yes</v>
      </c>
    </row>
    <row r="31">
      <c r="A31" s="4" t="str">
        <f>IFERROR(__xludf.DUMMYFUNCTION("vlookup(C31,IMPORTRANGE(""1Kgoo8qyo6zMtf_5B03ksZz228jg0XpZ4_KXsdHQ4Vks"",""14 Sept!A:B""),2,0)"),"DME1597")</f>
        <v>DME1597</v>
      </c>
      <c r="B31" s="5" t="str">
        <f>IFERROR(__xludf.DUMMYFUNCTION("""COMPUTED_VALUE"""),"Kaustubh Thakre")</f>
        <v>Kaustubh Thakre</v>
      </c>
      <c r="C31" s="5" t="str">
        <f>IFERROR(__xludf.DUMMYFUNCTION("""COMPUTED_VALUE"""),"kaustubh.thakre@onixnet.com")</f>
        <v>kaustubh.thakre@onixnet.com</v>
      </c>
      <c r="D31" s="4" t="s">
        <v>11</v>
      </c>
      <c r="E31" s="6" t="str">
        <f>IFERROR(__xludf.DUMMYFUNCTION("vlookup($A31,importrange(""1fyGnaViAX9kns28pvsfPvI9925sAI7kxPlM7jpuHVJM"",""Validation!A:Z""),11,0)"),"Delivery Services")</f>
        <v>Delivery Services</v>
      </c>
      <c r="F31" s="6" t="str">
        <f>IFERROR(__xludf.DUMMYFUNCTION("vlookup($A31,importrange(""1fyGnaViAX9kns28pvsfPvI9925sAI7kxPlM7jpuHVJM"",""Validation!A:Z""),23,0)"),"Marut Misra")</f>
        <v>Marut Misra</v>
      </c>
      <c r="G31" s="6" t="str">
        <f>IFERROR(__xludf.DUMMYFUNCTION("vlookup(A31,importrange(""1fyGnaViAX9kns28pvsfPvI9925sAI7kxPlM7jpuHVJM"",""Validation!A:Z""),22,0)"),"Cluster - Sachin")</f>
        <v>Cluster - Sachin</v>
      </c>
      <c r="H31" s="4" t="str">
        <f>IFERROR(__xludf.DUMMYFUNCTION("vlookup(C31,importrange(""1kw74ismGU34AsZ5x-W4x7F3Zt2xc8NSYcCVMrCJBmdQ"",""DRP for 8 products!B:C""),2,0)"),"ONIKTXGS7")</f>
        <v>ONIKTXGS7</v>
      </c>
      <c r="I31" s="7">
        <f>IFERROR(__xludf.DUMMYFUNCTION("vlookup(C31,importrange(""1kw74ismGU34AsZ5x-W4x7F3Zt2xc8NSYcCVMrCJBmdQ"",""DRP for 8 products!B:E""),4,0)"),39.0)</f>
        <v>39</v>
      </c>
      <c r="J31" s="8" t="str">
        <f t="shared" si="1"/>
        <v>Tier 2</v>
      </c>
      <c r="K31" s="9" t="str">
        <f t="shared" si="2"/>
        <v>Active</v>
      </c>
      <c r="L31" s="4" t="str">
        <f>IFERROR(__xludf.DUMMYFUNCTION("vlookup(C31,importrange(""1kw74ismGU34AsZ5x-W4x7F3Zt2xc8NSYcCVMrCJBmdQ"",""DRP for 8 products!B:H""),6,0)"),"BigQuery")</f>
        <v>BigQuery</v>
      </c>
      <c r="M31" s="10" t="str">
        <f t="shared" si="3"/>
        <v>Yes</v>
      </c>
    </row>
    <row r="32">
      <c r="A32" s="4" t="str">
        <f>IFERROR(__xludf.DUMMYFUNCTION("vlookup(C32,IMPORTRANGE(""1Kgoo8qyo6zMtf_5B03ksZz228jg0XpZ4_KXsdHQ4Vks"",""14 Sept!A:B""),2,0)"),"DME2762")</f>
        <v>DME2762</v>
      </c>
      <c r="B32" s="5" t="str">
        <f>IFERROR(__xludf.DUMMYFUNCTION("""COMPUTED_VALUE"""),"Yuvraj Mahajan")</f>
        <v>Yuvraj Mahajan</v>
      </c>
      <c r="C32" s="5" t="str">
        <f>IFERROR(__xludf.DUMMYFUNCTION("""COMPUTED_VALUE"""),"yuvraj.mahajan@onixnet.com")</f>
        <v>yuvraj.mahajan@onixnet.com</v>
      </c>
      <c r="D32" s="4" t="s">
        <v>11</v>
      </c>
      <c r="E32" s="6" t="str">
        <f>IFERROR(__xludf.DUMMYFUNCTION("vlookup($A32,importrange(""1fyGnaViAX9kns28pvsfPvI9925sAI7kxPlM7jpuHVJM"",""Validation!A:Z""),11,0)"),"Corporate Operations")</f>
        <v>Corporate Operations</v>
      </c>
      <c r="F32" s="6" t="str">
        <f>IFERROR(__xludf.DUMMYFUNCTION("vlookup($A32,importrange(""1fyGnaViAX9kns28pvsfPvI9925sAI7kxPlM7jpuHVJM"",""Validation!A:Z""),23,0)"),"Satya Pillai")</f>
        <v>Satya Pillai</v>
      </c>
      <c r="G32" s="6" t="str">
        <f>IFERROR(__xludf.DUMMYFUNCTION("vlookup(A32,importrange(""1fyGnaViAX9kns28pvsfPvI9925sAI7kxPlM7jpuHVJM"",""Validation!A:Z""),22,0)"),"Cluster - Satya")</f>
        <v>Cluster - Satya</v>
      </c>
      <c r="H32" s="4" t="str">
        <f>IFERROR(__xludf.DUMMYFUNCTION("vlookup(C32,importrange(""1kw74ismGU34AsZ5x-W4x7F3Zt2xc8NSYcCVMrCJBmdQ"",""DRP for 8 products!B:C""),2,0)"),"ONIYMIVO8")</f>
        <v>ONIYMIVO8</v>
      </c>
      <c r="I32" s="7">
        <f>IFERROR(__xludf.DUMMYFUNCTION("vlookup(C32,importrange(""1kw74ismGU34AsZ5x-W4x7F3Zt2xc8NSYcCVMrCJBmdQ"",""DRP for 8 products!B:E""),4,0)"),15.0)</f>
        <v>15</v>
      </c>
      <c r="J32" s="8" t="str">
        <f t="shared" si="1"/>
        <v>Tier 4</v>
      </c>
      <c r="K32" s="9" t="str">
        <f t="shared" si="2"/>
        <v>Active</v>
      </c>
      <c r="L32" s="4" t="str">
        <f>IFERROR(__xludf.DUMMYFUNCTION("vlookup(C32,importrange(""1kw74ismGU34AsZ5x-W4x7F3Zt2xc8NSYcCVMrCJBmdQ"",""DRP for 8 products!B:H""),6,0)"),"AlloyDB for PostgreSQL")</f>
        <v>AlloyDB for PostgreSQL</v>
      </c>
      <c r="M32" s="10" t="str">
        <f t="shared" si="3"/>
        <v>Yes</v>
      </c>
    </row>
    <row r="33">
      <c r="A33" s="4" t="str">
        <f>IFERROR(__xludf.DUMMYFUNCTION("vlookup(C33,IMPORTRANGE(""1Kgoo8qyo6zMtf_5B03ksZz228jg0XpZ4_KXsdHQ4Vks"",""14 Sept!A:B""),2,0)"),"DME2718")</f>
        <v>DME2718</v>
      </c>
      <c r="B33" s="5" t="str">
        <f>IFERROR(__xludf.DUMMYFUNCTION("""COMPUTED_VALUE"""),"Tanmay Tathe")</f>
        <v>Tanmay Tathe</v>
      </c>
      <c r="C33" s="5" t="str">
        <f>IFERROR(__xludf.DUMMYFUNCTION("""COMPUTED_VALUE"""),"tanmay.tathe@onixnet.com")</f>
        <v>tanmay.tathe@onixnet.com</v>
      </c>
      <c r="D33" s="4" t="s">
        <v>11</v>
      </c>
      <c r="E33" s="6" t="str">
        <f>IFERROR(__xludf.DUMMYFUNCTION("vlookup($A33,importrange(""1fyGnaViAX9kns28pvsfPvI9925sAI7kxPlM7jpuHVJM"",""Validation!A:Z""),11,0)"),"Delivery Services")</f>
        <v>Delivery Services</v>
      </c>
      <c r="F33" s="6" t="str">
        <f>IFERROR(__xludf.DUMMYFUNCTION("vlookup($A33,importrange(""1fyGnaViAX9kns28pvsfPvI9925sAI7kxPlM7jpuHVJM"",""Validation!A:Z""),23,0)"),"Mayuresh Kedari")</f>
        <v>Mayuresh Kedari</v>
      </c>
      <c r="G33" s="6" t="str">
        <f>IFERROR(__xludf.DUMMYFUNCTION("vlookup(A33,importrange(""1fyGnaViAX9kns28pvsfPvI9925sAI7kxPlM7jpuHVJM"",""Validation!A:Z""),22,0)"),"Cluster - Gaurav")</f>
        <v>Cluster - Gaurav</v>
      </c>
      <c r="H33" s="4" t="str">
        <f>IFERROR(__xludf.DUMMYFUNCTION("vlookup(C33,importrange(""1kw74ismGU34AsZ5x-W4x7F3Zt2xc8NSYcCVMrCJBmdQ"",""DRP for 8 products!B:C""),2,0)"),"ONITTTDQ4")</f>
        <v>ONITTTDQ4</v>
      </c>
      <c r="I33" s="7">
        <f>IFERROR(__xludf.DUMMYFUNCTION("vlookup(C33,importrange(""1kw74ismGU34AsZ5x-W4x7F3Zt2xc8NSYcCVMrCJBmdQ"",""DRP for 8 products!B:E""),4,0)"),46.0)</f>
        <v>46</v>
      </c>
      <c r="J33" s="8" t="str">
        <f t="shared" si="1"/>
        <v>Tier 2</v>
      </c>
      <c r="K33" s="9" t="str">
        <f t="shared" si="2"/>
        <v>Active</v>
      </c>
      <c r="L33" s="4" t="str">
        <f>IFERROR(__xludf.DUMMYFUNCTION("vlookup(C33,importrange(""1kw74ismGU34AsZ5x-W4x7F3Zt2xc8NSYcCVMrCJBmdQ"",""DRP for 8 products!B:H""),6,0)"),"BigQuery")</f>
        <v>BigQuery</v>
      </c>
      <c r="M33" s="10" t="str">
        <f t="shared" si="3"/>
        <v>Yes</v>
      </c>
    </row>
    <row r="34">
      <c r="A34" s="4" t="str">
        <f>IFERROR(__xludf.DUMMYFUNCTION("vlookup(C34,IMPORTRANGE(""1Kgoo8qyo6zMtf_5B03ksZz228jg0XpZ4_KXsdHQ4Vks"",""14 Sept!A:B""),2,0)"),"DME1384")</f>
        <v>DME1384</v>
      </c>
      <c r="B34" s="5" t="str">
        <f>IFERROR(__xludf.DUMMYFUNCTION("""COMPUTED_VALUE"""),"Rutuja Ghurde")</f>
        <v>Rutuja Ghurde</v>
      </c>
      <c r="C34" s="5" t="str">
        <f>IFERROR(__xludf.DUMMYFUNCTION("""COMPUTED_VALUE"""),"rutuja.ghurde@onixnet.com")</f>
        <v>rutuja.ghurde@onixnet.com</v>
      </c>
      <c r="D34" s="4" t="s">
        <v>11</v>
      </c>
      <c r="E34" s="6" t="str">
        <f>IFERROR(__xludf.DUMMYFUNCTION("vlookup($A34,importrange(""1fyGnaViAX9kns28pvsfPvI9925sAI7kxPlM7jpuHVJM"",""Validation!A:Z""),11,0)"),"Product Engineering")</f>
        <v>Product Engineering</v>
      </c>
      <c r="F34" s="6" t="str">
        <f>IFERROR(__xludf.DUMMYFUNCTION("vlookup($A34,importrange(""1fyGnaViAX9kns28pvsfPvI9925sAI7kxPlM7jpuHVJM"",""Validation!A:Z""),23,0)"),"Sachin Sakle")</f>
        <v>Sachin Sakle</v>
      </c>
      <c r="G34" s="6" t="str">
        <f>IFERROR(__xludf.DUMMYFUNCTION("vlookup(A34,importrange(""1fyGnaViAX9kns28pvsfPvI9925sAI7kxPlM7jpuHVJM"",""Validation!A:Z""),22,0)"),"Cluster - Mayur")</f>
        <v>Cluster - Mayur</v>
      </c>
      <c r="H34" s="4" t="str">
        <f>IFERROR(__xludf.DUMMYFUNCTION("vlookup(C34,importrange(""1kw74ismGU34AsZ5x-W4x7F3Zt2xc8NSYcCVMrCJBmdQ"",""DRP for 8 products!B:C""),2,0)"),"ONIRGDPW6")</f>
        <v>ONIRGDPW6</v>
      </c>
      <c r="I34" s="7">
        <f>IFERROR(__xludf.DUMMYFUNCTION("vlookup(C34,importrange(""1kw74ismGU34AsZ5x-W4x7F3Zt2xc8NSYcCVMrCJBmdQ"",""DRP for 8 products!B:E""),4,0)"),24.0)</f>
        <v>24</v>
      </c>
      <c r="J34" s="8" t="str">
        <f t="shared" si="1"/>
        <v>Tier 3</v>
      </c>
      <c r="K34" s="9" t="str">
        <f t="shared" si="2"/>
        <v>Active</v>
      </c>
      <c r="L34" s="4" t="str">
        <f>IFERROR(__xludf.DUMMYFUNCTION("vlookup(C34,importrange(""1kw74ismGU34AsZ5x-W4x7F3Zt2xc8NSYcCVMrCJBmdQ"",""DRP for 8 products!B:H""),6,0)"),"BigQuery")</f>
        <v>BigQuery</v>
      </c>
      <c r="M34" s="10" t="str">
        <f t="shared" si="3"/>
        <v>Yes</v>
      </c>
    </row>
    <row r="35">
      <c r="A35" s="4" t="str">
        <f>IFERROR(__xludf.DUMMYFUNCTION("vlookup(C35,IMPORTRANGE(""1Kgoo8qyo6zMtf_5B03ksZz228jg0XpZ4_KXsdHQ4Vks"",""14 Sept!A:B""),2,0)"),"DME2752")</f>
        <v>DME2752</v>
      </c>
      <c r="B35" s="5" t="str">
        <f>IFERROR(__xludf.DUMMYFUNCTION("""COMPUTED_VALUE"""),"Soumodeep Dey")</f>
        <v>Soumodeep Dey</v>
      </c>
      <c r="C35" s="5" t="str">
        <f>IFERROR(__xludf.DUMMYFUNCTION("""COMPUTED_VALUE"""),"soumodeep.dey@onixnet.com")</f>
        <v>soumodeep.dey@onixnet.com</v>
      </c>
      <c r="D35" s="4" t="s">
        <v>11</v>
      </c>
      <c r="E35" s="6" t="str">
        <f>IFERROR(__xludf.DUMMYFUNCTION("vlookup($A35,importrange(""1fyGnaViAX9kns28pvsfPvI9925sAI7kxPlM7jpuHVJM"",""Validation!A:Z""),11,0)"),"Delivery Services")</f>
        <v>Delivery Services</v>
      </c>
      <c r="F35" s="6" t="str">
        <f>IFERROR(__xludf.DUMMYFUNCTION("vlookup($A35,importrange(""1fyGnaViAX9kns28pvsfPvI9925sAI7kxPlM7jpuHVJM"",""Validation!A:Z""),23,0)"),"Manish Ahlawat")</f>
        <v>Manish Ahlawat</v>
      </c>
      <c r="G35" s="6" t="str">
        <f>IFERROR(__xludf.DUMMYFUNCTION("vlookup(A35,importrange(""1fyGnaViAX9kns28pvsfPvI9925sAI7kxPlM7jpuHVJM"",""Validation!A:Z""),22,0)"),"Cluster - Gaurav")</f>
        <v>Cluster - Gaurav</v>
      </c>
      <c r="H35" s="4" t="str">
        <f>IFERROR(__xludf.DUMMYFUNCTION("vlookup(C35,importrange(""1kw74ismGU34AsZ5x-W4x7F3Zt2xc8NSYcCVMrCJBmdQ"",""DRP for 8 products!B:C""),2,0)"),"ONISDZGI0")</f>
        <v>ONISDZGI0</v>
      </c>
      <c r="I35" s="7">
        <f>IFERROR(__xludf.DUMMYFUNCTION("vlookup(C35,importrange(""1kw74ismGU34AsZ5x-W4x7F3Zt2xc8NSYcCVMrCJBmdQ"",""DRP for 8 products!B:E""),4,0)"),15.0)</f>
        <v>15</v>
      </c>
      <c r="J35" s="8" t="str">
        <f t="shared" si="1"/>
        <v>Tier 4</v>
      </c>
      <c r="K35" s="9" t="str">
        <f t="shared" si="2"/>
        <v>Active</v>
      </c>
      <c r="L35" s="4" t="str">
        <f>IFERROR(__xludf.DUMMYFUNCTION("vlookup(C35,importrange(""1kw74ismGU34AsZ5x-W4x7F3Zt2xc8NSYcCVMrCJBmdQ"",""DRP for 8 products!B:H""),6,0)"),"BigQuery")</f>
        <v>BigQuery</v>
      </c>
      <c r="M35" s="10" t="str">
        <f t="shared" si="3"/>
        <v>Yes</v>
      </c>
    </row>
    <row r="36">
      <c r="A36" s="4" t="str">
        <f>IFERROR(__xludf.DUMMYFUNCTION("vlookup(C36,IMPORTRANGE(""1Kgoo8qyo6zMtf_5B03ksZz228jg0XpZ4_KXsdHQ4Vks"",""14 Sept!A:B""),2,0)"),"DME1750")</f>
        <v>DME1750</v>
      </c>
      <c r="B36" s="5" t="str">
        <f>IFERROR(__xludf.DUMMYFUNCTION("""COMPUTED_VALUE"""),"Ashwini Kand")</f>
        <v>Ashwini Kand</v>
      </c>
      <c r="C36" s="5" t="str">
        <f>IFERROR(__xludf.DUMMYFUNCTION("""COMPUTED_VALUE"""),"ashwini.kand@onixnet.com")</f>
        <v>ashwini.kand@onixnet.com</v>
      </c>
      <c r="D36" s="4" t="s">
        <v>11</v>
      </c>
      <c r="E36" s="6" t="str">
        <f>IFERROR(__xludf.DUMMYFUNCTION("vlookup($A36,importrange(""1fyGnaViAX9kns28pvsfPvI9925sAI7kxPlM7jpuHVJM"",""Validation!A:Z""),11,0)"),"Professional Services")</f>
        <v>Professional Services</v>
      </c>
      <c r="F36" s="6" t="str">
        <f>IFERROR(__xludf.DUMMYFUNCTION("vlookup($A36,importrange(""1fyGnaViAX9kns28pvsfPvI9925sAI7kxPlM7jpuHVJM"",""Validation!A:Z""),23,0)"),"Priyanka Jain")</f>
        <v>Priyanka Jain</v>
      </c>
      <c r="G36" s="6" t="str">
        <f>IFERROR(__xludf.DUMMYFUNCTION("vlookup(A36,importrange(""1fyGnaViAX9kns28pvsfPvI9925sAI7kxPlM7jpuHVJM"",""Validation!A:Z""),22,0)"),"Cluster - Sagar")</f>
        <v>Cluster - Sagar</v>
      </c>
      <c r="H36" s="4" t="str">
        <f>IFERROR(__xludf.DUMMYFUNCTION("vlookup(C36,importrange(""1kw74ismGU34AsZ5x-W4x7F3Zt2xc8NSYcCVMrCJBmdQ"",""DRP for 8 products!B:C""),2,0)"),"ONIAKTBY2")</f>
        <v>ONIAKTBY2</v>
      </c>
      <c r="I36" s="7">
        <f>IFERROR(__xludf.DUMMYFUNCTION("vlookup(C36,importrange(""1kw74ismGU34AsZ5x-W4x7F3Zt2xc8NSYcCVMrCJBmdQ"",""DRP for 8 products!B:E""),4,0)"),50.0)</f>
        <v>50</v>
      </c>
      <c r="J36" s="8" t="str">
        <f t="shared" si="1"/>
        <v>Tier 1</v>
      </c>
      <c r="K36" s="9" t="str">
        <f t="shared" si="2"/>
        <v>Active</v>
      </c>
      <c r="L36" s="4" t="str">
        <f>IFERROR(__xludf.DUMMYFUNCTION("vlookup(C36,importrange(""1kw74ismGU34AsZ5x-W4x7F3Zt2xc8NSYcCVMrCJBmdQ"",""DRP for 8 products!B:H""),6,0)"),"BigQuery")</f>
        <v>BigQuery</v>
      </c>
      <c r="M36" s="10" t="str">
        <f t="shared" si="3"/>
        <v>Yes</v>
      </c>
    </row>
    <row r="37">
      <c r="A37" s="4" t="str">
        <f>IFERROR(__xludf.DUMMYFUNCTION("vlookup(C37,IMPORTRANGE(""1Kgoo8qyo6zMtf_5B03ksZz228jg0XpZ4_KXsdHQ4Vks"",""14 Sept!A:B""),2,0)"),"DME1309")</f>
        <v>DME1309</v>
      </c>
      <c r="B37" s="5" t="str">
        <f>IFERROR(__xludf.DUMMYFUNCTION("""COMPUTED_VALUE"""),"Rajesh Bhalekar")</f>
        <v>Rajesh Bhalekar</v>
      </c>
      <c r="C37" s="5" t="str">
        <f>IFERROR(__xludf.DUMMYFUNCTION("""COMPUTED_VALUE"""),"rajesh.bhalekar@onixnet.com")</f>
        <v>rajesh.bhalekar@onixnet.com</v>
      </c>
      <c r="D37" s="4" t="s">
        <v>11</v>
      </c>
      <c r="E37" s="6" t="str">
        <f>IFERROR(__xludf.DUMMYFUNCTION("vlookup($A37,importrange(""1fyGnaViAX9kns28pvsfPvI9925sAI7kxPlM7jpuHVJM"",""Validation!A:Z""),11,0)"),"Delivery Services")</f>
        <v>Delivery Services</v>
      </c>
      <c r="F37" s="6" t="str">
        <f>IFERROR(__xludf.DUMMYFUNCTION("vlookup($A37,importrange(""1fyGnaViAX9kns28pvsfPvI9925sAI7kxPlM7jpuHVJM"",""Validation!A:Z""),23,0)"),"Shubham Agnihotri")</f>
        <v>Shubham Agnihotri</v>
      </c>
      <c r="G37" s="6" t="str">
        <f>IFERROR(__xludf.DUMMYFUNCTION("vlookup(A37,importrange(""1fyGnaViAX9kns28pvsfPvI9925sAI7kxPlM7jpuHVJM"",""Validation!A:Z""),22,0)"),"Cluster - Gaurav")</f>
        <v>Cluster - Gaurav</v>
      </c>
      <c r="H37" s="4" t="str">
        <f>IFERROR(__xludf.DUMMYFUNCTION("vlookup(C37,importrange(""1kw74ismGU34AsZ5x-W4x7F3Zt2xc8NSYcCVMrCJBmdQ"",""DRP for 8 products!B:C""),2,0)"),"ONIRBIHC9")</f>
        <v>ONIRBIHC9</v>
      </c>
      <c r="I37" s="7">
        <f>IFERROR(__xludf.DUMMYFUNCTION("vlookup(C37,importrange(""1kw74ismGU34AsZ5x-W4x7F3Zt2xc8NSYcCVMrCJBmdQ"",""DRP for 8 products!B:E""),4,0)"),34.0)</f>
        <v>34</v>
      </c>
      <c r="J37" s="8" t="str">
        <f t="shared" si="1"/>
        <v>Tier 3</v>
      </c>
      <c r="K37" s="9" t="str">
        <f t="shared" si="2"/>
        <v>Active</v>
      </c>
      <c r="L37" s="4" t="str">
        <f>IFERROR(__xludf.DUMMYFUNCTION("vlookup(C37,importrange(""1kw74ismGU34AsZ5x-W4x7F3Zt2xc8NSYcCVMrCJBmdQ"",""DRP for 8 products!B:H""),6,0)"),"BigQuery")</f>
        <v>BigQuery</v>
      </c>
      <c r="M37" s="10" t="str">
        <f t="shared" si="3"/>
        <v>Yes</v>
      </c>
    </row>
    <row r="38">
      <c r="A38" s="4" t="str">
        <f>IFERROR(__xludf.DUMMYFUNCTION("vlookup(C38,IMPORTRANGE(""1Kgoo8qyo6zMtf_5B03ksZz228jg0XpZ4_KXsdHQ4Vks"",""14 Sept!A:B""),2,0)"),"DME3395")</f>
        <v>DME3395</v>
      </c>
      <c r="B38" s="5" t="str">
        <f>IFERROR(__xludf.DUMMYFUNCTION("""COMPUTED_VALUE"""),"Aditya Konde")</f>
        <v>Aditya Konde</v>
      </c>
      <c r="C38" s="5" t="str">
        <f>IFERROR(__xludf.DUMMYFUNCTION("""COMPUTED_VALUE"""),"aditya.konde@onixnet.com")</f>
        <v>aditya.konde@onixnet.com</v>
      </c>
      <c r="D38" s="4" t="s">
        <v>11</v>
      </c>
      <c r="E38" s="6" t="str">
        <f>IFERROR(__xludf.DUMMYFUNCTION("vlookup($A38,importrange(""1fyGnaViAX9kns28pvsfPvI9925sAI7kxPlM7jpuHVJM"",""Validation!A:Z""),11,0)"),"Delivery Services")</f>
        <v>Delivery Services</v>
      </c>
      <c r="F38" s="6" t="str">
        <f>IFERROR(__xludf.DUMMYFUNCTION("vlookup($A38,importrange(""1fyGnaViAX9kns28pvsfPvI9925sAI7kxPlM7jpuHVJM"",""Validation!A:Z""),23,0)"),"Akash Choudhari")</f>
        <v>Akash Choudhari</v>
      </c>
      <c r="G38" s="6" t="str">
        <f>IFERROR(__xludf.DUMMYFUNCTION("vlookup(A38,importrange(""1fyGnaViAX9kns28pvsfPvI9925sAI7kxPlM7jpuHVJM"",""Validation!A:Z""),22,0)"),"Cluster - Sandeep")</f>
        <v>Cluster - Sandeep</v>
      </c>
      <c r="H38" s="4" t="str">
        <f>IFERROR(__xludf.DUMMYFUNCTION("vlookup(C38,importrange(""1kw74ismGU34AsZ5x-W4x7F3Zt2xc8NSYcCVMrCJBmdQ"",""DRP for 8 products!B:C""),2,0)"),"ONIAKGOS5")</f>
        <v>ONIAKGOS5</v>
      </c>
      <c r="I38" s="7">
        <f>IFERROR(__xludf.DUMMYFUNCTION("vlookup(C38,importrange(""1kw74ismGU34AsZ5x-W4x7F3Zt2xc8NSYcCVMrCJBmdQ"",""DRP for 8 products!B:E""),4,0)"),21.0)</f>
        <v>21</v>
      </c>
      <c r="J38" s="8" t="str">
        <f t="shared" si="1"/>
        <v>Tier 3</v>
      </c>
      <c r="K38" s="9" t="str">
        <f t="shared" si="2"/>
        <v>Active</v>
      </c>
      <c r="L38" s="4" t="str">
        <f>IFERROR(__xludf.DUMMYFUNCTION("vlookup(C38,importrange(""1kw74ismGU34AsZ5x-W4x7F3Zt2xc8NSYcCVMrCJBmdQ"",""DRP for 8 products!B:H""),6,0)"),"BigQuery")</f>
        <v>BigQuery</v>
      </c>
      <c r="M38" s="10" t="str">
        <f t="shared" si="3"/>
        <v>Yes</v>
      </c>
    </row>
    <row r="39">
      <c r="A39" s="4" t="str">
        <f>IFERROR(__xludf.DUMMYFUNCTION("vlookup(C39,IMPORTRANGE(""1Kgoo8qyo6zMtf_5B03ksZz228jg0XpZ4_KXsdHQ4Vks"",""14 Sept!A:B""),2,0)"),"DME3367")</f>
        <v>DME3367</v>
      </c>
      <c r="B39" s="5" t="str">
        <f>IFERROR(__xludf.DUMMYFUNCTION("""COMPUTED_VALUE"""),"Pavankumar Kalyane")</f>
        <v>Pavankumar Kalyane</v>
      </c>
      <c r="C39" s="5" t="str">
        <f>IFERROR(__xludf.DUMMYFUNCTION("""COMPUTED_VALUE"""),"pavankumar.kalyane@onixnet.com")</f>
        <v>pavankumar.kalyane@onixnet.com</v>
      </c>
      <c r="D39" s="4" t="s">
        <v>11</v>
      </c>
      <c r="E39" s="6" t="str">
        <f>IFERROR(__xludf.DUMMYFUNCTION("vlookup($A39,importrange(""1fyGnaViAX9kns28pvsfPvI9925sAI7kxPlM7jpuHVJM"",""Validation!A:Z""),11,0)"),"Delivery Services")</f>
        <v>Delivery Services</v>
      </c>
      <c r="F39" s="6" t="str">
        <f>IFERROR(__xludf.DUMMYFUNCTION("vlookup($A39,importrange(""1fyGnaViAX9kns28pvsfPvI9925sAI7kxPlM7jpuHVJM"",""Validation!A:Z""),23,0)"),"Prabhat Jain")</f>
        <v>Prabhat Jain</v>
      </c>
      <c r="G39" s="6" t="str">
        <f>IFERROR(__xludf.DUMMYFUNCTION("vlookup(A39,importrange(""1fyGnaViAX9kns28pvsfPvI9925sAI7kxPlM7jpuHVJM"",""Validation!A:Z""),22,0)"),"Cluster - Gaurav")</f>
        <v>Cluster - Gaurav</v>
      </c>
      <c r="H39" s="4" t="str">
        <f>IFERROR(__xludf.DUMMYFUNCTION("vlookup(C39,importrange(""1kw74ismGU34AsZ5x-W4x7F3Zt2xc8NSYcCVMrCJBmdQ"",""DRP for 8 products!B:C""),2,0)"),"ONIPKJCG0")</f>
        <v>ONIPKJCG0</v>
      </c>
      <c r="I39" s="7">
        <f>IFERROR(__xludf.DUMMYFUNCTION("vlookup(C39,importrange(""1kw74ismGU34AsZ5x-W4x7F3Zt2xc8NSYcCVMrCJBmdQ"",""DRP for 8 products!B:E""),4,0)"),26.0)</f>
        <v>26</v>
      </c>
      <c r="J39" s="8" t="str">
        <f t="shared" si="1"/>
        <v>Tier 3</v>
      </c>
      <c r="K39" s="9" t="str">
        <f t="shared" si="2"/>
        <v>Active</v>
      </c>
      <c r="L39" s="4" t="str">
        <f>IFERROR(__xludf.DUMMYFUNCTION("vlookup(C39,importrange(""1kw74ismGU34AsZ5x-W4x7F3Zt2xc8NSYcCVMrCJBmdQ"",""DRP for 8 products!B:H""),6,0)"),"BigQuery")</f>
        <v>BigQuery</v>
      </c>
      <c r="M39" s="10" t="str">
        <f t="shared" si="3"/>
        <v>Yes</v>
      </c>
    </row>
    <row r="40">
      <c r="A40" s="4" t="str">
        <f>IFERROR(__xludf.DUMMYFUNCTION("vlookup(C40,IMPORTRANGE(""1Kgoo8qyo6zMtf_5B03ksZz228jg0XpZ4_KXsdHQ4Vks"",""14 Sept!A:B""),2,0)"),"DME1368")</f>
        <v>DME1368</v>
      </c>
      <c r="B40" s="5" t="str">
        <f>IFERROR(__xludf.DUMMYFUNCTION("""COMPUTED_VALUE"""),"Pratiksha Gaikwad")</f>
        <v>Pratiksha Gaikwad</v>
      </c>
      <c r="C40" s="5" t="str">
        <f>IFERROR(__xludf.DUMMYFUNCTION("""COMPUTED_VALUE"""),"pratiksha.gaikwad@onixnet.com")</f>
        <v>pratiksha.gaikwad@onixnet.com</v>
      </c>
      <c r="D40" s="4" t="s">
        <v>11</v>
      </c>
      <c r="E40" s="6" t="str">
        <f>IFERROR(__xludf.DUMMYFUNCTION("vlookup($A40,importrange(""1fyGnaViAX9kns28pvsfPvI9925sAI7kxPlM7jpuHVJM"",""Validation!A:Z""),11,0)"),"Delivery Services")</f>
        <v>Delivery Services</v>
      </c>
      <c r="F40" s="6" t="str">
        <f>IFERROR(__xludf.DUMMYFUNCTION("vlookup($A40,importrange(""1fyGnaViAX9kns28pvsfPvI9925sAI7kxPlM7jpuHVJM"",""Validation!A:Z""),23,0)"),"Jitender Singh")</f>
        <v>Jitender Singh</v>
      </c>
      <c r="G40" s="6" t="str">
        <f>IFERROR(__xludf.DUMMYFUNCTION("vlookup(A40,importrange(""1fyGnaViAX9kns28pvsfPvI9925sAI7kxPlM7jpuHVJM"",""Validation!A:Z""),22,0)"),"Cluster - Gaurav")</f>
        <v>Cluster - Gaurav</v>
      </c>
      <c r="H40" s="4" t="str">
        <f>IFERROR(__xludf.DUMMYFUNCTION("vlookup(C40,importrange(""1kw74ismGU34AsZ5x-W4x7F3Zt2xc8NSYcCVMrCJBmdQ"",""DRP for 8 products!B:C""),2,0)"),"ONIPGKSI8")</f>
        <v>ONIPGKSI8</v>
      </c>
      <c r="I40" s="7">
        <f>IFERROR(__xludf.DUMMYFUNCTION("vlookup(C40,importrange(""1kw74ismGU34AsZ5x-W4x7F3Zt2xc8NSYcCVMrCJBmdQ"",""DRP for 8 products!B:E""),4,0)"),9.0)</f>
        <v>9</v>
      </c>
      <c r="J40" s="8" t="str">
        <f t="shared" si="1"/>
        <v>Tier 4</v>
      </c>
      <c r="K40" s="9" t="str">
        <f t="shared" si="2"/>
        <v>Active</v>
      </c>
      <c r="L40" s="4" t="str">
        <f>IFERROR(__xludf.DUMMYFUNCTION("vlookup(C40,importrange(""1kw74ismGU34AsZ5x-W4x7F3Zt2xc8NSYcCVMrCJBmdQ"",""DRP for 8 products!B:H""),6,0)"),"BigQuery")</f>
        <v>BigQuery</v>
      </c>
      <c r="M40" s="10" t="str">
        <f t="shared" si="3"/>
        <v>Yes</v>
      </c>
    </row>
    <row r="41">
      <c r="A41" s="4" t="str">
        <f>IFERROR(__xludf.DUMMYFUNCTION("vlookup(C41,IMPORTRANGE(""1Kgoo8qyo6zMtf_5B03ksZz228jg0XpZ4_KXsdHQ4Vks"",""14 Sept!A:B""),2,0)"),"DME2759")</f>
        <v>DME2759</v>
      </c>
      <c r="B41" s="5" t="str">
        <f>IFERROR(__xludf.DUMMYFUNCTION("""COMPUTED_VALUE"""),"Ramesh Sirra")</f>
        <v>Ramesh Sirra</v>
      </c>
      <c r="C41" s="5" t="str">
        <f>IFERROR(__xludf.DUMMYFUNCTION("""COMPUTED_VALUE"""),"ramesh.sirra@onixnet.com")</f>
        <v>ramesh.sirra@onixnet.com</v>
      </c>
      <c r="D41" s="4" t="s">
        <v>11</v>
      </c>
      <c r="E41" s="6" t="str">
        <f>IFERROR(__xludf.DUMMYFUNCTION("vlookup($A41,importrange(""1fyGnaViAX9kns28pvsfPvI9925sAI7kxPlM7jpuHVJM"",""Validation!A:Z""),11,0)"),"Delivery Services")</f>
        <v>Delivery Services</v>
      </c>
      <c r="F41" s="6" t="str">
        <f>IFERROR(__xludf.DUMMYFUNCTION("vlookup($A41,importrange(""1fyGnaViAX9kns28pvsfPvI9925sAI7kxPlM7jpuHVJM"",""Validation!A:Z""),23,0)"),"Anitha Kumari M S")</f>
        <v>Anitha Kumari M S</v>
      </c>
      <c r="G41" s="6" t="str">
        <f>IFERROR(__xludf.DUMMYFUNCTION("vlookup(A41,importrange(""1fyGnaViAX9kns28pvsfPvI9925sAI7kxPlM7jpuHVJM"",""Validation!A:Z""),22,0)"),"Cluster - Sagar")</f>
        <v>Cluster - Sagar</v>
      </c>
      <c r="H41" s="4" t="str">
        <f>IFERROR(__xludf.DUMMYFUNCTION("vlookup(C41,importrange(""1kw74ismGU34AsZ5x-W4x7F3Zt2xc8NSYcCVMrCJBmdQ"",""DRP for 8 products!B:C""),2,0)"),"ONIRSFRL1")</f>
        <v>ONIRSFRL1</v>
      </c>
      <c r="I41" s="7">
        <f>IFERROR(__xludf.DUMMYFUNCTION("vlookup(C41,importrange(""1kw74ismGU34AsZ5x-W4x7F3Zt2xc8NSYcCVMrCJBmdQ"",""DRP for 8 products!B:E""),4,0)"),9.0)</f>
        <v>9</v>
      </c>
      <c r="J41" s="8" t="str">
        <f t="shared" si="1"/>
        <v>Tier 4</v>
      </c>
      <c r="K41" s="9" t="str">
        <f t="shared" si="2"/>
        <v>Active</v>
      </c>
      <c r="L41" s="4" t="str">
        <f>IFERROR(__xludf.DUMMYFUNCTION("vlookup(C41,importrange(""1kw74ismGU34AsZ5x-W4x7F3Zt2xc8NSYcCVMrCJBmdQ"",""DRP for 8 products!B:H""),6,0)"),"Dataflow")</f>
        <v>Dataflow</v>
      </c>
      <c r="M41" s="10" t="str">
        <f t="shared" si="3"/>
        <v>Yes</v>
      </c>
    </row>
    <row r="42">
      <c r="A42" s="4" t="str">
        <f>IFERROR(__xludf.DUMMYFUNCTION("vlookup(C42,IMPORTRANGE(""1Kgoo8qyo6zMtf_5B03ksZz228jg0XpZ4_KXsdHQ4Vks"",""14 Sept!A:B""),2,0)"),"DME1775")</f>
        <v>DME1775</v>
      </c>
      <c r="B42" s="5" t="str">
        <f>IFERROR(__xludf.DUMMYFUNCTION("""COMPUTED_VALUE"""),"Amit Argade")</f>
        <v>Amit Argade</v>
      </c>
      <c r="C42" s="5" t="str">
        <f>IFERROR(__xludf.DUMMYFUNCTION("""COMPUTED_VALUE"""),"amit.argade@onixnet.com")</f>
        <v>amit.argade@onixnet.com</v>
      </c>
      <c r="D42" s="4" t="s">
        <v>11</v>
      </c>
      <c r="E42" s="6" t="str">
        <f>IFERROR(__xludf.DUMMYFUNCTION("vlookup($A42,importrange(""1fyGnaViAX9kns28pvsfPvI9925sAI7kxPlM7jpuHVJM"",""Validation!A:Z""),11,0)"),"Delivery Services")</f>
        <v>Delivery Services</v>
      </c>
      <c r="F42" s="6" t="str">
        <f>IFERROR(__xludf.DUMMYFUNCTION("vlookup($A42,importrange(""1fyGnaViAX9kns28pvsfPvI9925sAI7kxPlM7jpuHVJM"",""Validation!A:Z""),23,0)"),"Sagar Surana")</f>
        <v>Sagar Surana</v>
      </c>
      <c r="G42" s="6" t="str">
        <f>IFERROR(__xludf.DUMMYFUNCTION("vlookup(A42,importrange(""1fyGnaViAX9kns28pvsfPvI9925sAI7kxPlM7jpuHVJM"",""Validation!A:Z""),22,0)"),"Cluster - Sagar")</f>
        <v>Cluster - Sagar</v>
      </c>
      <c r="H42" s="4" t="str">
        <f>IFERROR(__xludf.DUMMYFUNCTION("vlookup(C42,importrange(""1kw74ismGU34AsZ5x-W4x7F3Zt2xc8NSYcCVMrCJBmdQ"",""DRP for 8 products!B:C""),2,0)"),"ONIAALKL8")</f>
        <v>ONIAALKL8</v>
      </c>
      <c r="I42" s="7">
        <f>IFERROR(__xludf.DUMMYFUNCTION("vlookup(C42,importrange(""1kw74ismGU34AsZ5x-W4x7F3Zt2xc8NSYcCVMrCJBmdQ"",""DRP for 8 products!B:E""),4,0)"),24.0)</f>
        <v>24</v>
      </c>
      <c r="J42" s="8" t="str">
        <f t="shared" si="1"/>
        <v>Tier 3</v>
      </c>
      <c r="K42" s="9" t="str">
        <f t="shared" si="2"/>
        <v>Active</v>
      </c>
      <c r="L42" s="4" t="str">
        <f>IFERROR(__xludf.DUMMYFUNCTION("vlookup(C42,importrange(""1kw74ismGU34AsZ5x-W4x7F3Zt2xc8NSYcCVMrCJBmdQ"",""DRP for 8 products!B:H""),6,0)"),"BigQuery")</f>
        <v>BigQuery</v>
      </c>
      <c r="M42" s="10" t="str">
        <f t="shared" si="3"/>
        <v>Yes</v>
      </c>
    </row>
    <row r="43">
      <c r="A43" s="4" t="str">
        <f>IFERROR(__xludf.DUMMYFUNCTION("vlookup(C43,IMPORTRANGE(""1Kgoo8qyo6zMtf_5B03ksZz228jg0XpZ4_KXsdHQ4Vks"",""14 Sept!A:B""),2,0)"),"DME2552")</f>
        <v>DME2552</v>
      </c>
      <c r="B43" s="5" t="str">
        <f>IFERROR(__xludf.DUMMYFUNCTION("""COMPUTED_VALUE"""),"Pinky Mandal")</f>
        <v>Pinky Mandal</v>
      </c>
      <c r="C43" s="5" t="str">
        <f>IFERROR(__xludf.DUMMYFUNCTION("""COMPUTED_VALUE"""),"pinky.mandal@onixnet.com")</f>
        <v>pinky.mandal@onixnet.com</v>
      </c>
      <c r="D43" s="4" t="s">
        <v>11</v>
      </c>
      <c r="E43" s="6" t="str">
        <f>IFERROR(__xludf.DUMMYFUNCTION("vlookup($A43,importrange(""1fyGnaViAX9kns28pvsfPvI9925sAI7kxPlM7jpuHVJM"",""Validation!A:Z""),11,0)"),"Eagle Assessment")</f>
        <v>Eagle Assessment</v>
      </c>
      <c r="F43" s="6" t="str">
        <f>IFERROR(__xludf.DUMMYFUNCTION("vlookup($A43,importrange(""1fyGnaViAX9kns28pvsfPvI9925sAI7kxPlM7jpuHVJM"",""Validation!A:Z""),23,0)"),"Ankit Khandelwal")</f>
        <v>Ankit Khandelwal</v>
      </c>
      <c r="G43" s="6" t="str">
        <f>IFERROR(__xludf.DUMMYFUNCTION("vlookup(A43,importrange(""1fyGnaViAX9kns28pvsfPvI9925sAI7kxPlM7jpuHVJM"",""Validation!A:Z""),22,0)"),"Cluster - Kalpa")</f>
        <v>Cluster - Kalpa</v>
      </c>
      <c r="H43" s="4" t="str">
        <f>IFERROR(__xludf.DUMMYFUNCTION("vlookup(C43,importrange(""1kw74ismGU34AsZ5x-W4x7F3Zt2xc8NSYcCVMrCJBmdQ"",""DRP for 8 products!B:C""),2,0)"),"ONIPMCPX9")</f>
        <v>ONIPMCPX9</v>
      </c>
      <c r="I43" s="7">
        <f>IFERROR(__xludf.DUMMYFUNCTION("vlookup(C43,importrange(""1kw74ismGU34AsZ5x-W4x7F3Zt2xc8NSYcCVMrCJBmdQ"",""DRP for 8 products!B:E""),4,0)"),5.0)</f>
        <v>5</v>
      </c>
      <c r="J43" s="8" t="str">
        <f t="shared" si="1"/>
        <v>Tier 4</v>
      </c>
      <c r="K43" s="9" t="str">
        <f t="shared" si="2"/>
        <v>Active</v>
      </c>
      <c r="L43" s="4" t="str">
        <f>IFERROR(__xludf.DUMMYFUNCTION("vlookup(C43,importrange(""1kw74ismGU34AsZ5x-W4x7F3Zt2xc8NSYcCVMrCJBmdQ"",""DRP for 8 products!B:H""),6,0)"),"BigQuery")</f>
        <v>BigQuery</v>
      </c>
      <c r="M43" s="10" t="str">
        <f t="shared" si="3"/>
        <v>Yes</v>
      </c>
    </row>
    <row r="44">
      <c r="A44" s="4" t="str">
        <f>IFERROR(__xludf.DUMMYFUNCTION("vlookup(C44,IMPORTRANGE(""1Kgoo8qyo6zMtf_5B03ksZz228jg0XpZ4_KXsdHQ4Vks"",""14 Sept!A:B""),2,0)"),"DME2411")</f>
        <v>DME2411</v>
      </c>
      <c r="B44" s="5" t="str">
        <f>IFERROR(__xludf.DUMMYFUNCTION("""COMPUTED_VALUE"""),"Prakash Pote")</f>
        <v>Prakash Pote</v>
      </c>
      <c r="C44" s="5" t="str">
        <f>IFERROR(__xludf.DUMMYFUNCTION("""COMPUTED_VALUE"""),"prakash.pote@onixnet.com")</f>
        <v>prakash.pote@onixnet.com</v>
      </c>
      <c r="D44" s="4" t="s">
        <v>11</v>
      </c>
      <c r="E44" s="6" t="str">
        <f>IFERROR(__xludf.DUMMYFUNCTION("vlookup($A44,importrange(""1fyGnaViAX9kns28pvsfPvI9925sAI7kxPlM7jpuHVJM"",""Validation!A:Z""),11,0)"),"Delivery Services")</f>
        <v>Delivery Services</v>
      </c>
      <c r="F44" s="6" t="str">
        <f>IFERROR(__xludf.DUMMYFUNCTION("vlookup($A44,importrange(""1fyGnaViAX9kns28pvsfPvI9925sAI7kxPlM7jpuHVJM"",""Validation!A:Z""),23,0)"),"Suresh Shankar Rasal")</f>
        <v>Suresh Shankar Rasal</v>
      </c>
      <c r="G44" s="6" t="str">
        <f>IFERROR(__xludf.DUMMYFUNCTION("vlookup(A44,importrange(""1fyGnaViAX9kns28pvsfPvI9925sAI7kxPlM7jpuHVJM"",""Validation!A:Z""),22,0)"),"Cluster - Gaurav")</f>
        <v>Cluster - Gaurav</v>
      </c>
      <c r="H44" s="4" t="str">
        <f>IFERROR(__xludf.DUMMYFUNCTION("vlookup(C44,importrange(""1kw74ismGU34AsZ5x-W4x7F3Zt2xc8NSYcCVMrCJBmdQ"",""DRP for 8 products!B:C""),2,0)"),"ONIPPSSA7")</f>
        <v>ONIPPSSA7</v>
      </c>
      <c r="I44" s="7">
        <f>IFERROR(__xludf.DUMMYFUNCTION("vlookup(C44,importrange(""1kw74ismGU34AsZ5x-W4x7F3Zt2xc8NSYcCVMrCJBmdQ"",""DRP for 8 products!B:E""),4,0)"),52.0)</f>
        <v>52</v>
      </c>
      <c r="J44" s="8" t="str">
        <f t="shared" si="1"/>
        <v>Tier 1</v>
      </c>
      <c r="K44" s="9" t="str">
        <f t="shared" si="2"/>
        <v>Active</v>
      </c>
      <c r="L44" s="4" t="str">
        <f>IFERROR(__xludf.DUMMYFUNCTION("vlookup(C44,importrange(""1kw74ismGU34AsZ5x-W4x7F3Zt2xc8NSYcCVMrCJBmdQ"",""DRP for 8 products!B:H""),6,0)"),"BigQuery")</f>
        <v>BigQuery</v>
      </c>
      <c r="M44" s="10" t="str">
        <f t="shared" si="3"/>
        <v>Yes</v>
      </c>
    </row>
    <row r="45">
      <c r="A45" s="4" t="str">
        <f>IFERROR(__xludf.DUMMYFUNCTION("vlookup(C45,IMPORTRANGE(""1Kgoo8qyo6zMtf_5B03ksZz228jg0XpZ4_KXsdHQ4Vks"",""14 Sept!A:B""),2,0)"),"DME0964")</f>
        <v>DME0964</v>
      </c>
      <c r="B45" s="5" t="str">
        <f>IFERROR(__xludf.DUMMYFUNCTION("""COMPUTED_VALUE"""),"Rohan Kshirsagar")</f>
        <v>Rohan Kshirsagar</v>
      </c>
      <c r="C45" s="5" t="str">
        <f>IFERROR(__xludf.DUMMYFUNCTION("""COMPUTED_VALUE"""),"rohan.kshirsagar@onixnet.com")</f>
        <v>rohan.kshirsagar@onixnet.com</v>
      </c>
      <c r="D45" s="4" t="s">
        <v>11</v>
      </c>
      <c r="E45" s="6" t="str">
        <f>IFERROR(__xludf.DUMMYFUNCTION("vlookup($A45,importrange(""1fyGnaViAX9kns28pvsfPvI9925sAI7kxPlM7jpuHVJM"",""Validation!A:Z""),11,0)"),"Product Engineering")</f>
        <v>Product Engineering</v>
      </c>
      <c r="F45" s="6" t="str">
        <f>IFERROR(__xludf.DUMMYFUNCTION("vlookup($A45,importrange(""1fyGnaViAX9kns28pvsfPvI9925sAI7kxPlM7jpuHVJM"",""Validation!A:Z""),23,0)"),"Venkat Shivkumar")</f>
        <v>Venkat Shivkumar</v>
      </c>
      <c r="G45" s="6" t="str">
        <f>IFERROR(__xludf.DUMMYFUNCTION("vlookup(A45,importrange(""1fyGnaViAX9kns28pvsfPvI9925sAI7kxPlM7jpuHVJM"",""Validation!A:Z""),22,0)"),"Cluster - Mayur")</f>
        <v>Cluster - Mayur</v>
      </c>
      <c r="H45" s="4" t="str">
        <f>IFERROR(__xludf.DUMMYFUNCTION("vlookup(C45,importrange(""1kw74ismGU34AsZ5x-W4x7F3Zt2xc8NSYcCVMrCJBmdQ"",""DRP for 8 products!B:C""),2,0)"),"ONIRKONG9")</f>
        <v>ONIRKONG9</v>
      </c>
      <c r="I45" s="7">
        <f>IFERROR(__xludf.DUMMYFUNCTION("vlookup(C45,importrange(""1kw74ismGU34AsZ5x-W4x7F3Zt2xc8NSYcCVMrCJBmdQ"",""DRP for 8 products!B:E""),4,0)"),55.0)</f>
        <v>55</v>
      </c>
      <c r="J45" s="8" t="str">
        <f t="shared" si="1"/>
        <v>Tier 1</v>
      </c>
      <c r="K45" s="9" t="str">
        <f t="shared" si="2"/>
        <v>Active</v>
      </c>
      <c r="L45" s="4" t="str">
        <f>IFERROR(__xludf.DUMMYFUNCTION("vlookup(C45,importrange(""1kw74ismGU34AsZ5x-W4x7F3Zt2xc8NSYcCVMrCJBmdQ"",""DRP for 8 products!B:H""),6,0)"),"BigQuery")</f>
        <v>BigQuery</v>
      </c>
      <c r="M45" s="10" t="str">
        <f t="shared" si="3"/>
        <v>Yes</v>
      </c>
    </row>
    <row r="46">
      <c r="A46" s="4" t="str">
        <f>IFERROR(__xludf.DUMMYFUNCTION("vlookup(C46,IMPORTRANGE(""1Kgoo8qyo6zMtf_5B03ksZz228jg0XpZ4_KXsdHQ4Vks"",""14 Sept!A:B""),2,0)"),"DME2100")</f>
        <v>DME2100</v>
      </c>
      <c r="B46" s="5" t="str">
        <f>IFERROR(__xludf.DUMMYFUNCTION("""COMPUTED_VALUE"""),"SARANG KATRE")</f>
        <v>SARANG KATRE</v>
      </c>
      <c r="C46" s="5" t="str">
        <f>IFERROR(__xludf.DUMMYFUNCTION("""COMPUTED_VALUE"""),"sarang.katre@onixnet.com")</f>
        <v>sarang.katre@onixnet.com</v>
      </c>
      <c r="D46" s="4" t="s">
        <v>11</v>
      </c>
      <c r="E46" s="6" t="str">
        <f>IFERROR(__xludf.DUMMYFUNCTION("vlookup($A46,importrange(""1fyGnaViAX9kns28pvsfPvI9925sAI7kxPlM7jpuHVJM"",""Validation!A:Z""),11,0)"),"Delivery Services")</f>
        <v>Delivery Services</v>
      </c>
      <c r="F46" s="6" t="str">
        <f>IFERROR(__xludf.DUMMYFUNCTION("vlookup($A46,importrange(""1fyGnaViAX9kns28pvsfPvI9925sAI7kxPlM7jpuHVJM"",""Validation!A:Z""),23,0)"),"Ashwini Kumar")</f>
        <v>Ashwini Kumar</v>
      </c>
      <c r="G46" s="6" t="str">
        <f>IFERROR(__xludf.DUMMYFUNCTION("vlookup(A46,importrange(""1fyGnaViAX9kns28pvsfPvI9925sAI7kxPlM7jpuHVJM"",""Validation!A:Z""),22,0)"),"Cluster - Kanhaiya")</f>
        <v>Cluster - Kanhaiya</v>
      </c>
      <c r="H46" s="4" t="str">
        <f>IFERROR(__xludf.DUMMYFUNCTION("vlookup(C46,importrange(""1kw74ismGU34AsZ5x-W4x7F3Zt2xc8NSYcCVMrCJBmdQ"",""DRP for 8 products!B:C""),2,0)"),"ONISKWTF5")</f>
        <v>ONISKWTF5</v>
      </c>
      <c r="I46" s="7">
        <f>IFERROR(__xludf.DUMMYFUNCTION("vlookup(C46,importrange(""1kw74ismGU34AsZ5x-W4x7F3Zt2xc8NSYcCVMrCJBmdQ"",""DRP for 8 products!B:E""),4,0)"),18.0)</f>
        <v>18</v>
      </c>
      <c r="J46" s="8" t="str">
        <f t="shared" si="1"/>
        <v>Tier 4</v>
      </c>
      <c r="K46" s="9" t="str">
        <f t="shared" si="2"/>
        <v>Active</v>
      </c>
      <c r="L46" s="4" t="str">
        <f>IFERROR(__xludf.DUMMYFUNCTION("vlookup(C46,importrange(""1kw74ismGU34AsZ5x-W4x7F3Zt2xc8NSYcCVMrCJBmdQ"",""DRP for 8 products!B:H""),6,0)"),"Dataproc")</f>
        <v>Dataproc</v>
      </c>
      <c r="M46" s="10" t="str">
        <f t="shared" si="3"/>
        <v>Yes</v>
      </c>
    </row>
    <row r="47">
      <c r="A47" s="4" t="str">
        <f>IFERROR(__xludf.DUMMYFUNCTION("vlookup(C47,IMPORTRANGE(""1Kgoo8qyo6zMtf_5B03ksZz228jg0XpZ4_KXsdHQ4Vks"",""14 Sept!A:B""),2,0)"),"DME3388")</f>
        <v>DME3388</v>
      </c>
      <c r="B47" s="5" t="str">
        <f>IFERROR(__xludf.DUMMYFUNCTION("""COMPUTED_VALUE"""),"Vaibhav Kolekar")</f>
        <v>Vaibhav Kolekar</v>
      </c>
      <c r="C47" s="5" t="str">
        <f>IFERROR(__xludf.DUMMYFUNCTION("""COMPUTED_VALUE"""),"vaibhav.kolekar@onixnet.com")</f>
        <v>vaibhav.kolekar@onixnet.com</v>
      </c>
      <c r="D47" s="4" t="s">
        <v>11</v>
      </c>
      <c r="E47" s="6" t="str">
        <f>IFERROR(__xludf.DUMMYFUNCTION("vlookup($A47,importrange(""1fyGnaViAX9kns28pvsfPvI9925sAI7kxPlM7jpuHVJM"",""Validation!A:Z""),11,0)"),"Delivery Services")</f>
        <v>Delivery Services</v>
      </c>
      <c r="F47" s="6" t="str">
        <f>IFERROR(__xludf.DUMMYFUNCTION("vlookup($A47,importrange(""1fyGnaViAX9kns28pvsfPvI9925sAI7kxPlM7jpuHVJM"",""Validation!A:Z""),23,0)"),"Rashid Anwar")</f>
        <v>Rashid Anwar</v>
      </c>
      <c r="G47" s="6" t="str">
        <f>IFERROR(__xludf.DUMMYFUNCTION("vlookup(A47,importrange(""1fyGnaViAX9kns28pvsfPvI9925sAI7kxPlM7jpuHVJM"",""Validation!A:Z""),22,0)"),"Cluster - Sagar")</f>
        <v>Cluster - Sagar</v>
      </c>
      <c r="H47" s="4" t="str">
        <f>IFERROR(__xludf.DUMMYFUNCTION("vlookup(C47,importrange(""1kw74ismGU34AsZ5x-W4x7F3Zt2xc8NSYcCVMrCJBmdQ"",""DRP for 8 products!B:C""),2,0)"),"ONIVKVYN0")</f>
        <v>ONIVKVYN0</v>
      </c>
      <c r="I47" s="7">
        <f>IFERROR(__xludf.DUMMYFUNCTION("vlookup(C47,importrange(""1kw74ismGU34AsZ5x-W4x7F3Zt2xc8NSYcCVMrCJBmdQ"",""DRP for 8 products!B:E""),4,0)"),56.0)</f>
        <v>56</v>
      </c>
      <c r="J47" s="8" t="str">
        <f t="shared" si="1"/>
        <v>Tier 1</v>
      </c>
      <c r="K47" s="9" t="str">
        <f t="shared" si="2"/>
        <v>Active</v>
      </c>
      <c r="L47" s="4" t="str">
        <f>IFERROR(__xludf.DUMMYFUNCTION("vlookup(C47,importrange(""1kw74ismGU34AsZ5x-W4x7F3Zt2xc8NSYcCVMrCJBmdQ"",""DRP for 8 products!B:H""),6,0)"),"BigQuery")</f>
        <v>BigQuery</v>
      </c>
      <c r="M47" s="10" t="str">
        <f t="shared" si="3"/>
        <v>Yes</v>
      </c>
    </row>
    <row r="48">
      <c r="A48" s="4" t="str">
        <f>IFERROR(__xludf.DUMMYFUNCTION("vlookup(C48,IMPORTRANGE(""1Kgoo8qyo6zMtf_5B03ksZz228jg0XpZ4_KXsdHQ4Vks"",""14 Sept!A:B""),2,0)"),"DME3188")</f>
        <v>DME3188</v>
      </c>
      <c r="B48" s="5" t="str">
        <f>IFERROR(__xludf.DUMMYFUNCTION("""COMPUTED_VALUE"""),"Kunal Lokhande")</f>
        <v>Kunal Lokhande</v>
      </c>
      <c r="C48" s="5" t="str">
        <f>IFERROR(__xludf.DUMMYFUNCTION("""COMPUTED_VALUE"""),"kunal.lokhande@onixnet.com")</f>
        <v>kunal.lokhande@onixnet.com</v>
      </c>
      <c r="D48" s="4" t="s">
        <v>11</v>
      </c>
      <c r="E48" s="6" t="str">
        <f>IFERROR(__xludf.DUMMYFUNCTION("vlookup($A48,importrange(""1fyGnaViAX9kns28pvsfPvI9925sAI7kxPlM7jpuHVJM"",""Validation!A:Z""),11,0)"),"Delivery Services")</f>
        <v>Delivery Services</v>
      </c>
      <c r="F48" s="6" t="str">
        <f>IFERROR(__xludf.DUMMYFUNCTION("vlookup($A48,importrange(""1fyGnaViAX9kns28pvsfPvI9925sAI7kxPlM7jpuHVJM"",""Validation!A:Z""),23,0)"),"Manoj Patil")</f>
        <v>Manoj Patil</v>
      </c>
      <c r="G48" s="6" t="str">
        <f>IFERROR(__xludf.DUMMYFUNCTION("vlookup(A48,importrange(""1fyGnaViAX9kns28pvsfPvI9925sAI7kxPlM7jpuHVJM"",""Validation!A:Z""),22,0)"),"Cluster - Shreepad")</f>
        <v>Cluster - Shreepad</v>
      </c>
      <c r="H48" s="4" t="str">
        <f>IFERROR(__xludf.DUMMYFUNCTION("vlookup(C48,importrange(""1kw74ismGU34AsZ5x-W4x7F3Zt2xc8NSYcCVMrCJBmdQ"",""DRP for 8 products!B:C""),2,0)"),"ONIKLEDV0")</f>
        <v>ONIKLEDV0</v>
      </c>
      <c r="I48" s="7">
        <f>IFERROR(__xludf.DUMMYFUNCTION("vlookup(C48,importrange(""1kw74ismGU34AsZ5x-W4x7F3Zt2xc8NSYcCVMrCJBmdQ"",""DRP for 8 products!B:E""),4,0)"),19.0)</f>
        <v>19</v>
      </c>
      <c r="J48" s="8" t="str">
        <f t="shared" si="1"/>
        <v>Tier 4</v>
      </c>
      <c r="K48" s="9" t="str">
        <f t="shared" si="2"/>
        <v>Active</v>
      </c>
      <c r="L48" s="4" t="str">
        <f>IFERROR(__xludf.DUMMYFUNCTION("vlookup(C48,importrange(""1kw74ismGU34AsZ5x-W4x7F3Zt2xc8NSYcCVMrCJBmdQ"",""DRP for 8 products!B:H""),6,0)"),"BigQuery")</f>
        <v>BigQuery</v>
      </c>
      <c r="M48" s="10" t="str">
        <f t="shared" si="3"/>
        <v>Yes</v>
      </c>
    </row>
    <row r="49">
      <c r="A49" s="4" t="str">
        <f>IFERROR(__xludf.DUMMYFUNCTION("vlookup(C49,IMPORTRANGE(""1Kgoo8qyo6zMtf_5B03ksZz228jg0XpZ4_KXsdHQ4Vks"",""14 Sept!A:B""),2,0)"),"DME3199")</f>
        <v>DME3199</v>
      </c>
      <c r="B49" s="5" t="str">
        <f>IFERROR(__xludf.DUMMYFUNCTION("""COMPUTED_VALUE"""),"Vikram Varma")</f>
        <v>Vikram Varma</v>
      </c>
      <c r="C49" s="5" t="str">
        <f>IFERROR(__xludf.DUMMYFUNCTION("""COMPUTED_VALUE"""),"vikram.varma@onixnet.com")</f>
        <v>vikram.varma@onixnet.com</v>
      </c>
      <c r="D49" s="4" t="s">
        <v>11</v>
      </c>
      <c r="E49" s="6" t="str">
        <f>IFERROR(__xludf.DUMMYFUNCTION("vlookup($A49,importrange(""1fyGnaViAX9kns28pvsfPvI9925sAI7kxPlM7jpuHVJM"",""Validation!A:Z""),11,0)"),"Delivery Services")</f>
        <v>Delivery Services</v>
      </c>
      <c r="F49" s="6" t="str">
        <f>IFERROR(__xludf.DUMMYFUNCTION("vlookup($A49,importrange(""1fyGnaViAX9kns28pvsfPvI9925sAI7kxPlM7jpuHVJM"",""Validation!A:Z""),23,0)"),"Manoj Patil")</f>
        <v>Manoj Patil</v>
      </c>
      <c r="G49" s="6" t="str">
        <f>IFERROR(__xludf.DUMMYFUNCTION("vlookup(A49,importrange(""1fyGnaViAX9kns28pvsfPvI9925sAI7kxPlM7jpuHVJM"",""Validation!A:Z""),22,0)"),"Cluster - Shreepad")</f>
        <v>Cluster - Shreepad</v>
      </c>
      <c r="H49" s="4" t="str">
        <f>IFERROR(__xludf.DUMMYFUNCTION("vlookup(C49,importrange(""1kw74ismGU34AsZ5x-W4x7F3Zt2xc8NSYcCVMrCJBmdQ"",""DRP for 8 products!B:C""),2,0)"),"ONIVVYKJ6")</f>
        <v>ONIVVYKJ6</v>
      </c>
      <c r="I49" s="7">
        <f>IFERROR(__xludf.DUMMYFUNCTION("vlookup(C49,importrange(""1kw74ismGU34AsZ5x-W4x7F3Zt2xc8NSYcCVMrCJBmdQ"",""DRP for 8 products!B:E""),4,0)"),29.0)</f>
        <v>29</v>
      </c>
      <c r="J49" s="8" t="str">
        <f t="shared" si="1"/>
        <v>Tier 3</v>
      </c>
      <c r="K49" s="9" t="str">
        <f t="shared" si="2"/>
        <v>Active</v>
      </c>
      <c r="L49" s="4" t="str">
        <f>IFERROR(__xludf.DUMMYFUNCTION("vlookup(C49,importrange(""1kw74ismGU34AsZ5x-W4x7F3Zt2xc8NSYcCVMrCJBmdQ"",""DRP for 8 products!B:H""),6,0)"),"BigQuery")</f>
        <v>BigQuery</v>
      </c>
      <c r="M49" s="10" t="str">
        <f t="shared" si="3"/>
        <v>Yes</v>
      </c>
    </row>
    <row r="50">
      <c r="A50" s="4" t="str">
        <f>IFERROR(__xludf.DUMMYFUNCTION("vlookup(C50,IMPORTRANGE(""1Kgoo8qyo6zMtf_5B03ksZz228jg0XpZ4_KXsdHQ4Vks"",""14 Sept!A:B""),2,0)"),"DME2819")</f>
        <v>DME2819</v>
      </c>
      <c r="B50" s="5" t="str">
        <f>IFERROR(__xludf.DUMMYFUNCTION("""COMPUTED_VALUE"""),"Shubham Chandan")</f>
        <v>Shubham Chandan</v>
      </c>
      <c r="C50" s="5" t="str">
        <f>IFERROR(__xludf.DUMMYFUNCTION("""COMPUTED_VALUE"""),"shubham.chandan@onixnet.com")</f>
        <v>shubham.chandan@onixnet.com</v>
      </c>
      <c r="D50" s="4" t="s">
        <v>11</v>
      </c>
      <c r="E50" s="6" t="str">
        <f>IFERROR(__xludf.DUMMYFUNCTION("vlookup($A50,importrange(""1fyGnaViAX9kns28pvsfPvI9925sAI7kxPlM7jpuHVJM"",""Validation!A:Z""),11,0)"),"Corporate Operations")</f>
        <v>Corporate Operations</v>
      </c>
      <c r="F50" s="6" t="str">
        <f>IFERROR(__xludf.DUMMYFUNCTION("vlookup($A50,importrange(""1fyGnaViAX9kns28pvsfPvI9925sAI7kxPlM7jpuHVJM"",""Validation!A:Z""),23,0)"),"Satya Pillai")</f>
        <v>Satya Pillai</v>
      </c>
      <c r="G50" s="6" t="str">
        <f>IFERROR(__xludf.DUMMYFUNCTION("vlookup(A50,importrange(""1fyGnaViAX9kns28pvsfPvI9925sAI7kxPlM7jpuHVJM"",""Validation!A:Z""),22,0)"),"Cluster - Satya")</f>
        <v>Cluster - Satya</v>
      </c>
      <c r="H50" s="4" t="str">
        <f>IFERROR(__xludf.DUMMYFUNCTION("vlookup(C50,importrange(""1kw74ismGU34AsZ5x-W4x7F3Zt2xc8NSYcCVMrCJBmdQ"",""DRP for 8 products!B:C""),2,0)"),"ONISCMHJ3")</f>
        <v>ONISCMHJ3</v>
      </c>
      <c r="I50" s="7">
        <f>IFERROR(__xludf.DUMMYFUNCTION("vlookup(C50,importrange(""1kw74ismGU34AsZ5x-W4x7F3Zt2xc8NSYcCVMrCJBmdQ"",""DRP for 8 products!B:E""),4,0)"),18.0)</f>
        <v>18</v>
      </c>
      <c r="J50" s="8" t="str">
        <f t="shared" si="1"/>
        <v>Tier 4</v>
      </c>
      <c r="K50" s="9" t="str">
        <f t="shared" si="2"/>
        <v>Active</v>
      </c>
      <c r="L50" s="4" t="str">
        <f>IFERROR(__xludf.DUMMYFUNCTION("vlookup(C50,importrange(""1kw74ismGU34AsZ5x-W4x7F3Zt2xc8NSYcCVMrCJBmdQ"",""DRP for 8 products!B:H""),6,0)"),"AlloyDB for PostgreSQL")</f>
        <v>AlloyDB for PostgreSQL</v>
      </c>
      <c r="M50" s="10" t="str">
        <f t="shared" si="3"/>
        <v>Yes</v>
      </c>
    </row>
    <row r="51">
      <c r="A51" s="4" t="str">
        <f>IFERROR(__xludf.DUMMYFUNCTION("vlookup(C51,IMPORTRANGE(""1Kgoo8qyo6zMtf_5B03ksZz228jg0XpZ4_KXsdHQ4Vks"",""14 Sept!A:B""),2,0)"),"DME2667")</f>
        <v>DME2667</v>
      </c>
      <c r="B51" s="5" t="str">
        <f>IFERROR(__xludf.DUMMYFUNCTION("""COMPUTED_VALUE"""),"Venkatavivekananda Sala")</f>
        <v>Venkatavivekananda Sala</v>
      </c>
      <c r="C51" s="5" t="str">
        <f>IFERROR(__xludf.DUMMYFUNCTION("""COMPUTED_VALUE"""),"venkatavivekananda.s@onixnet.com")</f>
        <v>venkatavivekananda.s@onixnet.com</v>
      </c>
      <c r="D51" s="4" t="s">
        <v>11</v>
      </c>
      <c r="E51" s="6" t="str">
        <f>IFERROR(__xludf.DUMMYFUNCTION("vlookup($A51,importrange(""1fyGnaViAX9kns28pvsfPvI9925sAI7kxPlM7jpuHVJM"",""Validation!A:Z""),11,0)"),"Delivery Services")</f>
        <v>Delivery Services</v>
      </c>
      <c r="F51" s="6" t="str">
        <f>IFERROR(__xludf.DUMMYFUNCTION("vlookup($A51,importrange(""1fyGnaViAX9kns28pvsfPvI9925sAI7kxPlM7jpuHVJM"",""Validation!A:Z""),23,0)"),"Neeta Gawrha")</f>
        <v>Neeta Gawrha</v>
      </c>
      <c r="G51" s="6" t="str">
        <f>IFERROR(__xludf.DUMMYFUNCTION("vlookup(A51,importrange(""1fyGnaViAX9kns28pvsfPvI9925sAI7kxPlM7jpuHVJM"",""Validation!A:Z""),22,0)"),"Cluster - Sachin")</f>
        <v>Cluster - Sachin</v>
      </c>
      <c r="H51" s="4" t="str">
        <f>IFERROR(__xludf.DUMMYFUNCTION("vlookup(C51,importrange(""1kw74ismGU34AsZ5x-W4x7F3Zt2xc8NSYcCVMrCJBmdQ"",""DRP for 8 products!B:C""),2,0)"),"ONIVSATD2")</f>
        <v>ONIVSATD2</v>
      </c>
      <c r="I51" s="7">
        <f>IFERROR(__xludf.DUMMYFUNCTION("vlookup(C51,importrange(""1kw74ismGU34AsZ5x-W4x7F3Zt2xc8NSYcCVMrCJBmdQ"",""DRP for 8 products!B:E""),4,0)"),59.0)</f>
        <v>59</v>
      </c>
      <c r="J51" s="8" t="str">
        <f t="shared" si="1"/>
        <v>Tier 1</v>
      </c>
      <c r="K51" s="9" t="str">
        <f t="shared" si="2"/>
        <v>Active</v>
      </c>
      <c r="L51" s="4" t="str">
        <f>IFERROR(__xludf.DUMMYFUNCTION("vlookup(C51,importrange(""1kw74ismGU34AsZ5x-W4x7F3Zt2xc8NSYcCVMrCJBmdQ"",""DRP for 8 products!B:H""),6,0)"),"BigQuery")</f>
        <v>BigQuery</v>
      </c>
      <c r="M51" s="10" t="str">
        <f t="shared" si="3"/>
        <v>Yes</v>
      </c>
    </row>
    <row r="52">
      <c r="A52" s="4" t="str">
        <f>IFERROR(__xludf.DUMMYFUNCTION("vlookup(C52,IMPORTRANGE(""1Kgoo8qyo6zMtf_5B03ksZz228jg0XpZ4_KXsdHQ4Vks"",""14 Sept!A:B""),2,0)"),"DME2494")</f>
        <v>DME2494</v>
      </c>
      <c r="B52" s="5" t="str">
        <f>IFERROR(__xludf.DUMMYFUNCTION("""COMPUTED_VALUE"""),"Shrutika Goenka")</f>
        <v>Shrutika Goenka</v>
      </c>
      <c r="C52" s="5" t="str">
        <f>IFERROR(__xludf.DUMMYFUNCTION("""COMPUTED_VALUE"""),"shrutika.goenka@onixnet.com")</f>
        <v>shrutika.goenka@onixnet.com</v>
      </c>
      <c r="D52" s="4" t="s">
        <v>11</v>
      </c>
      <c r="E52" s="6" t="str">
        <f>IFERROR(__xludf.DUMMYFUNCTION("vlookup($A52,importrange(""1fyGnaViAX9kns28pvsfPvI9925sAI7kxPlM7jpuHVJM"",""Validation!A:Z""),11,0)"),"Product Engineering")</f>
        <v>Product Engineering</v>
      </c>
      <c r="F52" s="6" t="str">
        <f>IFERROR(__xludf.DUMMYFUNCTION("vlookup($A52,importrange(""1fyGnaViAX9kns28pvsfPvI9925sAI7kxPlM7jpuHVJM"",""Validation!A:Z""),23,0)"),"Jayesh Shukla")</f>
        <v>Jayesh Shukla</v>
      </c>
      <c r="G52" s="6" t="str">
        <f>IFERROR(__xludf.DUMMYFUNCTION("vlookup(A52,importrange(""1fyGnaViAX9kns28pvsfPvI9925sAI7kxPlM7jpuHVJM"",""Validation!A:Z""),22,0)"),"Cluster - Mayur")</f>
        <v>Cluster - Mayur</v>
      </c>
      <c r="H52" s="4" t="str">
        <f>IFERROR(__xludf.DUMMYFUNCTION("vlookup(C52,importrange(""1kw74ismGU34AsZ5x-W4x7F3Zt2xc8NSYcCVMrCJBmdQ"",""DRP for 8 products!B:C""),2,0)"),"ONISGKAZ9")</f>
        <v>ONISGKAZ9</v>
      </c>
      <c r="I52" s="7">
        <f>IFERROR(__xludf.DUMMYFUNCTION("vlookup(C52,importrange(""1kw74ismGU34AsZ5x-W4x7F3Zt2xc8NSYcCVMrCJBmdQ"",""DRP for 8 products!B:E""),4,0)"),5.0)</f>
        <v>5</v>
      </c>
      <c r="J52" s="8" t="str">
        <f t="shared" si="1"/>
        <v>Tier 4</v>
      </c>
      <c r="K52" s="9" t="str">
        <f t="shared" si="2"/>
        <v>Active</v>
      </c>
      <c r="L52" s="4" t="str">
        <f>IFERROR(__xludf.DUMMYFUNCTION("vlookup(C52,importrange(""1kw74ismGU34AsZ5x-W4x7F3Zt2xc8NSYcCVMrCJBmdQ"",""DRP for 8 products!B:H""),6,0)"),"BigQuery")</f>
        <v>BigQuery</v>
      </c>
      <c r="M52" s="10" t="str">
        <f t="shared" si="3"/>
        <v>Yes</v>
      </c>
    </row>
    <row r="53">
      <c r="A53" s="4" t="str">
        <f>IFERROR(__xludf.DUMMYFUNCTION("vlookup(C53,IMPORTRANGE(""1Kgoo8qyo6zMtf_5B03ksZz228jg0XpZ4_KXsdHQ4Vks"",""14 Sept!A:B""),2,0)"),"DME3372")</f>
        <v>DME3372</v>
      </c>
      <c r="B53" s="5" t="str">
        <f>IFERROR(__xludf.DUMMYFUNCTION("""COMPUTED_VALUE"""),"Ashutosh Khedkar")</f>
        <v>Ashutosh Khedkar</v>
      </c>
      <c r="C53" s="5" t="str">
        <f>IFERROR(__xludf.DUMMYFUNCTION("""COMPUTED_VALUE"""),"ashutosh.khedkar@onixnet.com")</f>
        <v>ashutosh.khedkar@onixnet.com</v>
      </c>
      <c r="D53" s="4" t="s">
        <v>11</v>
      </c>
      <c r="E53" s="6" t="str">
        <f>IFERROR(__xludf.DUMMYFUNCTION("vlookup($A53,importrange(""1fyGnaViAX9kns28pvsfPvI9925sAI7kxPlM7jpuHVJM"",""Validation!A:Z""),11,0)"),"Delivery Services")</f>
        <v>Delivery Services</v>
      </c>
      <c r="F53" s="6" t="str">
        <f>IFERROR(__xludf.DUMMYFUNCTION("vlookup($A53,importrange(""1fyGnaViAX9kns28pvsfPvI9925sAI7kxPlM7jpuHVJM"",""Validation!A:Z""),23,0)"),"Vishal Khare")</f>
        <v>Vishal Khare</v>
      </c>
      <c r="G53" s="6" t="str">
        <f>IFERROR(__xludf.DUMMYFUNCTION("vlookup(A53,importrange(""1fyGnaViAX9kns28pvsfPvI9925sAI7kxPlM7jpuHVJM"",""Validation!A:Z""),22,0)"),"Cluster - Sagar")</f>
        <v>Cluster - Sagar</v>
      </c>
      <c r="H53" s="4" t="str">
        <f>IFERROR(__xludf.DUMMYFUNCTION("vlookup(C53,importrange(""1kw74ismGU34AsZ5x-W4x7F3Zt2xc8NSYcCVMrCJBmdQ"",""DRP for 8 products!B:C""),2,0)"),"ONIAKMXG5")</f>
        <v>ONIAKMXG5</v>
      </c>
      <c r="I53" s="7">
        <f>IFERROR(__xludf.DUMMYFUNCTION("vlookup(C53,importrange(""1kw74ismGU34AsZ5x-W4x7F3Zt2xc8NSYcCVMrCJBmdQ"",""DRP for 8 products!B:E""),4,0)"),10.0)</f>
        <v>10</v>
      </c>
      <c r="J53" s="8" t="str">
        <f t="shared" si="1"/>
        <v>Tier 4</v>
      </c>
      <c r="K53" s="9" t="str">
        <f t="shared" si="2"/>
        <v>Active</v>
      </c>
      <c r="L53" s="4" t="str">
        <f>IFERROR(__xludf.DUMMYFUNCTION("vlookup(C53,importrange(""1kw74ismGU34AsZ5x-W4x7F3Zt2xc8NSYcCVMrCJBmdQ"",""DRP for 8 products!B:H""),6,0)"),"BigQuery")</f>
        <v>BigQuery</v>
      </c>
      <c r="M53" s="10" t="str">
        <f t="shared" si="3"/>
        <v>Yes</v>
      </c>
    </row>
    <row r="54">
      <c r="A54" s="4" t="str">
        <f>IFERROR(__xludf.DUMMYFUNCTION("vlookup(C54,IMPORTRANGE(""1Kgoo8qyo6zMtf_5B03ksZz228jg0XpZ4_KXsdHQ4Vks"",""14 Sept!A:B""),2,0)"),"DME2849")</f>
        <v>DME2849</v>
      </c>
      <c r="B54" s="5" t="str">
        <f>IFERROR(__xludf.DUMMYFUNCTION("""COMPUTED_VALUE"""),"Yogesh Gaikwad")</f>
        <v>Yogesh Gaikwad</v>
      </c>
      <c r="C54" s="5" t="str">
        <f>IFERROR(__xludf.DUMMYFUNCTION("""COMPUTED_VALUE"""),"yogesh.gaikwad@onixnet.com")</f>
        <v>yogesh.gaikwad@onixnet.com</v>
      </c>
      <c r="D54" s="4" t="s">
        <v>11</v>
      </c>
      <c r="E54" s="6" t="str">
        <f>IFERROR(__xludf.DUMMYFUNCTION("vlookup($A54,importrange(""1fyGnaViAX9kns28pvsfPvI9925sAI7kxPlM7jpuHVJM"",""Validation!A:Z""),11,0)"),"Delivery Services")</f>
        <v>Delivery Services</v>
      </c>
      <c r="F54" s="6" t="str">
        <f>IFERROR(__xludf.DUMMYFUNCTION("vlookup($A54,importrange(""1fyGnaViAX9kns28pvsfPvI9925sAI7kxPlM7jpuHVJM"",""Validation!A:Z""),23,0)"),"Mithilesh Pardeshi")</f>
        <v>Mithilesh Pardeshi</v>
      </c>
      <c r="G54" s="6" t="str">
        <f>IFERROR(__xludf.DUMMYFUNCTION("vlookup(A54,importrange(""1fyGnaViAX9kns28pvsfPvI9925sAI7kxPlM7jpuHVJM"",""Validation!A:Z""),22,0)"),"Cluster - Gaurav")</f>
        <v>Cluster - Gaurav</v>
      </c>
      <c r="H54" s="4" t="str">
        <f>IFERROR(__xludf.DUMMYFUNCTION("vlookup(C54,importrange(""1kw74ismGU34AsZ5x-W4x7F3Zt2xc8NSYcCVMrCJBmdQ"",""DRP for 8 products!B:C""),2,0)"),"ONIYGIKP9")</f>
        <v>ONIYGIKP9</v>
      </c>
      <c r="I54" s="7">
        <f>IFERROR(__xludf.DUMMYFUNCTION("vlookup(C54,importrange(""1kw74ismGU34AsZ5x-W4x7F3Zt2xc8NSYcCVMrCJBmdQ"",""DRP for 8 products!B:E""),4,0)"),45.0)</f>
        <v>45</v>
      </c>
      <c r="J54" s="8" t="str">
        <f t="shared" si="1"/>
        <v>Tier 2</v>
      </c>
      <c r="K54" s="9" t="str">
        <f t="shared" si="2"/>
        <v>Active</v>
      </c>
      <c r="L54" s="4" t="str">
        <f>IFERROR(__xludf.DUMMYFUNCTION("vlookup(C54,importrange(""1kw74ismGU34AsZ5x-W4x7F3Zt2xc8NSYcCVMrCJBmdQ"",""DRP for 8 products!B:H""),6,0)"),"Looker")</f>
        <v>Looker</v>
      </c>
      <c r="M54" s="10" t="str">
        <f t="shared" si="3"/>
        <v>Yes</v>
      </c>
    </row>
    <row r="55">
      <c r="A55" s="4" t="str">
        <f>IFERROR(__xludf.DUMMYFUNCTION("vlookup(C55,IMPORTRANGE(""1Kgoo8qyo6zMtf_5B03ksZz228jg0XpZ4_KXsdHQ4Vks"",""14 Sept!A:B""),2,0)"),"DME2678")</f>
        <v>DME2678</v>
      </c>
      <c r="B55" s="5" t="str">
        <f>IFERROR(__xludf.DUMMYFUNCTION("""COMPUTED_VALUE"""),"Anand Saraf")</f>
        <v>Anand Saraf</v>
      </c>
      <c r="C55" s="5" t="str">
        <f>IFERROR(__xludf.DUMMYFUNCTION("""COMPUTED_VALUE"""),"anand.saraf@onixnet.com")</f>
        <v>anand.saraf@onixnet.com</v>
      </c>
      <c r="D55" s="4" t="s">
        <v>11</v>
      </c>
      <c r="E55" s="6" t="str">
        <f>IFERROR(__xludf.DUMMYFUNCTION("vlookup($A55,importrange(""1fyGnaViAX9kns28pvsfPvI9925sAI7kxPlM7jpuHVJM"",""Validation!A:Z""),11,0)"),"Delivery Services")</f>
        <v>Delivery Services</v>
      </c>
      <c r="F55" s="6" t="str">
        <f>IFERROR(__xludf.DUMMYFUNCTION("vlookup($A55,importrange(""1fyGnaViAX9kns28pvsfPvI9925sAI7kxPlM7jpuHVJM"",""Validation!A:Z""),23,0)"),"Rahul Gupta")</f>
        <v>Rahul Gupta</v>
      </c>
      <c r="G55" s="6" t="str">
        <f>IFERROR(__xludf.DUMMYFUNCTION("vlookup(A55,importrange(""1fyGnaViAX9kns28pvsfPvI9925sAI7kxPlM7jpuHVJM"",""Validation!A:Z""),22,0)"),"Cluster - Sachin")</f>
        <v>Cluster - Sachin</v>
      </c>
      <c r="H55" s="4" t="str">
        <f>IFERROR(__xludf.DUMMYFUNCTION("vlookup(C55,importrange(""1kw74ismGU34AsZ5x-W4x7F3Zt2xc8NSYcCVMrCJBmdQ"",""DRP for 8 products!B:C""),2,0)"),"ONIASQGY5")</f>
        <v>ONIASQGY5</v>
      </c>
      <c r="I55" s="7">
        <f>IFERROR(__xludf.DUMMYFUNCTION("vlookup(C55,importrange(""1kw74ismGU34AsZ5x-W4x7F3Zt2xc8NSYcCVMrCJBmdQ"",""DRP for 8 products!B:E""),4,0)"),14.0)</f>
        <v>14</v>
      </c>
      <c r="J55" s="8" t="str">
        <f t="shared" si="1"/>
        <v>Tier 4</v>
      </c>
      <c r="K55" s="9" t="str">
        <f t="shared" si="2"/>
        <v>Active</v>
      </c>
      <c r="L55" s="4" t="str">
        <f>IFERROR(__xludf.DUMMYFUNCTION("vlookup(C55,importrange(""1kw74ismGU34AsZ5x-W4x7F3Zt2xc8NSYcCVMrCJBmdQ"",""DRP for 8 products!B:H""),6,0)"),"BigQuery")</f>
        <v>BigQuery</v>
      </c>
      <c r="M55" s="10" t="str">
        <f t="shared" si="3"/>
        <v>Yes</v>
      </c>
    </row>
    <row r="56">
      <c r="A56" s="4" t="str">
        <f>IFERROR(__xludf.DUMMYFUNCTION("vlookup(C56,IMPORTRANGE(""1Kgoo8qyo6zMtf_5B03ksZz228jg0XpZ4_KXsdHQ4Vks"",""14 Sept!A:B""),2,0)"),"DME2903")</f>
        <v>DME2903</v>
      </c>
      <c r="B56" s="5" t="str">
        <f>IFERROR(__xludf.DUMMYFUNCTION("""COMPUTED_VALUE"""),"Kepin Kumar")</f>
        <v>Kepin Kumar</v>
      </c>
      <c r="C56" s="5" t="str">
        <f>IFERROR(__xludf.DUMMYFUNCTION("""COMPUTED_VALUE"""),"kepin.kumar@onixnet.com")</f>
        <v>kepin.kumar@onixnet.com</v>
      </c>
      <c r="D56" s="4" t="s">
        <v>11</v>
      </c>
      <c r="E56" s="6" t="str">
        <f>IFERROR(__xludf.DUMMYFUNCTION("vlookup($A56,importrange(""1fyGnaViAX9kns28pvsfPvI9925sAI7kxPlM7jpuHVJM"",""Validation!A:Z""),11,0)"),"Delivery Services")</f>
        <v>Delivery Services</v>
      </c>
      <c r="F56" s="6" t="str">
        <f>IFERROR(__xludf.DUMMYFUNCTION("vlookup($A56,importrange(""1fyGnaViAX9kns28pvsfPvI9925sAI7kxPlM7jpuHVJM"",""Validation!A:Z""),23,0)"),"Varun Katyal")</f>
        <v>Varun Katyal</v>
      </c>
      <c r="G56" s="6" t="str">
        <f>IFERROR(__xludf.DUMMYFUNCTION("vlookup(A56,importrange(""1fyGnaViAX9kns28pvsfPvI9925sAI7kxPlM7jpuHVJM"",""Validation!A:Z""),22,0)"),"Cluster - Varun")</f>
        <v>Cluster - Varun</v>
      </c>
      <c r="H56" s="4" t="str">
        <f>IFERROR(__xludf.DUMMYFUNCTION("vlookup(C56,importrange(""1kw74ismGU34AsZ5x-W4x7F3Zt2xc8NSYcCVMrCJBmdQ"",""DRP for 8 products!B:C""),2,0)"),"ONIKKIIA5")</f>
        <v>ONIKKIIA5</v>
      </c>
      <c r="I56" s="7">
        <f>IFERROR(__xludf.DUMMYFUNCTION("vlookup(C56,importrange(""1kw74ismGU34AsZ5x-W4x7F3Zt2xc8NSYcCVMrCJBmdQ"",""DRP for 8 products!B:E""),4,0)"),59.0)</f>
        <v>59</v>
      </c>
      <c r="J56" s="8" t="str">
        <f t="shared" si="1"/>
        <v>Tier 1</v>
      </c>
      <c r="K56" s="9" t="str">
        <f t="shared" si="2"/>
        <v>Active</v>
      </c>
      <c r="L56" s="4" t="str">
        <f>IFERROR(__xludf.DUMMYFUNCTION("vlookup(C56,importrange(""1kw74ismGU34AsZ5x-W4x7F3Zt2xc8NSYcCVMrCJBmdQ"",""DRP for 8 products!B:H""),6,0)"),"BigQuery")</f>
        <v>BigQuery</v>
      </c>
      <c r="M56" s="10" t="str">
        <f t="shared" si="3"/>
        <v>Yes</v>
      </c>
    </row>
    <row r="57">
      <c r="A57" s="4" t="str">
        <f>IFERROR(__xludf.DUMMYFUNCTION("vlookup(C57,IMPORTRANGE(""1Kgoo8qyo6zMtf_5B03ksZz228jg0XpZ4_KXsdHQ4Vks"",""14 Sept!A:B""),2,0)"),"DME1978")</f>
        <v>DME1978</v>
      </c>
      <c r="B57" s="5" t="str">
        <f>IFERROR(__xludf.DUMMYFUNCTION("""COMPUTED_VALUE"""),"Varad Mulay")</f>
        <v>Varad Mulay</v>
      </c>
      <c r="C57" s="5" t="str">
        <f>IFERROR(__xludf.DUMMYFUNCTION("""COMPUTED_VALUE"""),"varad.mulay@onixnet.com")</f>
        <v>varad.mulay@onixnet.com</v>
      </c>
      <c r="D57" s="4" t="s">
        <v>11</v>
      </c>
      <c r="E57" s="6" t="str">
        <f>IFERROR(__xludf.DUMMYFUNCTION("vlookup($A57,importrange(""1fyGnaViAX9kns28pvsfPvI9925sAI7kxPlM7jpuHVJM"",""Validation!A:Z""),11,0)"),"Product Engineering")</f>
        <v>Product Engineering</v>
      </c>
      <c r="F57" s="6" t="str">
        <f>IFERROR(__xludf.DUMMYFUNCTION("vlookup($A57,importrange(""1fyGnaViAX9kns28pvsfPvI9925sAI7kxPlM7jpuHVJM"",""Validation!A:Z""),23,0)"),"Nikhil Rajendra Patil")</f>
        <v>Nikhil Rajendra Patil</v>
      </c>
      <c r="G57" s="6" t="str">
        <f>IFERROR(__xludf.DUMMYFUNCTION("vlookup(A57,importrange(""1fyGnaViAX9kns28pvsfPvI9925sAI7kxPlM7jpuHVJM"",""Validation!A:Z""),22,0)"),"Cluster - Mayur")</f>
        <v>Cluster - Mayur</v>
      </c>
      <c r="H57" s="4" t="str">
        <f>IFERROR(__xludf.DUMMYFUNCTION("vlookup(C57,importrange(""1kw74ismGU34AsZ5x-W4x7F3Zt2xc8NSYcCVMrCJBmdQ"",""DRP for 8 products!B:C""),2,0)"),"ONIVMPNJ9")</f>
        <v>ONIVMPNJ9</v>
      </c>
      <c r="I57" s="7">
        <f>IFERROR(__xludf.DUMMYFUNCTION("vlookup(C57,importrange(""1kw74ismGU34AsZ5x-W4x7F3Zt2xc8NSYcCVMrCJBmdQ"",""DRP for 8 products!B:E""),4,0)"),24.0)</f>
        <v>24</v>
      </c>
      <c r="J57" s="8" t="str">
        <f t="shared" si="1"/>
        <v>Tier 3</v>
      </c>
      <c r="K57" s="9" t="str">
        <f t="shared" si="2"/>
        <v>Active</v>
      </c>
      <c r="L57" s="4" t="str">
        <f>IFERROR(__xludf.DUMMYFUNCTION("vlookup(C57,importrange(""1kw74ismGU34AsZ5x-W4x7F3Zt2xc8NSYcCVMrCJBmdQ"",""DRP for 8 products!B:H""),6,0)"),"BigQuery")</f>
        <v>BigQuery</v>
      </c>
      <c r="M57" s="10" t="str">
        <f t="shared" si="3"/>
        <v>Yes</v>
      </c>
    </row>
    <row r="58">
      <c r="A58" s="4" t="str">
        <f>IFERROR(__xludf.DUMMYFUNCTION("vlookup(C58,IMPORTRANGE(""1Kgoo8qyo6zMtf_5B03ksZz228jg0XpZ4_KXsdHQ4Vks"",""14 Sept!A:B""),2,0)"),"DME3239")</f>
        <v>DME3239</v>
      </c>
      <c r="B58" s="5" t="str">
        <f>IFERROR(__xludf.DUMMYFUNCTION("""COMPUTED_VALUE"""),"Bhaskar Mehta")</f>
        <v>Bhaskar Mehta</v>
      </c>
      <c r="C58" s="5" t="str">
        <f>IFERROR(__xludf.DUMMYFUNCTION("""COMPUTED_VALUE"""),"bhaskar.mehta@onixnet.com")</f>
        <v>bhaskar.mehta@onixnet.com</v>
      </c>
      <c r="D58" s="4" t="s">
        <v>11</v>
      </c>
      <c r="E58" s="6" t="str">
        <f>IFERROR(__xludf.DUMMYFUNCTION("vlookup($A58,importrange(""1fyGnaViAX9kns28pvsfPvI9925sAI7kxPlM7jpuHVJM"",""Validation!A:Z""),11,0)"),"Delivery Services")</f>
        <v>Delivery Services</v>
      </c>
      <c r="F58" s="6" t="str">
        <f>IFERROR(__xludf.DUMMYFUNCTION("vlookup($A58,importrange(""1fyGnaViAX9kns28pvsfPvI9925sAI7kxPlM7jpuHVJM"",""Validation!A:Z""),23,0)"),"Vedant Bhogawade")</f>
        <v>Vedant Bhogawade</v>
      </c>
      <c r="G58" s="6" t="str">
        <f>IFERROR(__xludf.DUMMYFUNCTION("vlookup(A58,importrange(""1fyGnaViAX9kns28pvsfPvI9925sAI7kxPlM7jpuHVJM"",""Validation!A:Z""),22,0)"),"Cluster - Varun")</f>
        <v>Cluster - Varun</v>
      </c>
      <c r="H58" s="4" t="str">
        <f>IFERROR(__xludf.DUMMYFUNCTION("vlookup(C58,importrange(""1kw74ismGU34AsZ5x-W4x7F3Zt2xc8NSYcCVMrCJBmdQ"",""DRP for 8 products!B:C""),2,0)"),"ONIBMBYD5")</f>
        <v>ONIBMBYD5</v>
      </c>
      <c r="I58" s="7">
        <f>IFERROR(__xludf.DUMMYFUNCTION("vlookup(C58,importrange(""1kw74ismGU34AsZ5x-W4x7F3Zt2xc8NSYcCVMrCJBmdQ"",""DRP for 8 products!B:E""),4,0)"),24.0)</f>
        <v>24</v>
      </c>
      <c r="J58" s="8" t="str">
        <f t="shared" si="1"/>
        <v>Tier 3</v>
      </c>
      <c r="K58" s="9" t="str">
        <f t="shared" si="2"/>
        <v>Active</v>
      </c>
      <c r="L58" s="4" t="str">
        <f>IFERROR(__xludf.DUMMYFUNCTION("vlookup(C58,importrange(""1kw74ismGU34AsZ5x-W4x7F3Zt2xc8NSYcCVMrCJBmdQ"",""DRP for 8 products!B:H""),6,0)"),"Cloud SQL")</f>
        <v>Cloud SQL</v>
      </c>
      <c r="M58" s="10" t="str">
        <f t="shared" si="3"/>
        <v>Yes</v>
      </c>
    </row>
    <row r="59">
      <c r="A59" s="4" t="str">
        <f>IFERROR(__xludf.DUMMYFUNCTION("vlookup(C59,IMPORTRANGE(""1Kgoo8qyo6zMtf_5B03ksZz228jg0XpZ4_KXsdHQ4Vks"",""14 Sept!A:B""),2,0)"),"DME3170")</f>
        <v>DME3170</v>
      </c>
      <c r="B59" s="5" t="str">
        <f>IFERROR(__xludf.DUMMYFUNCTION("""COMPUTED_VALUE"""),"Aslah Faseel K")</f>
        <v>Aslah Faseel K</v>
      </c>
      <c r="C59" s="5" t="str">
        <f>IFERROR(__xludf.DUMMYFUNCTION("""COMPUTED_VALUE"""),"aslahfaseel.k@onixnet.com")</f>
        <v>aslahfaseel.k@onixnet.com</v>
      </c>
      <c r="D59" s="4" t="s">
        <v>11</v>
      </c>
      <c r="E59" s="6" t="str">
        <f>IFERROR(__xludf.DUMMYFUNCTION("vlookup($A59,importrange(""1fyGnaViAX9kns28pvsfPvI9925sAI7kxPlM7jpuHVJM"",""Validation!A:Z""),11,0)"),"Delivery Services")</f>
        <v>Delivery Services</v>
      </c>
      <c r="F59" s="6" t="str">
        <f>IFERROR(__xludf.DUMMYFUNCTION("vlookup($A59,importrange(""1fyGnaViAX9kns28pvsfPvI9925sAI7kxPlM7jpuHVJM"",""Validation!A:Z""),23,0)"),"Vedant Bhogawade")</f>
        <v>Vedant Bhogawade</v>
      </c>
      <c r="G59" s="6" t="str">
        <f>IFERROR(__xludf.DUMMYFUNCTION("vlookup(A59,importrange(""1fyGnaViAX9kns28pvsfPvI9925sAI7kxPlM7jpuHVJM"",""Validation!A:Z""),22,0)"),"Cluster - Varun")</f>
        <v>Cluster - Varun</v>
      </c>
      <c r="H59" s="4" t="str">
        <f>IFERROR(__xludf.DUMMYFUNCTION("vlookup(C59,importrange(""1kw74ismGU34AsZ5x-W4x7F3Zt2xc8NSYcCVMrCJBmdQ"",""DRP for 8 products!B:C""),2,0)"),"ONIAFFCC1")</f>
        <v>ONIAFFCC1</v>
      </c>
      <c r="I59" s="7">
        <f>IFERROR(__xludf.DUMMYFUNCTION("vlookup(C59,importrange(""1kw74ismGU34AsZ5x-W4x7F3Zt2xc8NSYcCVMrCJBmdQ"",""DRP for 8 products!B:E""),4,0)"),39.0)</f>
        <v>39</v>
      </c>
      <c r="J59" s="8" t="str">
        <f t="shared" si="1"/>
        <v>Tier 2</v>
      </c>
      <c r="K59" s="9" t="str">
        <f t="shared" si="2"/>
        <v>Active</v>
      </c>
      <c r="L59" s="4" t="str">
        <f>IFERROR(__xludf.DUMMYFUNCTION("vlookup(C59,importrange(""1kw74ismGU34AsZ5x-W4x7F3Zt2xc8NSYcCVMrCJBmdQ"",""DRP for 8 products!B:H""),6,0)"),"BigQuery")</f>
        <v>BigQuery</v>
      </c>
      <c r="M59" s="10" t="str">
        <f t="shared" si="3"/>
        <v>Yes</v>
      </c>
    </row>
    <row r="60">
      <c r="A60" s="4" t="str">
        <f>IFERROR(__xludf.DUMMYFUNCTION("vlookup(C60,IMPORTRANGE(""1Kgoo8qyo6zMtf_5B03ksZz228jg0XpZ4_KXsdHQ4Vks"",""14 Sept!A:B""),2,0)"),"DME0378")</f>
        <v>DME0378</v>
      </c>
      <c r="B60" s="5" t="str">
        <f>IFERROR(__xludf.DUMMYFUNCTION("""COMPUTED_VALUE"""),"kamlesh kumar")</f>
        <v>kamlesh kumar</v>
      </c>
      <c r="C60" s="5" t="str">
        <f>IFERROR(__xludf.DUMMYFUNCTION("""COMPUTED_VALUE"""),"kamlesh.kumar@onixnet.com")</f>
        <v>kamlesh.kumar@onixnet.com</v>
      </c>
      <c r="D60" s="4" t="s">
        <v>11</v>
      </c>
      <c r="E60" s="6" t="str">
        <f>IFERROR(__xludf.DUMMYFUNCTION("vlookup($A60,importrange(""1fyGnaViAX9kns28pvsfPvI9925sAI7kxPlM7jpuHVJM"",""Validation!A:Z""),11,0)"),"Product Engineering")</f>
        <v>Product Engineering</v>
      </c>
      <c r="F60" s="6" t="str">
        <f>IFERROR(__xludf.DUMMYFUNCTION("vlookup($A60,importrange(""1fyGnaViAX9kns28pvsfPvI9925sAI7kxPlM7jpuHVJM"",""Validation!A:Z""),23,0)"),"Venkat Shivkumar")</f>
        <v>Venkat Shivkumar</v>
      </c>
      <c r="G60" s="6" t="str">
        <f>IFERROR(__xludf.DUMMYFUNCTION("vlookup(A60,importrange(""1fyGnaViAX9kns28pvsfPvI9925sAI7kxPlM7jpuHVJM"",""Validation!A:Z""),22,0)"),"Cluster - Mayur")</f>
        <v>Cluster - Mayur</v>
      </c>
      <c r="H60" s="4" t="str">
        <f>IFERROR(__xludf.DUMMYFUNCTION("vlookup(C60,importrange(""1kw74ismGU34AsZ5x-W4x7F3Zt2xc8NSYcCVMrCJBmdQ"",""DRP for 8 products!B:C""),2,0)"),"ONIKKAVT0")</f>
        <v>ONIKKAVT0</v>
      </c>
      <c r="I60" s="7">
        <f>IFERROR(__xludf.DUMMYFUNCTION("vlookup(C60,importrange(""1kw74ismGU34AsZ5x-W4x7F3Zt2xc8NSYcCVMrCJBmdQ"",""DRP for 8 products!B:E""),4,0)"),9.0)</f>
        <v>9</v>
      </c>
      <c r="J60" s="8" t="str">
        <f t="shared" si="1"/>
        <v>Tier 4</v>
      </c>
      <c r="K60" s="9" t="str">
        <f t="shared" si="2"/>
        <v>Active</v>
      </c>
      <c r="L60" s="4" t="str">
        <f>IFERROR(__xludf.DUMMYFUNCTION("vlookup(C60,importrange(""1kw74ismGU34AsZ5x-W4x7F3Zt2xc8NSYcCVMrCJBmdQ"",""DRP for 8 products!B:H""),6,0)"),"BigQuery")</f>
        <v>BigQuery</v>
      </c>
      <c r="M60" s="10" t="str">
        <f t="shared" si="3"/>
        <v>Yes</v>
      </c>
    </row>
    <row r="61">
      <c r="A61" s="4" t="str">
        <f>IFERROR(__xludf.DUMMYFUNCTION("vlookup(C61,IMPORTRANGE(""1Kgoo8qyo6zMtf_5B03ksZz228jg0XpZ4_KXsdHQ4Vks"",""14 Sept!A:B""),2,0)"),"DMC1068")</f>
        <v>DMC1068</v>
      </c>
      <c r="B61" s="5" t="str">
        <f>IFERROR(__xludf.DUMMYFUNCTION("""COMPUTED_VALUE"""),"Aarushi Mathur")</f>
        <v>Aarushi Mathur</v>
      </c>
      <c r="C61" s="5" t="str">
        <f>IFERROR(__xludf.DUMMYFUNCTION("""COMPUTED_VALUE"""),"aarushi.mathur@onixnet.com")</f>
        <v>aarushi.mathur@onixnet.com</v>
      </c>
      <c r="D61" s="4" t="s">
        <v>11</v>
      </c>
      <c r="E61" s="6" t="str">
        <f>IFERROR(__xludf.DUMMYFUNCTION("vlookup($A61,importrange(""1fyGnaViAX9kns28pvsfPvI9925sAI7kxPlM7jpuHVJM"",""Validation!A:Z""),11,0)"),"Delivery Services")</f>
        <v>Delivery Services</v>
      </c>
      <c r="F61" s="6" t="str">
        <f>IFERROR(__xludf.DUMMYFUNCTION("vlookup($A61,importrange(""1fyGnaViAX9kns28pvsfPvI9925sAI7kxPlM7jpuHVJM"",""Validation!A:Z""),23,0)"),"Kirankumar Shetty")</f>
        <v>Kirankumar Shetty</v>
      </c>
      <c r="G61" s="6" t="str">
        <f>IFERROR(__xludf.DUMMYFUNCTION("vlookup(A61,importrange(""1fyGnaViAX9kns28pvsfPvI9925sAI7kxPlM7jpuHVJM"",""Validation!A:Z""),22,0)"),"Cluster - Varun")</f>
        <v>Cluster - Varun</v>
      </c>
      <c r="H61" s="4" t="str">
        <f>IFERROR(__xludf.DUMMYFUNCTION("vlookup(C61,importrange(""1kw74ismGU34AsZ5x-W4x7F3Zt2xc8NSYcCVMrCJBmdQ"",""DRP for 8 products!B:C""),2,0)"),"ONIAMJYY4")</f>
        <v>ONIAMJYY4</v>
      </c>
      <c r="I61" s="7">
        <f>IFERROR(__xludf.DUMMYFUNCTION("vlookup(C61,importrange(""1kw74ismGU34AsZ5x-W4x7F3Zt2xc8NSYcCVMrCJBmdQ"",""DRP for 8 products!B:E""),4,0)"),10.0)</f>
        <v>10</v>
      </c>
      <c r="J61" s="8" t="str">
        <f t="shared" si="1"/>
        <v>Tier 4</v>
      </c>
      <c r="K61" s="9" t="str">
        <f t="shared" si="2"/>
        <v>Active</v>
      </c>
      <c r="L61" s="4" t="str">
        <f>IFERROR(__xludf.DUMMYFUNCTION("vlookup(C61,importrange(""1kw74ismGU34AsZ5x-W4x7F3Zt2xc8NSYcCVMrCJBmdQ"",""DRP for 8 products!B:H""),6,0)"),"BigQuery")</f>
        <v>BigQuery</v>
      </c>
      <c r="M61" s="10" t="str">
        <f t="shared" si="3"/>
        <v>Yes</v>
      </c>
    </row>
    <row r="62">
      <c r="A62" s="4" t="str">
        <f>IFERROR(__xludf.DUMMYFUNCTION("vlookup(C62,IMPORTRANGE(""1Kgoo8qyo6zMtf_5B03ksZz228jg0XpZ4_KXsdHQ4Vks"",""14 Sept!A:B""),2,0)"),"DME2501")</f>
        <v>DME2501</v>
      </c>
      <c r="B62" s="5" t="str">
        <f>IFERROR(__xludf.DUMMYFUNCTION("""COMPUTED_VALUE"""),"Bhushan Rayate")</f>
        <v>Bhushan Rayate</v>
      </c>
      <c r="C62" s="5" t="str">
        <f>IFERROR(__xludf.DUMMYFUNCTION("""COMPUTED_VALUE"""),"bhushan.rayate@onixnet.com")</f>
        <v>bhushan.rayate@onixnet.com</v>
      </c>
      <c r="D62" s="4" t="s">
        <v>11</v>
      </c>
      <c r="E62" s="6" t="str">
        <f>IFERROR(__xludf.DUMMYFUNCTION("vlookup($A62,importrange(""1fyGnaViAX9kns28pvsfPvI9925sAI7kxPlM7jpuHVJM"",""Validation!A:Z""),11,0)"),"Delivery Services")</f>
        <v>Delivery Services</v>
      </c>
      <c r="F62" s="6" t="str">
        <f>IFERROR(__xludf.DUMMYFUNCTION("vlookup($A62,importrange(""1fyGnaViAX9kns28pvsfPvI9925sAI7kxPlM7jpuHVJM"",""Validation!A:Z""),23,0)"),"Sanyam Jain")</f>
        <v>Sanyam Jain</v>
      </c>
      <c r="G62" s="6" t="str">
        <f>IFERROR(__xludf.DUMMYFUNCTION("vlookup(A62,importrange(""1fyGnaViAX9kns28pvsfPvI9925sAI7kxPlM7jpuHVJM"",""Validation!A:Z""),22,0)"),"Cluster - Sandeep")</f>
        <v>Cluster - Sandeep</v>
      </c>
      <c r="H62" s="4" t="str">
        <f>IFERROR(__xludf.DUMMYFUNCTION("vlookup(C62,importrange(""1kw74ismGU34AsZ5x-W4x7F3Zt2xc8NSYcCVMrCJBmdQ"",""DRP for 8 products!B:C""),2,0)"),"ONIBRMYU2")</f>
        <v>ONIBRMYU2</v>
      </c>
      <c r="I62" s="7">
        <f>IFERROR(__xludf.DUMMYFUNCTION("vlookup(C62,importrange(""1kw74ismGU34AsZ5x-W4x7F3Zt2xc8NSYcCVMrCJBmdQ"",""DRP for 8 products!B:E""),4,0)"),8.0)</f>
        <v>8</v>
      </c>
      <c r="J62" s="8" t="str">
        <f t="shared" si="1"/>
        <v>Tier 4</v>
      </c>
      <c r="K62" s="9" t="str">
        <f t="shared" si="2"/>
        <v>Active</v>
      </c>
      <c r="L62" s="4" t="str">
        <f>IFERROR(__xludf.DUMMYFUNCTION("vlookup(C62,importrange(""1kw74ismGU34AsZ5x-W4x7F3Zt2xc8NSYcCVMrCJBmdQ"",""DRP for 8 products!B:H""),6,0)"),"BigQuery")</f>
        <v>BigQuery</v>
      </c>
      <c r="M62" s="10" t="str">
        <f t="shared" si="3"/>
        <v>Yes</v>
      </c>
    </row>
    <row r="63">
      <c r="A63" s="4" t="str">
        <f>IFERROR(__xludf.DUMMYFUNCTION("vlookup(C63,IMPORTRANGE(""1Kgoo8qyo6zMtf_5B03ksZz228jg0XpZ4_KXsdHQ4Vks"",""14 Sept!A:B""),2,0)"),"DME2262")</f>
        <v>DME2262</v>
      </c>
      <c r="B63" s="5" t="str">
        <f>IFERROR(__xludf.DUMMYFUNCTION("""COMPUTED_VALUE"""),"Ashish chute")</f>
        <v>Ashish chute</v>
      </c>
      <c r="C63" s="5" t="str">
        <f>IFERROR(__xludf.DUMMYFUNCTION("""COMPUTED_VALUE"""),"ashish.chute@onixnet.com")</f>
        <v>ashish.chute@onixnet.com</v>
      </c>
      <c r="D63" s="4" t="s">
        <v>11</v>
      </c>
      <c r="E63" s="6" t="str">
        <f>IFERROR(__xludf.DUMMYFUNCTION("vlookup($A63,importrange(""1fyGnaViAX9kns28pvsfPvI9925sAI7kxPlM7jpuHVJM"",""Validation!A:Z""),11,0)"),"Delivery Services")</f>
        <v>Delivery Services</v>
      </c>
      <c r="F63" s="6" t="str">
        <f>IFERROR(__xludf.DUMMYFUNCTION("vlookup($A63,importrange(""1fyGnaViAX9kns28pvsfPvI9925sAI7kxPlM7jpuHVJM"",""Validation!A:Z""),23,0)"),"Ashish Shaligram Tiwari")</f>
        <v>Ashish Shaligram Tiwari</v>
      </c>
      <c r="G63" s="6" t="str">
        <f>IFERROR(__xludf.DUMMYFUNCTION("vlookup(A63,importrange(""1fyGnaViAX9kns28pvsfPvI9925sAI7kxPlM7jpuHVJM"",""Validation!A:Z""),22,0)"),"Cluster - Sachin")</f>
        <v>Cluster - Sachin</v>
      </c>
      <c r="H63" s="4" t="str">
        <f>IFERROR(__xludf.DUMMYFUNCTION("vlookup(C63,importrange(""1kw74ismGU34AsZ5x-W4x7F3Zt2xc8NSYcCVMrCJBmdQ"",""DRP for 8 products!B:C""),2,0)"),"ONIACYVN9")</f>
        <v>ONIACYVN9</v>
      </c>
      <c r="I63" s="7">
        <f>IFERROR(__xludf.DUMMYFUNCTION("vlookup(C63,importrange(""1kw74ismGU34AsZ5x-W4x7F3Zt2xc8NSYcCVMrCJBmdQ"",""DRP for 8 products!B:E""),4,0)"),24.0)</f>
        <v>24</v>
      </c>
      <c r="J63" s="8" t="str">
        <f t="shared" si="1"/>
        <v>Tier 3</v>
      </c>
      <c r="K63" s="9" t="str">
        <f t="shared" si="2"/>
        <v>Active</v>
      </c>
      <c r="L63" s="4" t="str">
        <f>IFERROR(__xludf.DUMMYFUNCTION("vlookup(C63,importrange(""1kw74ismGU34AsZ5x-W4x7F3Zt2xc8NSYcCVMrCJBmdQ"",""DRP for 8 products!B:H""),6,0)"),"BigQuery")</f>
        <v>BigQuery</v>
      </c>
      <c r="M63" s="10" t="str">
        <f t="shared" si="3"/>
        <v>Yes</v>
      </c>
    </row>
    <row r="64">
      <c r="A64" s="4" t="str">
        <f>IFERROR(__xludf.DUMMYFUNCTION("vlookup(C64,IMPORTRANGE(""1Kgoo8qyo6zMtf_5B03ksZz228jg0XpZ4_KXsdHQ4Vks"",""14 Sept!A:B""),2,0)"),"ONIX823")</f>
        <v>ONIX823</v>
      </c>
      <c r="B64" s="5" t="str">
        <f>IFERROR(__xludf.DUMMYFUNCTION("""COMPUTED_VALUE"""),"Rameshwari Jadhav")</f>
        <v>Rameshwari Jadhav</v>
      </c>
      <c r="C64" s="5" t="str">
        <f>IFERROR(__xludf.DUMMYFUNCTION("""COMPUTED_VALUE"""),"rameshwari.jadhav@onixnet.com")</f>
        <v>rameshwari.jadhav@onixnet.com</v>
      </c>
      <c r="D64" s="4" t="s">
        <v>11</v>
      </c>
      <c r="E64" s="6" t="str">
        <f>IFERROR(__xludf.DUMMYFUNCTION("vlookup($A64,importrange(""1fyGnaViAX9kns28pvsfPvI9925sAI7kxPlM7jpuHVJM"",""Validation!A:Z""),11,0)"),"Delivery")</f>
        <v>Delivery</v>
      </c>
      <c r="F64" s="6" t="str">
        <f>IFERROR(__xludf.DUMMYFUNCTION("vlookup($A64,importrange(""1fyGnaViAX9kns28pvsfPvI9925sAI7kxPlM7jpuHVJM"",""Validation!A:Z""),23,0)"),"Venkat Srinivasan")</f>
        <v>Venkat Srinivasan</v>
      </c>
      <c r="G64" s="6" t="str">
        <f>IFERROR(__xludf.DUMMYFUNCTION("vlookup(A64,importrange(""1fyGnaViAX9kns28pvsfPvI9925sAI7kxPlM7jpuHVJM"",""Validation!A:Z""),22,0)"),"Portfolio - Rajesh")</f>
        <v>Portfolio - Rajesh</v>
      </c>
      <c r="H64" s="4" t="str">
        <f>IFERROR(__xludf.DUMMYFUNCTION("vlookup(C64,importrange(""1kw74ismGU34AsZ5x-W4x7F3Zt2xc8NSYcCVMrCJBmdQ"",""DRP for 8 products!B:C""),2,0)"),"ONIRJALP7")</f>
        <v>ONIRJALP7</v>
      </c>
      <c r="I64" s="7">
        <f>IFERROR(__xludf.DUMMYFUNCTION("vlookup(C64,importrange(""1kw74ismGU34AsZ5x-W4x7F3Zt2xc8NSYcCVMrCJBmdQ"",""DRP for 8 products!B:E""),4,0)"),29.0)</f>
        <v>29</v>
      </c>
      <c r="J64" s="8" t="str">
        <f t="shared" si="1"/>
        <v>Tier 3</v>
      </c>
      <c r="K64" s="9" t="str">
        <f t="shared" si="2"/>
        <v>Active</v>
      </c>
      <c r="L64" s="4" t="str">
        <f>IFERROR(__xludf.DUMMYFUNCTION("vlookup(C64,importrange(""1kw74ismGU34AsZ5x-W4x7F3Zt2xc8NSYcCVMrCJBmdQ"",""DRP for 8 products!B:H""),6,0)"),"BigQuery")</f>
        <v>BigQuery</v>
      </c>
      <c r="M64" s="10" t="str">
        <f t="shared" si="3"/>
        <v>Yes</v>
      </c>
    </row>
    <row r="65">
      <c r="A65" s="4" t="str">
        <f>IFERROR(__xludf.DUMMYFUNCTION("vlookup(C65,IMPORTRANGE(""1Kgoo8qyo6zMtf_5B03ksZz228jg0XpZ4_KXsdHQ4Vks"",""14 Sept!A:B""),2,0)"),"DME1456")</f>
        <v>DME1456</v>
      </c>
      <c r="B65" s="5" t="str">
        <f>IFERROR(__xludf.DUMMYFUNCTION("""COMPUTED_VALUE"""),"vikram nikam")</f>
        <v>vikram nikam</v>
      </c>
      <c r="C65" s="5" t="str">
        <f>IFERROR(__xludf.DUMMYFUNCTION("""COMPUTED_VALUE"""),"vikram.nikam@onixnet.com")</f>
        <v>vikram.nikam@onixnet.com</v>
      </c>
      <c r="D65" s="4" t="s">
        <v>11</v>
      </c>
      <c r="E65" s="6" t="str">
        <f>IFERROR(__xludf.DUMMYFUNCTION("vlookup($A65,importrange(""1fyGnaViAX9kns28pvsfPvI9925sAI7kxPlM7jpuHVJM"",""Validation!A:Z""),11,0)"),"Delivery Services")</f>
        <v>Delivery Services</v>
      </c>
      <c r="F65" s="6" t="str">
        <f>IFERROR(__xludf.DUMMYFUNCTION("vlookup($A65,importrange(""1fyGnaViAX9kns28pvsfPvI9925sAI7kxPlM7jpuHVJM"",""Validation!A:Z""),23,0)"),"Aakash Vinod Tolani")</f>
        <v>Aakash Vinod Tolani</v>
      </c>
      <c r="G65" s="6" t="str">
        <f>IFERROR(__xludf.DUMMYFUNCTION("vlookup(A65,importrange(""1fyGnaViAX9kns28pvsfPvI9925sAI7kxPlM7jpuHVJM"",""Validation!A:Z""),22,0)"),"Cluster - Shreepad")</f>
        <v>Cluster - Shreepad</v>
      </c>
      <c r="H65" s="4" t="str">
        <f>IFERROR(__xludf.DUMMYFUNCTION("vlookup(C65,importrange(""1kw74ismGU34AsZ5x-W4x7F3Zt2xc8NSYcCVMrCJBmdQ"",""DRP for 8 products!B:C""),2,0)"),"DATVNFPZ0")</f>
        <v>DATVNFPZ0</v>
      </c>
      <c r="I65" s="7">
        <f>IFERROR(__xludf.DUMMYFUNCTION("vlookup(C65,importrange(""1kw74ismGU34AsZ5x-W4x7F3Zt2xc8NSYcCVMrCJBmdQ"",""DRP for 8 products!B:E""),4,0)"),37.0)</f>
        <v>37</v>
      </c>
      <c r="J65" s="8" t="str">
        <f t="shared" si="1"/>
        <v>Tier 2</v>
      </c>
      <c r="K65" s="9" t="str">
        <f t="shared" si="2"/>
        <v>Active</v>
      </c>
      <c r="L65" s="4" t="str">
        <f>IFERROR(__xludf.DUMMYFUNCTION("vlookup(C65,importrange(""1kw74ismGU34AsZ5x-W4x7F3Zt2xc8NSYcCVMrCJBmdQ"",""DRP for 8 products!B:H""),6,0)"),"BigQuery")</f>
        <v>BigQuery</v>
      </c>
      <c r="M65" s="10" t="str">
        <f t="shared" si="3"/>
        <v>Yes</v>
      </c>
    </row>
    <row r="66">
      <c r="A66" s="4" t="str">
        <f>IFERROR(__xludf.DUMMYFUNCTION("vlookup(C66,IMPORTRANGE(""1Kgoo8qyo6zMtf_5B03ksZz228jg0XpZ4_KXsdHQ4Vks"",""14 Sept!A:B""),2,0)"),"ONIX749")</f>
        <v>ONIX749</v>
      </c>
      <c r="B66" s="5" t="str">
        <f>IFERROR(__xludf.DUMMYFUNCTION("""COMPUTED_VALUE"""),"Mohsin Shaikh")</f>
        <v>Mohsin Shaikh</v>
      </c>
      <c r="C66" s="5" t="str">
        <f>IFERROR(__xludf.DUMMYFUNCTION("""COMPUTED_VALUE"""),"mohsin.shaikh@onixnet.com")</f>
        <v>mohsin.shaikh@onixnet.com</v>
      </c>
      <c r="D66" s="4" t="s">
        <v>11</v>
      </c>
      <c r="E66" s="6" t="str">
        <f>IFERROR(__xludf.DUMMYFUNCTION("vlookup($A66,importrange(""1fyGnaViAX9kns28pvsfPvI9925sAI7kxPlM7jpuHVJM"",""Validation!A:Z""),11,0)"),"Solution Management")</f>
        <v>Solution Management</v>
      </c>
      <c r="F66" s="6" t="str">
        <f>IFERROR(__xludf.DUMMYFUNCTION("vlookup($A66,importrange(""1fyGnaViAX9kns28pvsfPvI9925sAI7kxPlM7jpuHVJM"",""Validation!A:Z""),23,0)"),"Venkat Srinivasan")</f>
        <v>Venkat Srinivasan</v>
      </c>
      <c r="G66" s="6" t="str">
        <f>IFERROR(__xludf.DUMMYFUNCTION("vlookup(A66,importrange(""1fyGnaViAX9kns28pvsfPvI9925sAI7kxPlM7jpuHVJM"",""Validation!A:Z""),22,0)"),"Portfolio - Rajesh")</f>
        <v>Portfolio - Rajesh</v>
      </c>
      <c r="H66" s="4" t="str">
        <f>IFERROR(__xludf.DUMMYFUNCTION("vlookup(C66,importrange(""1kw74ismGU34AsZ5x-W4x7F3Zt2xc8NSYcCVMrCJBmdQ"",""DRP for 8 products!B:C""),2,0)"),"DATMS57Y0")</f>
        <v>DATMS57Y0</v>
      </c>
      <c r="I66" s="7">
        <f>IFERROR(__xludf.DUMMYFUNCTION("vlookup(C66,importrange(""1kw74ismGU34AsZ5x-W4x7F3Zt2xc8NSYcCVMrCJBmdQ"",""DRP for 8 products!B:E""),4,0)"),49.0)</f>
        <v>49</v>
      </c>
      <c r="J66" s="8" t="str">
        <f t="shared" si="1"/>
        <v>Tier 2</v>
      </c>
      <c r="K66" s="9" t="str">
        <f t="shared" si="2"/>
        <v>Active</v>
      </c>
      <c r="L66" s="4" t="str">
        <f>IFERROR(__xludf.DUMMYFUNCTION("vlookup(C66,importrange(""1kw74ismGU34AsZ5x-W4x7F3Zt2xc8NSYcCVMrCJBmdQ"",""DRP for 8 products!B:H""),6,0)"),"BigQuery")</f>
        <v>BigQuery</v>
      </c>
      <c r="M66" s="10" t="str">
        <f t="shared" si="3"/>
        <v>Yes</v>
      </c>
    </row>
    <row r="67">
      <c r="A67" s="4" t="str">
        <f>IFERROR(__xludf.DUMMYFUNCTION("vlookup(C67,IMPORTRANGE(""1Kgoo8qyo6zMtf_5B03ksZz228jg0XpZ4_KXsdHQ4Vks"",""14 Sept!A:B""),2,0)"),"DME2132")</f>
        <v>DME2132</v>
      </c>
      <c r="B67" s="5" t="str">
        <f>IFERROR(__xludf.DUMMYFUNCTION("""COMPUTED_VALUE"""),"Harish Bhujbal")</f>
        <v>Harish Bhujbal</v>
      </c>
      <c r="C67" s="5" t="str">
        <f>IFERROR(__xludf.DUMMYFUNCTION("""COMPUTED_VALUE"""),"harish.bhujbal@onixnet.com")</f>
        <v>harish.bhujbal@onixnet.com</v>
      </c>
      <c r="D67" s="4" t="s">
        <v>11</v>
      </c>
      <c r="E67" s="6" t="str">
        <f>IFERROR(__xludf.DUMMYFUNCTION("vlookup($A67,importrange(""1fyGnaViAX9kns28pvsfPvI9925sAI7kxPlM7jpuHVJM"",""Validation!A:Z""),11,0)"),"Delivery Services")</f>
        <v>Delivery Services</v>
      </c>
      <c r="F67" s="6" t="str">
        <f>IFERROR(__xludf.DUMMYFUNCTION("vlookup($A67,importrange(""1fyGnaViAX9kns28pvsfPvI9925sAI7kxPlM7jpuHVJM"",""Validation!A:Z""),23,0)"),"Rahul Shelake")</f>
        <v>Rahul Shelake</v>
      </c>
      <c r="G67" s="6" t="str">
        <f>IFERROR(__xludf.DUMMYFUNCTION("vlookup(A67,importrange(""1fyGnaViAX9kns28pvsfPvI9925sAI7kxPlM7jpuHVJM"",""Validation!A:Z""),22,0)"),"Cluster - Sagar")</f>
        <v>Cluster - Sagar</v>
      </c>
      <c r="H67" s="4" t="str">
        <f>IFERROR(__xludf.DUMMYFUNCTION("vlookup(C67,importrange(""1kw74ismGU34AsZ5x-W4x7F3Zt2xc8NSYcCVMrCJBmdQ"",""DRP for 8 products!B:C""),2,0)"),"DATHBJ5G0")</f>
        <v>DATHBJ5G0</v>
      </c>
      <c r="I67" s="7">
        <f>IFERROR(__xludf.DUMMYFUNCTION("vlookup(C67,importrange(""1kw74ismGU34AsZ5x-W4x7F3Zt2xc8NSYcCVMrCJBmdQ"",""DRP for 8 products!B:E""),4,0)"),18.0)</f>
        <v>18</v>
      </c>
      <c r="J67" s="8" t="str">
        <f t="shared" si="1"/>
        <v>Tier 4</v>
      </c>
      <c r="K67" s="9" t="str">
        <f t="shared" si="2"/>
        <v>Active</v>
      </c>
      <c r="L67" s="4" t="str">
        <f>IFERROR(__xludf.DUMMYFUNCTION("vlookup(C67,importrange(""1kw74ismGU34AsZ5x-W4x7F3Zt2xc8NSYcCVMrCJBmdQ"",""DRP for 8 products!B:H""),6,0)"),"BigQuery")</f>
        <v>BigQuery</v>
      </c>
      <c r="M67" s="10" t="str">
        <f t="shared" si="3"/>
        <v>Yes</v>
      </c>
    </row>
    <row r="68">
      <c r="A68" s="4" t="str">
        <f>IFERROR(__xludf.DUMMYFUNCTION("vlookup(C68,IMPORTRANGE(""1Kgoo8qyo6zMtf_5B03ksZz228jg0XpZ4_KXsdHQ4Vks"",""14 Sept!A:B""),2,0)"),"DME1947")</f>
        <v>DME1947</v>
      </c>
      <c r="B68" s="5" t="str">
        <f>IFERROR(__xludf.DUMMYFUNCTION("""COMPUTED_VALUE"""),"Vivek Sonara")</f>
        <v>Vivek Sonara</v>
      </c>
      <c r="C68" s="5" t="str">
        <f>IFERROR(__xludf.DUMMYFUNCTION("""COMPUTED_VALUE"""),"vivek.sonara@onixnet.com")</f>
        <v>vivek.sonara@onixnet.com</v>
      </c>
      <c r="D68" s="4" t="s">
        <v>11</v>
      </c>
      <c r="E68" s="6" t="str">
        <f>IFERROR(__xludf.DUMMYFUNCTION("vlookup($A68,importrange(""1fyGnaViAX9kns28pvsfPvI9925sAI7kxPlM7jpuHVJM"",""Validation!A:Z""),11,0)"),"Product Engineering")</f>
        <v>Product Engineering</v>
      </c>
      <c r="F68" s="6" t="str">
        <f>IFERROR(__xludf.DUMMYFUNCTION("vlookup($A68,importrange(""1fyGnaViAX9kns28pvsfPvI9925sAI7kxPlM7jpuHVJM"",""Validation!A:Z""),23,0)"),"Laxmikant Chavan")</f>
        <v>Laxmikant Chavan</v>
      </c>
      <c r="G68" s="6" t="str">
        <f>IFERROR(__xludf.DUMMYFUNCTION("vlookup(A68,importrange(""1fyGnaViAX9kns28pvsfPvI9925sAI7kxPlM7jpuHVJM"",""Validation!A:Z""),22,0)"),"Cluster - Mayur")</f>
        <v>Cluster - Mayur</v>
      </c>
      <c r="H68" s="4" t="str">
        <f>IFERROR(__xludf.DUMMYFUNCTION("vlookup(C68,importrange(""1kw74ismGU34AsZ5x-W4x7F3Zt2xc8NSYcCVMrCJBmdQ"",""DRP for 8 products!B:C""),2,0)"),"DATVSWH20")</f>
        <v>DATVSWH20</v>
      </c>
      <c r="I68" s="7">
        <f>IFERROR(__xludf.DUMMYFUNCTION("vlookup(C68,importrange(""1kw74ismGU34AsZ5x-W4x7F3Zt2xc8NSYcCVMrCJBmdQ"",""DRP for 8 products!B:E""),4,0)"),36.0)</f>
        <v>36</v>
      </c>
      <c r="J68" s="8" t="str">
        <f t="shared" si="1"/>
        <v>Tier 2</v>
      </c>
      <c r="K68" s="9" t="str">
        <f t="shared" si="2"/>
        <v>Active</v>
      </c>
      <c r="L68" s="4" t="str">
        <f>IFERROR(__xludf.DUMMYFUNCTION("vlookup(C68,importrange(""1kw74ismGU34AsZ5x-W4x7F3Zt2xc8NSYcCVMrCJBmdQ"",""DRP for 8 products!B:H""),6,0)"),"BigQuery")</f>
        <v>BigQuery</v>
      </c>
      <c r="M68" s="10" t="str">
        <f t="shared" si="3"/>
        <v>Yes</v>
      </c>
    </row>
    <row r="69">
      <c r="A69" s="4" t="str">
        <f>IFERROR(__xludf.DUMMYFUNCTION("vlookup(C69,IMPORTRANGE(""1Kgoo8qyo6zMtf_5B03ksZz228jg0XpZ4_KXsdHQ4Vks"",""14 Sept!A:B""),2,0)"),"DME1936")</f>
        <v>DME1936</v>
      </c>
      <c r="B69" s="5" t="str">
        <f>IFERROR(__xludf.DUMMYFUNCTION("""COMPUTED_VALUE"""),"Sandeep Kumar")</f>
        <v>Sandeep Kumar</v>
      </c>
      <c r="C69" s="5" t="str">
        <f>IFERROR(__xludf.DUMMYFUNCTION("""COMPUTED_VALUE"""),"sandeep.kumar@onixnet.com")</f>
        <v>sandeep.kumar@onixnet.com</v>
      </c>
      <c r="D69" s="4" t="s">
        <v>11</v>
      </c>
      <c r="E69" s="6" t="str">
        <f>IFERROR(__xludf.DUMMYFUNCTION("vlookup($A69,importrange(""1fyGnaViAX9kns28pvsfPvI9925sAI7kxPlM7jpuHVJM"",""Validation!A:Z""),11,0)"),"Delivery Services")</f>
        <v>Delivery Services</v>
      </c>
      <c r="F69" s="6" t="str">
        <f>IFERROR(__xludf.DUMMYFUNCTION("vlookup($A69,importrange(""1fyGnaViAX9kns28pvsfPvI9925sAI7kxPlM7jpuHVJM"",""Validation!A:Z""),23,0)"),"Gaurav Bharara")</f>
        <v>Gaurav Bharara</v>
      </c>
      <c r="G69" s="6" t="str">
        <f>IFERROR(__xludf.DUMMYFUNCTION("vlookup(A69,importrange(""1fyGnaViAX9kns28pvsfPvI9925sAI7kxPlM7jpuHVJM"",""Validation!A:Z""),22,0)"),"Cluster - Sandeep")</f>
        <v>Cluster - Sandeep</v>
      </c>
      <c r="H69" s="4" t="str">
        <f>IFERROR(__xludf.DUMMYFUNCTION("vlookup(C69,importrange(""1kw74ismGU34AsZ5x-W4x7F3Zt2xc8NSYcCVMrCJBmdQ"",""DRP for 8 products!B:C""),2,0)"),"DATSKWYO0")</f>
        <v>DATSKWYO0</v>
      </c>
      <c r="I69" s="7">
        <f>IFERROR(__xludf.DUMMYFUNCTION("vlookup(C69,importrange(""1kw74ismGU34AsZ5x-W4x7F3Zt2xc8NSYcCVMrCJBmdQ"",""DRP for 8 products!B:E""),4,0)"),19.0)</f>
        <v>19</v>
      </c>
      <c r="J69" s="8" t="str">
        <f t="shared" si="1"/>
        <v>Tier 4</v>
      </c>
      <c r="K69" s="9" t="str">
        <f t="shared" si="2"/>
        <v>Active</v>
      </c>
      <c r="L69" s="4" t="str">
        <f>IFERROR(__xludf.DUMMYFUNCTION("vlookup(C69,importrange(""1kw74ismGU34AsZ5x-W4x7F3Zt2xc8NSYcCVMrCJBmdQ"",""DRP for 8 products!B:H""),6,0)"),"BigQuery")</f>
        <v>BigQuery</v>
      </c>
      <c r="M69" s="10" t="str">
        <f t="shared" si="3"/>
        <v>Yes</v>
      </c>
    </row>
    <row r="70">
      <c r="A70" s="4" t="str">
        <f>IFERROR(__xludf.DUMMYFUNCTION("vlookup(C70,IMPORTRANGE(""1Kgoo8qyo6zMtf_5B03ksZz228jg0XpZ4_KXsdHQ4Vks"",""14 Sept!A:B""),2,0)"),"DME0614")</f>
        <v>DME0614</v>
      </c>
      <c r="B70" s="5" t="str">
        <f>IFERROR(__xludf.DUMMYFUNCTION("""COMPUTED_VALUE"""),"Siddesh Mayekar")</f>
        <v>Siddesh Mayekar</v>
      </c>
      <c r="C70" s="5" t="str">
        <f>IFERROR(__xludf.DUMMYFUNCTION("""COMPUTED_VALUE"""),"siddesh.mayekar@onixnet.com")</f>
        <v>siddesh.mayekar@onixnet.com</v>
      </c>
      <c r="D70" s="4" t="s">
        <v>11</v>
      </c>
      <c r="E70" s="6" t="str">
        <f>IFERROR(__xludf.DUMMYFUNCTION("vlookup($A70,importrange(""1fyGnaViAX9kns28pvsfPvI9925sAI7kxPlM7jpuHVJM"",""Validation!A:Z""),11,0)"),"Delivery Services")</f>
        <v>Delivery Services</v>
      </c>
      <c r="F70" s="6" t="str">
        <f>IFERROR(__xludf.DUMMYFUNCTION("vlookup($A70,importrange(""1fyGnaViAX9kns28pvsfPvI9925sAI7kxPlM7jpuHVJM"",""Validation!A:Z""),23,0)"),"Anubhav Sharma")</f>
        <v>Anubhav Sharma</v>
      </c>
      <c r="G70" s="6" t="str">
        <f>IFERROR(__xludf.DUMMYFUNCTION("vlookup(A70,importrange(""1fyGnaViAX9kns28pvsfPvI9925sAI7kxPlM7jpuHVJM"",""Validation!A:Z""),22,0)"),"Cluster - Varun")</f>
        <v>Cluster - Varun</v>
      </c>
      <c r="H70" s="4" t="str">
        <f>IFERROR(__xludf.DUMMYFUNCTION("vlookup(C70,importrange(""1kw74ismGU34AsZ5x-W4x7F3Zt2xc8NSYcCVMrCJBmdQ"",""DRP for 8 products!B:C""),2,0)"),"DATSMXCW2")</f>
        <v>DATSMXCW2</v>
      </c>
      <c r="I70" s="7">
        <f>IFERROR(__xludf.DUMMYFUNCTION("vlookup(C70,importrange(""1kw74ismGU34AsZ5x-W4x7F3Zt2xc8NSYcCVMrCJBmdQ"",""DRP for 8 products!B:E""),4,0)"),14.0)</f>
        <v>14</v>
      </c>
      <c r="J70" s="8" t="str">
        <f t="shared" si="1"/>
        <v>Tier 4</v>
      </c>
      <c r="K70" s="9" t="str">
        <f t="shared" si="2"/>
        <v>Active</v>
      </c>
      <c r="L70" s="4" t="str">
        <f>IFERROR(__xludf.DUMMYFUNCTION("vlookup(C70,importrange(""1kw74ismGU34AsZ5x-W4x7F3Zt2xc8NSYcCVMrCJBmdQ"",""DRP for 8 products!B:H""),6,0)"),"Cloud SQL")</f>
        <v>Cloud SQL</v>
      </c>
      <c r="M70" s="10" t="str">
        <f t="shared" si="3"/>
        <v>Yes</v>
      </c>
    </row>
    <row r="71">
      <c r="A71" s="4" t="str">
        <f>IFERROR(__xludf.DUMMYFUNCTION("vlookup(C71,IMPORTRANGE(""1Kgoo8qyo6zMtf_5B03ksZz228jg0XpZ4_KXsdHQ4Vks"",""14 Sept!A:B""),2,0)"),"DME1238")</f>
        <v>DME1238</v>
      </c>
      <c r="B71" s="5" t="str">
        <f>IFERROR(__xludf.DUMMYFUNCTION("""COMPUTED_VALUE"""),"Mayuresh Kedari")</f>
        <v>Mayuresh Kedari</v>
      </c>
      <c r="C71" s="5" t="str">
        <f>IFERROR(__xludf.DUMMYFUNCTION("""COMPUTED_VALUE"""),"mayuresh.kedari@onixnet.com")</f>
        <v>mayuresh.kedari@onixnet.com</v>
      </c>
      <c r="D71" s="4" t="s">
        <v>11</v>
      </c>
      <c r="E71" s="6" t="str">
        <f>IFERROR(__xludf.DUMMYFUNCTION("vlookup($A71,importrange(""1fyGnaViAX9kns28pvsfPvI9925sAI7kxPlM7jpuHVJM"",""Validation!A:Z""),11,0)"),"Delivery Services")</f>
        <v>Delivery Services</v>
      </c>
      <c r="F71" s="6" t="str">
        <f>IFERROR(__xludf.DUMMYFUNCTION("vlookup($A71,importrange(""1fyGnaViAX9kns28pvsfPvI9925sAI7kxPlM7jpuHVJM"",""Validation!A:Z""),23,0)"),"Javed Ansari")</f>
        <v>Javed Ansari</v>
      </c>
      <c r="G71" s="6" t="str">
        <f>IFERROR(__xludf.DUMMYFUNCTION("vlookup(A71,importrange(""1fyGnaViAX9kns28pvsfPvI9925sAI7kxPlM7jpuHVJM"",""Validation!A:Z""),22,0)"),"Cluster - Gaurav")</f>
        <v>Cluster - Gaurav</v>
      </c>
      <c r="H71" s="4" t="str">
        <f>IFERROR(__xludf.DUMMYFUNCTION("vlookup(C71,importrange(""1kw74ismGU34AsZ5x-W4x7F3Zt2xc8NSYcCVMrCJBmdQ"",""DRP for 8 products!B:C""),2,0)"),"DATMKJNA1")</f>
        <v>DATMKJNA1</v>
      </c>
      <c r="I71" s="7">
        <f>IFERROR(__xludf.DUMMYFUNCTION("vlookup(C71,importrange(""1kw74ismGU34AsZ5x-W4x7F3Zt2xc8NSYcCVMrCJBmdQ"",""DRP for 8 products!B:E""),4,0)"),64.0)</f>
        <v>64</v>
      </c>
      <c r="J71" s="8" t="str">
        <f t="shared" si="1"/>
        <v>Tier 1</v>
      </c>
      <c r="K71" s="9" t="str">
        <f t="shared" si="2"/>
        <v>Active</v>
      </c>
      <c r="L71" s="4" t="str">
        <f>IFERROR(__xludf.DUMMYFUNCTION("vlookup(C71,importrange(""1kw74ismGU34AsZ5x-W4x7F3Zt2xc8NSYcCVMrCJBmdQ"",""DRP for 8 products!B:H""),6,0)"),"BigQuery")</f>
        <v>BigQuery</v>
      </c>
      <c r="M71" s="10" t="str">
        <f t="shared" si="3"/>
        <v>Yes</v>
      </c>
    </row>
    <row r="72">
      <c r="A72" s="4" t="str">
        <f>IFERROR(__xludf.DUMMYFUNCTION("vlookup(C72,IMPORTRANGE(""1Kgoo8qyo6zMtf_5B03ksZz228jg0XpZ4_KXsdHQ4Vks"",""14 Sept!A:B""),2,0)"),"DME1556")</f>
        <v>DME1556</v>
      </c>
      <c r="B72" s="5" t="str">
        <f>IFERROR(__xludf.DUMMYFUNCTION("""COMPUTED_VALUE"""),"Neeta Gawrha")</f>
        <v>Neeta Gawrha</v>
      </c>
      <c r="C72" s="5" t="str">
        <f>IFERROR(__xludf.DUMMYFUNCTION("""COMPUTED_VALUE"""),"neeta.gawrha@onixnet.com")</f>
        <v>neeta.gawrha@onixnet.com</v>
      </c>
      <c r="D72" s="4" t="s">
        <v>11</v>
      </c>
      <c r="E72" s="6" t="str">
        <f>IFERROR(__xludf.DUMMYFUNCTION("vlookup($A72,importrange(""1fyGnaViAX9kns28pvsfPvI9925sAI7kxPlM7jpuHVJM"",""Validation!A:Z""),11,0)"),"Delivery Services")</f>
        <v>Delivery Services</v>
      </c>
      <c r="F72" s="6" t="str">
        <f>IFERROR(__xludf.DUMMYFUNCTION("vlookup($A72,importrange(""1fyGnaViAX9kns28pvsfPvI9925sAI7kxPlM7jpuHVJM"",""Validation!A:Z""),23,0)"),"Varunesh Khandelwal")</f>
        <v>Varunesh Khandelwal</v>
      </c>
      <c r="G72" s="6" t="str">
        <f>IFERROR(__xludf.DUMMYFUNCTION("vlookup(A72,importrange(""1fyGnaViAX9kns28pvsfPvI9925sAI7kxPlM7jpuHVJM"",""Validation!A:Z""),22,0)"),"Cluster - Sachin")</f>
        <v>Cluster - Sachin</v>
      </c>
      <c r="H72" s="4" t="str">
        <f>IFERROR(__xludf.DUMMYFUNCTION("vlookup(C72,importrange(""1kw74ismGU34AsZ5x-W4x7F3Zt2xc8NSYcCVMrCJBmdQ"",""DRP for 8 products!B:C""),2,0)"),"DATNGZXP2")</f>
        <v>DATNGZXP2</v>
      </c>
      <c r="I72" s="7">
        <f>IFERROR(__xludf.DUMMYFUNCTION("vlookup(C72,importrange(""1kw74ismGU34AsZ5x-W4x7F3Zt2xc8NSYcCVMrCJBmdQ"",""DRP for 8 products!B:E""),4,0)"),54.0)</f>
        <v>54</v>
      </c>
      <c r="J72" s="8" t="str">
        <f t="shared" si="1"/>
        <v>Tier 1</v>
      </c>
      <c r="K72" s="9" t="str">
        <f t="shared" si="2"/>
        <v>Active</v>
      </c>
      <c r="L72" s="4" t="str">
        <f>IFERROR(__xludf.DUMMYFUNCTION("vlookup(C72,importrange(""1kw74ismGU34AsZ5x-W4x7F3Zt2xc8NSYcCVMrCJBmdQ"",""DRP for 8 products!B:H""),6,0)"),"BigQuery")</f>
        <v>BigQuery</v>
      </c>
      <c r="M72" s="10" t="str">
        <f t="shared" si="3"/>
        <v>Yes</v>
      </c>
    </row>
    <row r="73">
      <c r="A73" s="4" t="str">
        <f>IFERROR(__xludf.DUMMYFUNCTION("vlookup(C73,IMPORTRANGE(""1Kgoo8qyo6zMtf_5B03ksZz228jg0XpZ4_KXsdHQ4Vks"",""14 Sept!A:B""),2,0)"),"DME1985")</f>
        <v>DME1985</v>
      </c>
      <c r="B73" s="5" t="str">
        <f>IFERROR(__xludf.DUMMYFUNCTION("""COMPUTED_VALUE"""),"Mahesh Haloli")</f>
        <v>Mahesh Haloli</v>
      </c>
      <c r="C73" s="5" t="str">
        <f>IFERROR(__xludf.DUMMYFUNCTION("""COMPUTED_VALUE"""),"mahesh.haloli@onixnet.com")</f>
        <v>mahesh.haloli@onixnet.com</v>
      </c>
      <c r="D73" s="4" t="s">
        <v>11</v>
      </c>
      <c r="E73" s="6" t="str">
        <f>IFERROR(__xludf.DUMMYFUNCTION("vlookup($A73,importrange(""1fyGnaViAX9kns28pvsfPvI9925sAI7kxPlM7jpuHVJM"",""Validation!A:Z""),11,0)"),"Delivery Services")</f>
        <v>Delivery Services</v>
      </c>
      <c r="F73" s="6" t="str">
        <f>IFERROR(__xludf.DUMMYFUNCTION("vlookup($A73,importrange(""1fyGnaViAX9kns28pvsfPvI9925sAI7kxPlM7jpuHVJM"",""Validation!A:Z""),23,0)"),"Dinesh Bhamare")</f>
        <v>Dinesh Bhamare</v>
      </c>
      <c r="G73" s="6" t="str">
        <f>IFERROR(__xludf.DUMMYFUNCTION("vlookup(A73,importrange(""1fyGnaViAX9kns28pvsfPvI9925sAI7kxPlM7jpuHVJM"",""Validation!A:Z""),22,0)"),"Cluster - Shreepad")</f>
        <v>Cluster - Shreepad</v>
      </c>
      <c r="H73" s="4" t="str">
        <f>IFERROR(__xludf.DUMMYFUNCTION("vlookup(C73,importrange(""1kw74ismGU34AsZ5x-W4x7F3Zt2xc8NSYcCVMrCJBmdQ"",""DRP for 8 products!B:C""),2,0)"),"DATMHLHH9")</f>
        <v>DATMHLHH9</v>
      </c>
      <c r="I73" s="7">
        <f>IFERROR(__xludf.DUMMYFUNCTION("vlookup(C73,importrange(""1kw74ismGU34AsZ5x-W4x7F3Zt2xc8NSYcCVMrCJBmdQ"",""DRP for 8 products!B:E""),4,0)"),54.0)</f>
        <v>54</v>
      </c>
      <c r="J73" s="8" t="str">
        <f t="shared" si="1"/>
        <v>Tier 1</v>
      </c>
      <c r="K73" s="9" t="str">
        <f t="shared" si="2"/>
        <v>Active</v>
      </c>
      <c r="L73" s="4" t="str">
        <f>IFERROR(__xludf.DUMMYFUNCTION("vlookup(C73,importrange(""1kw74ismGU34AsZ5x-W4x7F3Zt2xc8NSYcCVMrCJBmdQ"",""DRP for 8 products!B:H""),6,0)"),"BigQuery")</f>
        <v>BigQuery</v>
      </c>
      <c r="M73" s="10" t="str">
        <f t="shared" si="3"/>
        <v>Yes</v>
      </c>
    </row>
    <row r="74">
      <c r="A74" s="4" t="str">
        <f>IFERROR(__xludf.DUMMYFUNCTION("vlookup(C74,IMPORTRANGE(""1Kgoo8qyo6zMtf_5B03ksZz228jg0XpZ4_KXsdHQ4Vks"",""14 Sept!A:B""),2,0)"),"DME1981")</f>
        <v>DME1981</v>
      </c>
      <c r="B74" s="5" t="str">
        <f>IFERROR(__xludf.DUMMYFUNCTION("""COMPUTED_VALUE"""),"Abhishek Sathe")</f>
        <v>Abhishek Sathe</v>
      </c>
      <c r="C74" s="5" t="str">
        <f>IFERROR(__xludf.DUMMYFUNCTION("""COMPUTED_VALUE"""),"abhishek.sathe@onixnet.com")</f>
        <v>abhishek.sathe@onixnet.com</v>
      </c>
      <c r="D74" s="4" t="s">
        <v>11</v>
      </c>
      <c r="E74" s="6" t="str">
        <f>IFERROR(__xludf.DUMMYFUNCTION("vlookup($A74,importrange(""1fyGnaViAX9kns28pvsfPvI9925sAI7kxPlM7jpuHVJM"",""Validation!A:Z""),11,0)"),"Product Engineering")</f>
        <v>Product Engineering</v>
      </c>
      <c r="F74" s="6" t="str">
        <f>IFERROR(__xludf.DUMMYFUNCTION("vlookup($A74,importrange(""1fyGnaViAX9kns28pvsfPvI9925sAI7kxPlM7jpuHVJM"",""Validation!A:Z""),23,0)"),"Laxmikant Chavan")</f>
        <v>Laxmikant Chavan</v>
      </c>
      <c r="G74" s="6" t="str">
        <f>IFERROR(__xludf.DUMMYFUNCTION("vlookup(A74,importrange(""1fyGnaViAX9kns28pvsfPvI9925sAI7kxPlM7jpuHVJM"",""Validation!A:Z""),22,0)"),"Cluster - Mayur")</f>
        <v>Cluster - Mayur</v>
      </c>
      <c r="H74" s="4" t="str">
        <f>IFERROR(__xludf.DUMMYFUNCTION("vlookup(C74,importrange(""1kw74ismGU34AsZ5x-W4x7F3Zt2xc8NSYcCVMrCJBmdQ"",""DRP for 8 products!B:C""),2,0)"),"DATASZAT6")</f>
        <v>DATASZAT6</v>
      </c>
      <c r="I74" s="7">
        <f>IFERROR(__xludf.DUMMYFUNCTION("vlookup(C74,importrange(""1kw74ismGU34AsZ5x-W4x7F3Zt2xc8NSYcCVMrCJBmdQ"",""DRP for 8 products!B:E""),4,0)"),11.0)</f>
        <v>11</v>
      </c>
      <c r="J74" s="8" t="str">
        <f t="shared" si="1"/>
        <v>Tier 4</v>
      </c>
      <c r="K74" s="9" t="str">
        <f t="shared" si="2"/>
        <v>Active</v>
      </c>
      <c r="L74" s="4" t="str">
        <f>IFERROR(__xludf.DUMMYFUNCTION("vlookup(C74,importrange(""1kw74ismGU34AsZ5x-W4x7F3Zt2xc8NSYcCVMrCJBmdQ"",""DRP for 8 products!B:H""),6,0)"),"BigQuery")</f>
        <v>BigQuery</v>
      </c>
      <c r="M74" s="10" t="str">
        <f t="shared" si="3"/>
        <v>Yes</v>
      </c>
    </row>
    <row r="75">
      <c r="A75" s="4" t="str">
        <f>IFERROR(__xludf.DUMMYFUNCTION("vlookup(C75,IMPORTRANGE(""1Kgoo8qyo6zMtf_5B03ksZz228jg0XpZ4_KXsdHQ4Vks"",""14 Sept!A:B""),2,0)"),"DME1606")</f>
        <v>DME1606</v>
      </c>
      <c r="B75" s="5" t="str">
        <f>IFERROR(__xludf.DUMMYFUNCTION("""COMPUTED_VALUE"""),"Rani Bagade")</f>
        <v>Rani Bagade</v>
      </c>
      <c r="C75" s="5" t="str">
        <f>IFERROR(__xludf.DUMMYFUNCTION("""COMPUTED_VALUE"""),"rani.bagade@onixnet.com")</f>
        <v>rani.bagade@onixnet.com</v>
      </c>
      <c r="D75" s="4" t="s">
        <v>11</v>
      </c>
      <c r="E75" s="6" t="str">
        <f>IFERROR(__xludf.DUMMYFUNCTION("vlookup($A75,importrange(""1fyGnaViAX9kns28pvsfPvI9925sAI7kxPlM7jpuHVJM"",""Validation!A:Z""),11,0)"),"Delivery Services")</f>
        <v>Delivery Services</v>
      </c>
      <c r="F75" s="6" t="str">
        <f>IFERROR(__xludf.DUMMYFUNCTION("vlookup($A75,importrange(""1fyGnaViAX9kns28pvsfPvI9925sAI7kxPlM7jpuHVJM"",""Validation!A:Z""),23,0)"),"Priyanka Jain")</f>
        <v>Priyanka Jain</v>
      </c>
      <c r="G75" s="6" t="str">
        <f>IFERROR(__xludf.DUMMYFUNCTION("vlookup(A75,importrange(""1fyGnaViAX9kns28pvsfPvI9925sAI7kxPlM7jpuHVJM"",""Validation!A:Z""),22,0)"),"Cluster - Sagar")</f>
        <v>Cluster - Sagar</v>
      </c>
      <c r="H75" s="4" t="str">
        <f>IFERROR(__xludf.DUMMYFUNCTION("vlookup(C75,importrange(""1kw74ismGU34AsZ5x-W4x7F3Zt2xc8NSYcCVMrCJBmdQ"",""DRP for 8 products!B:C""),2,0)"),"DATRBAFS9")</f>
        <v>DATRBAFS9</v>
      </c>
      <c r="I75" s="7">
        <f>IFERROR(__xludf.DUMMYFUNCTION("vlookup(C75,importrange(""1kw74ismGU34AsZ5x-W4x7F3Zt2xc8NSYcCVMrCJBmdQ"",""DRP for 8 products!B:E""),4,0)"),69.0)</f>
        <v>69</v>
      </c>
      <c r="J75" s="8" t="str">
        <f t="shared" si="1"/>
        <v>Tier 1</v>
      </c>
      <c r="K75" s="9" t="str">
        <f t="shared" si="2"/>
        <v>Active</v>
      </c>
      <c r="L75" s="4" t="str">
        <f>IFERROR(__xludf.DUMMYFUNCTION("vlookup(C75,importrange(""1kw74ismGU34AsZ5x-W4x7F3Zt2xc8NSYcCVMrCJBmdQ"",""DRP for 8 products!B:H""),6,0)"),"BigQuery")</f>
        <v>BigQuery</v>
      </c>
      <c r="M75" s="10" t="str">
        <f t="shared" si="3"/>
        <v>Yes</v>
      </c>
    </row>
    <row r="76">
      <c r="A76" s="4" t="str">
        <f>IFERROR(__xludf.DUMMYFUNCTION("vlookup(C76,IMPORTRANGE(""1Kgoo8qyo6zMtf_5B03ksZz228jg0XpZ4_KXsdHQ4Vks"",""14 Sept!A:B""),2,0)"),"DME1974")</f>
        <v>DME1974</v>
      </c>
      <c r="B76" s="5" t="str">
        <f>IFERROR(__xludf.DUMMYFUNCTION("""COMPUTED_VALUE"""),"Abhishek Singh")</f>
        <v>Abhishek Singh</v>
      </c>
      <c r="C76" s="5" t="str">
        <f>IFERROR(__xludf.DUMMYFUNCTION("""COMPUTED_VALUE"""),"abhishek.singh@onixnet.com")</f>
        <v>abhishek.singh@onixnet.com</v>
      </c>
      <c r="D76" s="4" t="s">
        <v>11</v>
      </c>
      <c r="E76" s="6" t="str">
        <f>IFERROR(__xludf.DUMMYFUNCTION("vlookup($A76,importrange(""1fyGnaViAX9kns28pvsfPvI9925sAI7kxPlM7jpuHVJM"",""Validation!A:Z""),11,0)"),"Eagle Assessment")</f>
        <v>Eagle Assessment</v>
      </c>
      <c r="F76" s="6" t="str">
        <f>IFERROR(__xludf.DUMMYFUNCTION("vlookup($A76,importrange(""1fyGnaViAX9kns28pvsfPvI9925sAI7kxPlM7jpuHVJM"",""Validation!A:Z""),23,0)"),"Ashish Taman")</f>
        <v>Ashish Taman</v>
      </c>
      <c r="G76" s="6" t="str">
        <f>IFERROR(__xludf.DUMMYFUNCTION("vlookup(A76,importrange(""1fyGnaViAX9kns28pvsfPvI9925sAI7kxPlM7jpuHVJM"",""Validation!A:Z""),22,0)"),"Cluster - Kalpa")</f>
        <v>Cluster - Kalpa</v>
      </c>
      <c r="H76" s="4" t="str">
        <f>IFERROR(__xludf.DUMMYFUNCTION("vlookup(C76,importrange(""1kw74ismGU34AsZ5x-W4x7F3Zt2xc8NSYcCVMrCJBmdQ"",""DRP for 8 products!B:C""),2,0)"),"DATASRPR3")</f>
        <v>DATASRPR3</v>
      </c>
      <c r="I76" s="7">
        <f>IFERROR(__xludf.DUMMYFUNCTION("vlookup(C76,importrange(""1kw74ismGU34AsZ5x-W4x7F3Zt2xc8NSYcCVMrCJBmdQ"",""DRP for 8 products!B:E""),4,0)"),9.0)</f>
        <v>9</v>
      </c>
      <c r="J76" s="8" t="str">
        <f t="shared" si="1"/>
        <v>Tier 4</v>
      </c>
      <c r="K76" s="9" t="str">
        <f t="shared" si="2"/>
        <v>Active</v>
      </c>
      <c r="L76" s="4" t="str">
        <f>IFERROR(__xludf.DUMMYFUNCTION("vlookup(C76,importrange(""1kw74ismGU34AsZ5x-W4x7F3Zt2xc8NSYcCVMrCJBmdQ"",""DRP for 8 products!B:H""),6,0)"),"BigQuery")</f>
        <v>BigQuery</v>
      </c>
      <c r="M76" s="10" t="str">
        <f t="shared" si="3"/>
        <v>Yes</v>
      </c>
    </row>
    <row r="77">
      <c r="A77" s="4" t="str">
        <f>IFERROR(__xludf.DUMMYFUNCTION("vlookup(C77,IMPORTRANGE(""1Kgoo8qyo6zMtf_5B03ksZz228jg0XpZ4_KXsdHQ4Vks"",""14 Sept!A:B""),2,0)"),"DME3042")</f>
        <v>DME3042</v>
      </c>
      <c r="B77" s="5" t="str">
        <f>IFERROR(__xludf.DUMMYFUNCTION("""COMPUTED_VALUE"""),"Viren Shaha")</f>
        <v>Viren Shaha</v>
      </c>
      <c r="C77" s="5" t="str">
        <f>IFERROR(__xludf.DUMMYFUNCTION("""COMPUTED_VALUE"""),"viren.shaha@onixnet.com")</f>
        <v>viren.shaha@onixnet.com</v>
      </c>
      <c r="D77" s="4" t="s">
        <v>11</v>
      </c>
      <c r="E77" s="6" t="str">
        <f>IFERROR(__xludf.DUMMYFUNCTION("vlookup($A77,importrange(""1fyGnaViAX9kns28pvsfPvI9925sAI7kxPlM7jpuHVJM"",""Validation!A:Z""),11,0)"),"Delivery Services")</f>
        <v>Delivery Services</v>
      </c>
      <c r="F77" s="6" t="str">
        <f>IFERROR(__xludf.DUMMYFUNCTION("vlookup($A77,importrange(""1fyGnaViAX9kns28pvsfPvI9925sAI7kxPlM7jpuHVJM"",""Validation!A:Z""),23,0)"),"Vishal Khare")</f>
        <v>Vishal Khare</v>
      </c>
      <c r="G77" s="6" t="str">
        <f>IFERROR(__xludf.DUMMYFUNCTION("vlookup(A77,importrange(""1fyGnaViAX9kns28pvsfPvI9925sAI7kxPlM7jpuHVJM"",""Validation!A:Z""),22,0)"),"Cluster - Sagar")</f>
        <v>Cluster - Sagar</v>
      </c>
      <c r="H77" s="4" t="str">
        <f>IFERROR(__xludf.DUMMYFUNCTION("vlookup(C77,importrange(""1kw74ismGU34AsZ5x-W4x7F3Zt2xc8NSYcCVMrCJBmdQ"",""DRP for 8 products!B:C""),2,0)"),"DATVSKJP2")</f>
        <v>DATVSKJP2</v>
      </c>
      <c r="I77" s="7">
        <f>IFERROR(__xludf.DUMMYFUNCTION("vlookup(C77,importrange(""1kw74ismGU34AsZ5x-W4x7F3Zt2xc8NSYcCVMrCJBmdQ"",""DRP for 8 products!B:E""),4,0)"),29.0)</f>
        <v>29</v>
      </c>
      <c r="J77" s="8" t="str">
        <f t="shared" si="1"/>
        <v>Tier 3</v>
      </c>
      <c r="K77" s="9" t="str">
        <f t="shared" si="2"/>
        <v>Active</v>
      </c>
      <c r="L77" s="4" t="str">
        <f>IFERROR(__xludf.DUMMYFUNCTION("vlookup(C77,importrange(""1kw74ismGU34AsZ5x-W4x7F3Zt2xc8NSYcCVMrCJBmdQ"",""DRP for 8 products!B:H""),6,0)"),"BigQuery")</f>
        <v>BigQuery</v>
      </c>
      <c r="M77" s="10" t="str">
        <f t="shared" si="3"/>
        <v>Yes</v>
      </c>
    </row>
    <row r="78">
      <c r="A78" s="4" t="str">
        <f>IFERROR(__xludf.DUMMYFUNCTION("vlookup(C78,IMPORTRANGE(""1Kgoo8qyo6zMtf_5B03ksZz228jg0XpZ4_KXsdHQ4Vks"",""14 Sept!A:B""),2,0)"),"DME1281")</f>
        <v>DME1281</v>
      </c>
      <c r="B78" s="5" t="str">
        <f>IFERROR(__xludf.DUMMYFUNCTION("""COMPUTED_VALUE"""),"Vipin Rathod")</f>
        <v>Vipin Rathod</v>
      </c>
      <c r="C78" s="5" t="str">
        <f>IFERROR(__xludf.DUMMYFUNCTION("""COMPUTED_VALUE"""),"vipin.rathod@onixnet.com")</f>
        <v>vipin.rathod@onixnet.com</v>
      </c>
      <c r="D78" s="4" t="s">
        <v>11</v>
      </c>
      <c r="E78" s="6" t="str">
        <f>IFERROR(__xludf.DUMMYFUNCTION("vlookup($A78,importrange(""1fyGnaViAX9kns28pvsfPvI9925sAI7kxPlM7jpuHVJM"",""Validation!A:Z""),11,0)"),"Eagle Assessment")</f>
        <v>Eagle Assessment</v>
      </c>
      <c r="F78" s="6" t="str">
        <f>IFERROR(__xludf.DUMMYFUNCTION("vlookup($A78,importrange(""1fyGnaViAX9kns28pvsfPvI9925sAI7kxPlM7jpuHVJM"",""Validation!A:Z""),23,0)"),"Chahat Patni")</f>
        <v>Chahat Patni</v>
      </c>
      <c r="G78" s="6" t="str">
        <f>IFERROR(__xludf.DUMMYFUNCTION("vlookup(A78,importrange(""1fyGnaViAX9kns28pvsfPvI9925sAI7kxPlM7jpuHVJM"",""Validation!A:Z""),22,0)"),"Cluster - Kalpa")</f>
        <v>Cluster - Kalpa</v>
      </c>
      <c r="H78" s="4" t="str">
        <f>IFERROR(__xludf.DUMMYFUNCTION("vlookup(C78,importrange(""1kw74ismGU34AsZ5x-W4x7F3Zt2xc8NSYcCVMrCJBmdQ"",""DRP for 8 products!B:C""),2,0)"),"DATVRYHQ7")</f>
        <v>DATVRYHQ7</v>
      </c>
      <c r="I78" s="7">
        <f>IFERROR(__xludf.DUMMYFUNCTION("vlookup(C78,importrange(""1kw74ismGU34AsZ5x-W4x7F3Zt2xc8NSYcCVMrCJBmdQ"",""DRP for 8 products!B:E""),4,0)"),17.0)</f>
        <v>17</v>
      </c>
      <c r="J78" s="8" t="str">
        <f t="shared" si="1"/>
        <v>Tier 4</v>
      </c>
      <c r="K78" s="9" t="str">
        <f t="shared" si="2"/>
        <v>Active</v>
      </c>
      <c r="L78" s="4" t="str">
        <f>IFERROR(__xludf.DUMMYFUNCTION("vlookup(C78,importrange(""1kw74ismGU34AsZ5x-W4x7F3Zt2xc8NSYcCVMrCJBmdQ"",""DRP for 8 products!B:H""),6,0)"),"BigQuery")</f>
        <v>BigQuery</v>
      </c>
      <c r="M78" s="10" t="str">
        <f t="shared" si="3"/>
        <v>Yes</v>
      </c>
    </row>
    <row r="79">
      <c r="A79" s="4" t="str">
        <f>IFERROR(__xludf.DUMMYFUNCTION("vlookup(C79,IMPORTRANGE(""1Kgoo8qyo6zMtf_5B03ksZz228jg0XpZ4_KXsdHQ4Vks"",""14 Sept!A:B""),2,0)"),"DME2071")</f>
        <v>DME2071</v>
      </c>
      <c r="B79" s="5" t="str">
        <f>IFERROR(__xludf.DUMMYFUNCTION("""COMPUTED_VALUE"""),"Prathamesh Badgujar")</f>
        <v>Prathamesh Badgujar</v>
      </c>
      <c r="C79" s="5" t="str">
        <f>IFERROR(__xludf.DUMMYFUNCTION("""COMPUTED_VALUE"""),"prathamesh.b@onixnet.com")</f>
        <v>prathamesh.b@onixnet.com</v>
      </c>
      <c r="D79" s="4" t="s">
        <v>11</v>
      </c>
      <c r="E79" s="6" t="str">
        <f>IFERROR(__xludf.DUMMYFUNCTION("vlookup($A79,importrange(""1fyGnaViAX9kns28pvsfPvI9925sAI7kxPlM7jpuHVJM"",""Validation!A:Z""),11,0)"),"Product Engineering")</f>
        <v>Product Engineering</v>
      </c>
      <c r="F79" s="6" t="str">
        <f>IFERROR(__xludf.DUMMYFUNCTION("vlookup($A79,importrange(""1fyGnaViAX9kns28pvsfPvI9925sAI7kxPlM7jpuHVJM"",""Validation!A:Z""),23,0)"),"Samarth Chowksay")</f>
        <v>Samarth Chowksay</v>
      </c>
      <c r="G79" s="6" t="str">
        <f>IFERROR(__xludf.DUMMYFUNCTION("vlookup(A79,importrange(""1fyGnaViAX9kns28pvsfPvI9925sAI7kxPlM7jpuHVJM"",""Validation!A:Z""),22,0)"),"Cluster - Mayur")</f>
        <v>Cluster - Mayur</v>
      </c>
      <c r="H79" s="4" t="str">
        <f>IFERROR(__xludf.DUMMYFUNCTION("vlookup(C79,importrange(""1kw74ismGU34AsZ5x-W4x7F3Zt2xc8NSYcCVMrCJBmdQ"",""DRP for 8 products!B:C""),2,0)"),"DATPBPJY1")</f>
        <v>DATPBPJY1</v>
      </c>
      <c r="I79" s="7">
        <f>IFERROR(__xludf.DUMMYFUNCTION("vlookup(C79,importrange(""1kw74ismGU34AsZ5x-W4x7F3Zt2xc8NSYcCVMrCJBmdQ"",""DRP for 8 products!B:E""),4,0)"),11.0)</f>
        <v>11</v>
      </c>
      <c r="J79" s="8" t="str">
        <f t="shared" si="1"/>
        <v>Tier 4</v>
      </c>
      <c r="K79" s="9" t="str">
        <f t="shared" si="2"/>
        <v>Active</v>
      </c>
      <c r="L79" s="4" t="str">
        <f>IFERROR(__xludf.DUMMYFUNCTION("vlookup(C79,importrange(""1kw74ismGU34AsZ5x-W4x7F3Zt2xc8NSYcCVMrCJBmdQ"",""DRP for 8 products!B:H""),6,0)"),"BigQuery")</f>
        <v>BigQuery</v>
      </c>
      <c r="M79" s="10" t="str">
        <f t="shared" si="3"/>
        <v>Yes</v>
      </c>
    </row>
    <row r="80">
      <c r="A80" s="4" t="str">
        <f>IFERROR(__xludf.DUMMYFUNCTION("vlookup(C80,IMPORTRANGE(""1Kgoo8qyo6zMtf_5B03ksZz228jg0XpZ4_KXsdHQ4Vks"",""14 Sept!A:B""),2,0)"),"DME2010")</f>
        <v>DME2010</v>
      </c>
      <c r="B80" s="5" t="str">
        <f>IFERROR(__xludf.DUMMYFUNCTION("""COMPUTED_VALUE"""),"Manasi Kanade")</f>
        <v>Manasi Kanade</v>
      </c>
      <c r="C80" s="5" t="str">
        <f>IFERROR(__xludf.DUMMYFUNCTION("""COMPUTED_VALUE"""),"manasi.kanade@onixnet.com")</f>
        <v>manasi.kanade@onixnet.com</v>
      </c>
      <c r="D80" s="4" t="s">
        <v>11</v>
      </c>
      <c r="E80" s="6" t="str">
        <f>IFERROR(__xludf.DUMMYFUNCTION("vlookup($A80,importrange(""1fyGnaViAX9kns28pvsfPvI9925sAI7kxPlM7jpuHVJM"",""Validation!A:Z""),11,0)"),"Delivery Services")</f>
        <v>Delivery Services</v>
      </c>
      <c r="F80" s="6" t="str">
        <f>IFERROR(__xludf.DUMMYFUNCTION("vlookup($A80,importrange(""1fyGnaViAX9kns28pvsfPvI9925sAI7kxPlM7jpuHVJM"",""Validation!A:Z""),23,0)"),"Pooja Chawda")</f>
        <v>Pooja Chawda</v>
      </c>
      <c r="G80" s="6" t="str">
        <f>IFERROR(__xludf.DUMMYFUNCTION("vlookup(A80,importrange(""1fyGnaViAX9kns28pvsfPvI9925sAI7kxPlM7jpuHVJM"",""Validation!A:Z""),22,0)"),"Cluster - Sandeep")</f>
        <v>Cluster - Sandeep</v>
      </c>
      <c r="H80" s="4" t="str">
        <f>IFERROR(__xludf.DUMMYFUNCTION("vlookup(C80,importrange(""1kw74ismGU34AsZ5x-W4x7F3Zt2xc8NSYcCVMrCJBmdQ"",""DRP for 8 products!B:C""),2,0)"),"DATMKEBU9")</f>
        <v>DATMKEBU9</v>
      </c>
      <c r="I80" s="7">
        <f>IFERROR(__xludf.DUMMYFUNCTION("vlookup(C80,importrange(""1kw74ismGU34AsZ5x-W4x7F3Zt2xc8NSYcCVMrCJBmdQ"",""DRP for 8 products!B:E""),4,0)"),20.0)</f>
        <v>20</v>
      </c>
      <c r="J80" s="8" t="str">
        <f t="shared" si="1"/>
        <v>Tier 3</v>
      </c>
      <c r="K80" s="9" t="str">
        <f t="shared" si="2"/>
        <v>Active</v>
      </c>
      <c r="L80" s="4" t="str">
        <f>IFERROR(__xludf.DUMMYFUNCTION("vlookup(C80,importrange(""1kw74ismGU34AsZ5x-W4x7F3Zt2xc8NSYcCVMrCJBmdQ"",""DRP for 8 products!B:H""),6,0)"),"BigQuery")</f>
        <v>BigQuery</v>
      </c>
      <c r="M80" s="10" t="str">
        <f t="shared" si="3"/>
        <v>Yes</v>
      </c>
    </row>
    <row r="81">
      <c r="A81" s="4" t="str">
        <f>IFERROR(__xludf.DUMMYFUNCTION("vlookup(C81,IMPORTRANGE(""1Kgoo8qyo6zMtf_5B03ksZz228jg0XpZ4_KXsdHQ4Vks"",""14 Sept!A:B""),2,0)"),"DME1753")</f>
        <v>DME1753</v>
      </c>
      <c r="B81" s="5" t="str">
        <f>IFERROR(__xludf.DUMMYFUNCTION("""COMPUTED_VALUE"""),"Akshay Jagtap")</f>
        <v>Akshay Jagtap</v>
      </c>
      <c r="C81" s="5" t="str">
        <f>IFERROR(__xludf.DUMMYFUNCTION("""COMPUTED_VALUE"""),"akshay.jagtap@onixnet.com")</f>
        <v>akshay.jagtap@onixnet.com</v>
      </c>
      <c r="D81" s="4" t="s">
        <v>11</v>
      </c>
      <c r="E81" s="6" t="str">
        <f>IFERROR(__xludf.DUMMYFUNCTION("vlookup($A81,importrange(""1fyGnaViAX9kns28pvsfPvI9925sAI7kxPlM7jpuHVJM"",""Validation!A:Z""),11,0)"),"Delivery Services")</f>
        <v>Delivery Services</v>
      </c>
      <c r="F81" s="6" t="str">
        <f>IFERROR(__xludf.DUMMYFUNCTION("vlookup($A81,importrange(""1fyGnaViAX9kns28pvsfPvI9925sAI7kxPlM7jpuHVJM"",""Validation!A:Z""),23,0)"),"Pritesh Chaudhari")</f>
        <v>Pritesh Chaudhari</v>
      </c>
      <c r="G81" s="6" t="str">
        <f>IFERROR(__xludf.DUMMYFUNCTION("vlookup(A81,importrange(""1fyGnaViAX9kns28pvsfPvI9925sAI7kxPlM7jpuHVJM"",""Validation!A:Z""),22,0)"),"Cluster - Sagar")</f>
        <v>Cluster - Sagar</v>
      </c>
      <c r="H81" s="4" t="str">
        <f>IFERROR(__xludf.DUMMYFUNCTION("vlookup(C81,importrange(""1kw74ismGU34AsZ5x-W4x7F3Zt2xc8NSYcCVMrCJBmdQ"",""DRP for 8 products!B:C""),2,0)"),"DATAJAHW1")</f>
        <v>DATAJAHW1</v>
      </c>
      <c r="I81" s="7">
        <f>IFERROR(__xludf.DUMMYFUNCTION("vlookup(C81,importrange(""1kw74ismGU34AsZ5x-W4x7F3Zt2xc8NSYcCVMrCJBmdQ"",""DRP for 8 products!B:E""),4,0)"),24.0)</f>
        <v>24</v>
      </c>
      <c r="J81" s="8" t="str">
        <f t="shared" si="1"/>
        <v>Tier 3</v>
      </c>
      <c r="K81" s="9" t="str">
        <f t="shared" si="2"/>
        <v>Active</v>
      </c>
      <c r="L81" s="4" t="str">
        <f>IFERROR(__xludf.DUMMYFUNCTION("vlookup(C81,importrange(""1kw74ismGU34AsZ5x-W4x7F3Zt2xc8NSYcCVMrCJBmdQ"",""DRP for 8 products!B:H""),6,0)"),"BigQuery")</f>
        <v>BigQuery</v>
      </c>
      <c r="M81" s="10" t="str">
        <f t="shared" si="3"/>
        <v>Yes</v>
      </c>
    </row>
    <row r="82">
      <c r="A82" s="4" t="str">
        <f>IFERROR(__xludf.DUMMYFUNCTION("vlookup(C82,IMPORTRANGE(""1Kgoo8qyo6zMtf_5B03ksZz228jg0XpZ4_KXsdHQ4Vks"",""14 Sept!A:B""),2,0)"),"DME1899")</f>
        <v>DME1899</v>
      </c>
      <c r="B82" s="5" t="str">
        <f>IFERROR(__xludf.DUMMYFUNCTION("""COMPUTED_VALUE"""),"Vaishnavi Chavan")</f>
        <v>Vaishnavi Chavan</v>
      </c>
      <c r="C82" s="5" t="str">
        <f>IFERROR(__xludf.DUMMYFUNCTION("""COMPUTED_VALUE"""),"vaishnavi.chavan@onixnet.com")</f>
        <v>vaishnavi.chavan@onixnet.com</v>
      </c>
      <c r="D82" s="4" t="s">
        <v>11</v>
      </c>
      <c r="E82" s="6" t="str">
        <f>IFERROR(__xludf.DUMMYFUNCTION("vlookup($A82,importrange(""1fyGnaViAX9kns28pvsfPvI9925sAI7kxPlM7jpuHVJM"",""Validation!A:Z""),11,0)"),"Delivery Services")</f>
        <v>Delivery Services</v>
      </c>
      <c r="F82" s="6" t="str">
        <f>IFERROR(__xludf.DUMMYFUNCTION("vlookup($A82,importrange(""1fyGnaViAX9kns28pvsfPvI9925sAI7kxPlM7jpuHVJM"",""Validation!A:Z""),23,0)"),"Sneha Bhatambrekar")</f>
        <v>Sneha Bhatambrekar</v>
      </c>
      <c r="G82" s="6" t="str">
        <f>IFERROR(__xludf.DUMMYFUNCTION("vlookup(A82,importrange(""1fyGnaViAX9kns28pvsfPvI9925sAI7kxPlM7jpuHVJM"",""Validation!A:Z""),22,0)"),"Cluster - Sandeep")</f>
        <v>Cluster - Sandeep</v>
      </c>
      <c r="H82" s="4" t="str">
        <f>IFERROR(__xludf.DUMMYFUNCTION("vlookup(C82,importrange(""1kw74ismGU34AsZ5x-W4x7F3Zt2xc8NSYcCVMrCJBmdQ"",""DRP for 8 products!B:C""),2,0)"),"DATVCCZD7")</f>
        <v>DATVCCZD7</v>
      </c>
      <c r="I82" s="7">
        <f>IFERROR(__xludf.DUMMYFUNCTION("vlookup(C82,importrange(""1kw74ismGU34AsZ5x-W4x7F3Zt2xc8NSYcCVMrCJBmdQ"",""DRP for 8 products!B:E""),4,0)"),18.0)</f>
        <v>18</v>
      </c>
      <c r="J82" s="8" t="str">
        <f t="shared" si="1"/>
        <v>Tier 4</v>
      </c>
      <c r="K82" s="9" t="str">
        <f t="shared" si="2"/>
        <v>Active</v>
      </c>
      <c r="L82" s="4" t="str">
        <f>IFERROR(__xludf.DUMMYFUNCTION("vlookup(C82,importrange(""1kw74ismGU34AsZ5x-W4x7F3Zt2xc8NSYcCVMrCJBmdQ"",""DRP for 8 products!B:H""),6,0)"),"BigQuery")</f>
        <v>BigQuery</v>
      </c>
      <c r="M82" s="10" t="str">
        <f t="shared" si="3"/>
        <v>Yes</v>
      </c>
    </row>
    <row r="83">
      <c r="A83" s="4" t="str">
        <f>IFERROR(__xludf.DUMMYFUNCTION("vlookup(C83,IMPORTRANGE(""1Kgoo8qyo6zMtf_5B03ksZz228jg0XpZ4_KXsdHQ4Vks"",""14 Sept!A:B""),2,0)"),"DME1561")</f>
        <v>DME1561</v>
      </c>
      <c r="B83" s="5" t="str">
        <f>IFERROR(__xludf.DUMMYFUNCTION("""COMPUTED_VALUE"""),"Akash Dhanave")</f>
        <v>Akash Dhanave</v>
      </c>
      <c r="C83" s="5" t="str">
        <f>IFERROR(__xludf.DUMMYFUNCTION("""COMPUTED_VALUE"""),"akash.dhanave@onixnet.com")</f>
        <v>akash.dhanave@onixnet.com</v>
      </c>
      <c r="D83" s="4" t="s">
        <v>11</v>
      </c>
      <c r="E83" s="6" t="str">
        <f>IFERROR(__xludf.DUMMYFUNCTION("vlookup($A83,importrange(""1fyGnaViAX9kns28pvsfPvI9925sAI7kxPlM7jpuHVJM"",""Validation!A:Z""),11,0)"),"Delivery Services")</f>
        <v>Delivery Services</v>
      </c>
      <c r="F83" s="6" t="str">
        <f>IFERROR(__xludf.DUMMYFUNCTION("vlookup($A83,importrange(""1fyGnaViAX9kns28pvsfPvI9925sAI7kxPlM7jpuHVJM"",""Validation!A:Z""),23,0)"),"Priyanka Parab")</f>
        <v>Priyanka Parab</v>
      </c>
      <c r="G83" s="6" t="str">
        <f>IFERROR(__xludf.DUMMYFUNCTION("vlookup(A83,importrange(""1fyGnaViAX9kns28pvsfPvI9925sAI7kxPlM7jpuHVJM"",""Validation!A:Z""),22,0)"),"Cluster - Sagar")</f>
        <v>Cluster - Sagar</v>
      </c>
      <c r="H83" s="4" t="str">
        <f>IFERROR(__xludf.DUMMYFUNCTION("vlookup(C83,importrange(""1kw74ismGU34AsZ5x-W4x7F3Zt2xc8NSYcCVMrCJBmdQ"",""DRP for 8 products!B:C""),2,0)"),"DATADNBL0")</f>
        <v>DATADNBL0</v>
      </c>
      <c r="I83" s="7">
        <f>IFERROR(__xludf.DUMMYFUNCTION("vlookup(C83,importrange(""1kw74ismGU34AsZ5x-W4x7F3Zt2xc8NSYcCVMrCJBmdQ"",""DRP for 8 products!B:E""),4,0)"),12.0)</f>
        <v>12</v>
      </c>
      <c r="J83" s="8" t="str">
        <f t="shared" si="1"/>
        <v>Tier 4</v>
      </c>
      <c r="K83" s="9" t="str">
        <f t="shared" si="2"/>
        <v>Active</v>
      </c>
      <c r="L83" s="4" t="str">
        <f>IFERROR(__xludf.DUMMYFUNCTION("vlookup(C83,importrange(""1kw74ismGU34AsZ5x-W4x7F3Zt2xc8NSYcCVMrCJBmdQ"",""DRP for 8 products!B:H""),6,0)"),"BigQuery")</f>
        <v>BigQuery</v>
      </c>
      <c r="M83" s="10" t="str">
        <f t="shared" si="3"/>
        <v>Yes</v>
      </c>
    </row>
    <row r="84">
      <c r="A84" s="4" t="str">
        <f>IFERROR(__xludf.DUMMYFUNCTION("vlookup(C84,IMPORTRANGE(""1Kgoo8qyo6zMtf_5B03ksZz228jg0XpZ4_KXsdHQ4Vks"",""14 Sept!A:B""),2,0)"),"DME2021")</f>
        <v>DME2021</v>
      </c>
      <c r="B84" s="5" t="str">
        <f>IFERROR(__xludf.DUMMYFUNCTION("""COMPUTED_VALUE"""),"Sourav Yogi")</f>
        <v>Sourav Yogi</v>
      </c>
      <c r="C84" s="5" t="str">
        <f>IFERROR(__xludf.DUMMYFUNCTION("""COMPUTED_VALUE"""),"sourav.yogi@onixnet.com")</f>
        <v>sourav.yogi@onixnet.com</v>
      </c>
      <c r="D84" s="4" t="s">
        <v>11</v>
      </c>
      <c r="E84" s="6" t="str">
        <f>IFERROR(__xludf.DUMMYFUNCTION("vlookup($A84,importrange(""1fyGnaViAX9kns28pvsfPvI9925sAI7kxPlM7jpuHVJM"",""Validation!A:Z""),11,0)"),"Solutions and Pre-Sales")</f>
        <v>Solutions and Pre-Sales</v>
      </c>
      <c r="F84" s="6" t="str">
        <f>IFERROR(__xludf.DUMMYFUNCTION("vlookup($A84,importrange(""1fyGnaViAX9kns28pvsfPvI9925sAI7kxPlM7jpuHVJM"",""Validation!A:Z""),23,0)"),"Priyanka Buwe")</f>
        <v>Priyanka Buwe</v>
      </c>
      <c r="G84" s="6" t="str">
        <f>IFERROR(__xludf.DUMMYFUNCTION("vlookup(A84,importrange(""1fyGnaViAX9kns28pvsfPvI9925sAI7kxPlM7jpuHVJM"",""Validation!A:Z""),22,0)"),"Portfolio - Gaurav A (Presales)")</f>
        <v>Portfolio - Gaurav A (Presales)</v>
      </c>
      <c r="H84" s="4" t="str">
        <f>IFERROR(__xludf.DUMMYFUNCTION("vlookup(C84,importrange(""1kw74ismGU34AsZ5x-W4x7F3Zt2xc8NSYcCVMrCJBmdQ"",""DRP for 8 products!B:C""),2,0)"),"DATSYPGP6")</f>
        <v>DATSYPGP6</v>
      </c>
      <c r="I84" s="7">
        <f>IFERROR(__xludf.DUMMYFUNCTION("vlookup(C84,importrange(""1kw74ismGU34AsZ5x-W4x7F3Zt2xc8NSYcCVMrCJBmdQ"",""DRP for 8 products!B:E""),4,0)"),16.0)</f>
        <v>16</v>
      </c>
      <c r="J84" s="8" t="str">
        <f t="shared" si="1"/>
        <v>Tier 4</v>
      </c>
      <c r="K84" s="9" t="str">
        <f t="shared" si="2"/>
        <v>Active</v>
      </c>
      <c r="L84" s="4" t="str">
        <f>IFERROR(__xludf.DUMMYFUNCTION("vlookup(C84,importrange(""1kw74ismGU34AsZ5x-W4x7F3Zt2xc8NSYcCVMrCJBmdQ"",""DRP for 8 products!B:H""),6,0)"),"BigQuery")</f>
        <v>BigQuery</v>
      </c>
      <c r="M84" s="10" t="str">
        <f t="shared" si="3"/>
        <v>Yes</v>
      </c>
    </row>
    <row r="85">
      <c r="A85" s="4" t="str">
        <f>IFERROR(__xludf.DUMMYFUNCTION("vlookup(C85,IMPORTRANGE(""1Kgoo8qyo6zMtf_5B03ksZz228jg0XpZ4_KXsdHQ4Vks"",""14 Sept!A:B""),2,0)"),"DME1736")</f>
        <v>DME1736</v>
      </c>
      <c r="B85" s="5" t="str">
        <f>IFERROR(__xludf.DUMMYFUNCTION("""COMPUTED_VALUE"""),"Prajakta Khodade")</f>
        <v>Prajakta Khodade</v>
      </c>
      <c r="C85" s="5" t="str">
        <f>IFERROR(__xludf.DUMMYFUNCTION("""COMPUTED_VALUE"""),"prajakta.khodade@onixnet.com")</f>
        <v>prajakta.khodade@onixnet.com</v>
      </c>
      <c r="D85" s="4" t="s">
        <v>11</v>
      </c>
      <c r="E85" s="6" t="str">
        <f>IFERROR(__xludf.DUMMYFUNCTION("vlookup($A85,importrange(""1fyGnaViAX9kns28pvsfPvI9925sAI7kxPlM7jpuHVJM"",""Validation!A:Z""),11,0)"),"Delivery Services")</f>
        <v>Delivery Services</v>
      </c>
      <c r="F85" s="6" t="str">
        <f>IFERROR(__xludf.DUMMYFUNCTION("vlookup($A85,importrange(""1fyGnaViAX9kns28pvsfPvI9925sAI7kxPlM7jpuHVJM"",""Validation!A:Z""),23,0)"),"Rabindra Nayak")</f>
        <v>Rabindra Nayak</v>
      </c>
      <c r="G85" s="6" t="str">
        <f>IFERROR(__xludf.DUMMYFUNCTION("vlookup(A85,importrange(""1fyGnaViAX9kns28pvsfPvI9925sAI7kxPlM7jpuHVJM"",""Validation!A:Z""),22,0)"),"Cluster - Sagar")</f>
        <v>Cluster - Sagar</v>
      </c>
      <c r="H85" s="4" t="str">
        <f>IFERROR(__xludf.DUMMYFUNCTION("vlookup(C85,importrange(""1kw74ismGU34AsZ5x-W4x7F3Zt2xc8NSYcCVMrCJBmdQ"",""DRP for 8 products!B:C""),2,0)"),"DATPKATU5")</f>
        <v>DATPKATU5</v>
      </c>
      <c r="I85" s="7">
        <f>IFERROR(__xludf.DUMMYFUNCTION("vlookup(C85,importrange(""1kw74ismGU34AsZ5x-W4x7F3Zt2xc8NSYcCVMrCJBmdQ"",""DRP for 8 products!B:E""),4,0)"),14.0)</f>
        <v>14</v>
      </c>
      <c r="J85" s="8" t="str">
        <f t="shared" si="1"/>
        <v>Tier 4</v>
      </c>
      <c r="K85" s="9" t="str">
        <f t="shared" si="2"/>
        <v>Active</v>
      </c>
      <c r="L85" s="4" t="str">
        <f>IFERROR(__xludf.DUMMYFUNCTION("vlookup(C85,importrange(""1kw74ismGU34AsZ5x-W4x7F3Zt2xc8NSYcCVMrCJBmdQ"",""DRP for 8 products!B:H""),6,0)"),"BigQuery")</f>
        <v>BigQuery</v>
      </c>
      <c r="M85" s="10" t="str">
        <f t="shared" si="3"/>
        <v>Yes</v>
      </c>
    </row>
    <row r="86">
      <c r="A86" s="4" t="str">
        <f>IFERROR(__xludf.DUMMYFUNCTION("vlookup(C86,IMPORTRANGE(""1Kgoo8qyo6zMtf_5B03ksZz228jg0XpZ4_KXsdHQ4Vks"",""14 Sept!A:B""),2,0)"),"DME1999")</f>
        <v>DME1999</v>
      </c>
      <c r="B86" s="5" t="str">
        <f>IFERROR(__xludf.DUMMYFUNCTION("""COMPUTED_VALUE"""),"Ameya Patil")</f>
        <v>Ameya Patil</v>
      </c>
      <c r="C86" s="5" t="str">
        <f>IFERROR(__xludf.DUMMYFUNCTION("""COMPUTED_VALUE"""),"ameya.patil@onixnet.com")</f>
        <v>ameya.patil@onixnet.com</v>
      </c>
      <c r="D86" s="4" t="s">
        <v>11</v>
      </c>
      <c r="E86" s="6" t="str">
        <f>IFERROR(__xludf.DUMMYFUNCTION("vlookup($A86,importrange(""1fyGnaViAX9kns28pvsfPvI9925sAI7kxPlM7jpuHVJM"",""Validation!A:Z""),11,0)"),"Delivery Services")</f>
        <v>Delivery Services</v>
      </c>
      <c r="F86" s="6" t="str">
        <f>IFERROR(__xludf.DUMMYFUNCTION("vlookup($A86,importrange(""1fyGnaViAX9kns28pvsfPvI9925sAI7kxPlM7jpuHVJM"",""Validation!A:Z""),23,0)"),"Ravindra Pujari")</f>
        <v>Ravindra Pujari</v>
      </c>
      <c r="G86" s="6" t="str">
        <f>IFERROR(__xludf.DUMMYFUNCTION("vlookup(A86,importrange(""1fyGnaViAX9kns28pvsfPvI9925sAI7kxPlM7jpuHVJM"",""Validation!A:Z""),22,0)"),"Cluster - Sachin")</f>
        <v>Cluster - Sachin</v>
      </c>
      <c r="H86" s="4" t="str">
        <f>IFERROR(__xludf.DUMMYFUNCTION("vlookup(C86,importrange(""1kw74ismGU34AsZ5x-W4x7F3Zt2xc8NSYcCVMrCJBmdQ"",""DRP for 8 products!B:C""),2,0)"),"DATAPOCV9")</f>
        <v>DATAPOCV9</v>
      </c>
      <c r="I86" s="7">
        <f>IFERROR(__xludf.DUMMYFUNCTION("vlookup(C86,importrange(""1kw74ismGU34AsZ5x-W4x7F3Zt2xc8NSYcCVMrCJBmdQ"",""DRP for 8 products!B:E""),4,0)"),23.0)</f>
        <v>23</v>
      </c>
      <c r="J86" s="8" t="str">
        <f t="shared" si="1"/>
        <v>Tier 3</v>
      </c>
      <c r="K86" s="9" t="str">
        <f t="shared" si="2"/>
        <v>Active</v>
      </c>
      <c r="L86" s="4" t="str">
        <f>IFERROR(__xludf.DUMMYFUNCTION("vlookup(C86,importrange(""1kw74ismGU34AsZ5x-W4x7F3Zt2xc8NSYcCVMrCJBmdQ"",""DRP for 8 products!B:H""),6,0)"),"BigQuery")</f>
        <v>BigQuery</v>
      </c>
      <c r="M86" s="10" t="str">
        <f t="shared" si="3"/>
        <v>Yes</v>
      </c>
    </row>
    <row r="87">
      <c r="A87" s="4" t="str">
        <f>IFERROR(__xludf.DUMMYFUNCTION("vlookup(C87,IMPORTRANGE(""1Kgoo8qyo6zMtf_5B03ksZz228jg0XpZ4_KXsdHQ4Vks"",""14 Sept!A:B""),2,0)"),"DME1394")</f>
        <v>DME1394</v>
      </c>
      <c r="B87" s="5" t="str">
        <f>IFERROR(__xludf.DUMMYFUNCTION("""COMPUTED_VALUE"""),"Shriram Pawar")</f>
        <v>Shriram Pawar</v>
      </c>
      <c r="C87" s="5" t="str">
        <f>IFERROR(__xludf.DUMMYFUNCTION("""COMPUTED_VALUE"""),"shriram.pawar@onixnet.com")</f>
        <v>shriram.pawar@onixnet.com</v>
      </c>
      <c r="D87" s="4" t="s">
        <v>11</v>
      </c>
      <c r="E87" s="6" t="str">
        <f>IFERROR(__xludf.DUMMYFUNCTION("vlookup($A87,importrange(""1fyGnaViAX9kns28pvsfPvI9925sAI7kxPlM7jpuHVJM"",""Validation!A:Z""),11,0)"),"Delivery Services")</f>
        <v>Delivery Services</v>
      </c>
      <c r="F87" s="6" t="str">
        <f>IFERROR(__xludf.DUMMYFUNCTION("vlookup($A87,importrange(""1fyGnaViAX9kns28pvsfPvI9925sAI7kxPlM7jpuHVJM"",""Validation!A:Z""),23,0)"),"Sneha Bhatambrekar")</f>
        <v>Sneha Bhatambrekar</v>
      </c>
      <c r="G87" s="6" t="str">
        <f>IFERROR(__xludf.DUMMYFUNCTION("vlookup(A87,importrange(""1fyGnaViAX9kns28pvsfPvI9925sAI7kxPlM7jpuHVJM"",""Validation!A:Z""),22,0)"),"Cluster - Sandeep")</f>
        <v>Cluster - Sandeep</v>
      </c>
      <c r="H87" s="4" t="str">
        <f>IFERROR(__xludf.DUMMYFUNCTION("vlookup(C87,importrange(""1kw74ismGU34AsZ5x-W4x7F3Zt2xc8NSYcCVMrCJBmdQ"",""DRP for 8 products!B:C""),2,0)"),"DATSPARZ6")</f>
        <v>DATSPARZ6</v>
      </c>
      <c r="I87" s="7">
        <f>IFERROR(__xludf.DUMMYFUNCTION("vlookup(C87,importrange(""1kw74ismGU34AsZ5x-W4x7F3Zt2xc8NSYcCVMrCJBmdQ"",""DRP for 8 products!B:E""),4,0)"),64.0)</f>
        <v>64</v>
      </c>
      <c r="J87" s="8" t="str">
        <f t="shared" si="1"/>
        <v>Tier 1</v>
      </c>
      <c r="K87" s="9" t="str">
        <f t="shared" si="2"/>
        <v>Active</v>
      </c>
      <c r="L87" s="4" t="str">
        <f>IFERROR(__xludf.DUMMYFUNCTION("vlookup(C87,importrange(""1kw74ismGU34AsZ5x-W4x7F3Zt2xc8NSYcCVMrCJBmdQ"",""DRP for 8 products!B:H""),6,0)"),"BigQuery")</f>
        <v>BigQuery</v>
      </c>
      <c r="M87" s="10" t="str">
        <f t="shared" si="3"/>
        <v>Yes</v>
      </c>
    </row>
    <row r="88">
      <c r="A88" s="4" t="str">
        <f>IFERROR(__xludf.DUMMYFUNCTION("vlookup(C88,IMPORTRANGE(""1Kgoo8qyo6zMtf_5B03ksZz228jg0XpZ4_KXsdHQ4Vks"",""14 Sept!A:B""),2,0)"),"DME3310")</f>
        <v>DME3310</v>
      </c>
      <c r="B88" s="5" t="str">
        <f>IFERROR(__xludf.DUMMYFUNCTION("""COMPUTED_VALUE"""),"Samadhan Ghuge")</f>
        <v>Samadhan Ghuge</v>
      </c>
      <c r="C88" s="5" t="str">
        <f>IFERROR(__xludf.DUMMYFUNCTION("""COMPUTED_VALUE"""),"samadhan.ghuge@onixnet.com")</f>
        <v>samadhan.ghuge@onixnet.com</v>
      </c>
      <c r="D88" s="4" t="s">
        <v>11</v>
      </c>
      <c r="E88" s="6" t="str">
        <f>IFERROR(__xludf.DUMMYFUNCTION("vlookup($A88,importrange(""1fyGnaViAX9kns28pvsfPvI9925sAI7kxPlM7jpuHVJM"",""Validation!A:Z""),11,0)"),"Delivery Services")</f>
        <v>Delivery Services</v>
      </c>
      <c r="F88" s="6" t="str">
        <f>IFERROR(__xludf.DUMMYFUNCTION("vlookup($A88,importrange(""1fyGnaViAX9kns28pvsfPvI9925sAI7kxPlM7jpuHVJM"",""Validation!A:Z""),23,0)"),"Varun Katyal")</f>
        <v>Varun Katyal</v>
      </c>
      <c r="G88" s="6" t="str">
        <f>IFERROR(__xludf.DUMMYFUNCTION("vlookup(A88,importrange(""1fyGnaViAX9kns28pvsfPvI9925sAI7kxPlM7jpuHVJM"",""Validation!A:Z""),22,0)"),"Cluster - Varun")</f>
        <v>Cluster - Varun</v>
      </c>
      <c r="H88" s="4" t="str">
        <f>IFERROR(__xludf.DUMMYFUNCTION("vlookup(C88,importrange(""1kw74ismGU34AsZ5x-W4x7F3Zt2xc8NSYcCVMrCJBmdQ"",""DRP for 8 products!B:C""),2,0)"),"DATSGIAK7")</f>
        <v>DATSGIAK7</v>
      </c>
      <c r="I88" s="7">
        <f>IFERROR(__xludf.DUMMYFUNCTION("vlookup(C88,importrange(""1kw74ismGU34AsZ5x-W4x7F3Zt2xc8NSYcCVMrCJBmdQ"",""DRP for 8 products!B:E""),4,0)"),9.0)</f>
        <v>9</v>
      </c>
      <c r="J88" s="8" t="str">
        <f t="shared" si="1"/>
        <v>Tier 4</v>
      </c>
      <c r="K88" s="9" t="str">
        <f t="shared" si="2"/>
        <v>Active</v>
      </c>
      <c r="L88" s="4" t="str">
        <f>IFERROR(__xludf.DUMMYFUNCTION("vlookup(C88,importrange(""1kw74ismGU34AsZ5x-W4x7F3Zt2xc8NSYcCVMrCJBmdQ"",""DRP for 8 products!B:H""),6,0)"),"BigQuery")</f>
        <v>BigQuery</v>
      </c>
      <c r="M88" s="10" t="str">
        <f t="shared" si="3"/>
        <v>Yes</v>
      </c>
    </row>
    <row r="89">
      <c r="A89" s="4" t="str">
        <f>IFERROR(__xludf.DUMMYFUNCTION("vlookup(C89,IMPORTRANGE(""1Kgoo8qyo6zMtf_5B03ksZz228jg0XpZ4_KXsdHQ4Vks"",""14 Sept!A:B""),2,0)"),"DME2182")</f>
        <v>DME2182</v>
      </c>
      <c r="B89" s="5" t="str">
        <f>IFERROR(__xludf.DUMMYFUNCTION("""COMPUTED_VALUE"""),"Abhishek Gupta")</f>
        <v>Abhishek Gupta</v>
      </c>
      <c r="C89" s="5" t="str">
        <f>IFERROR(__xludf.DUMMYFUNCTION("""COMPUTED_VALUE"""),"abhishek.gupta1@onixnet.com")</f>
        <v>abhishek.gupta1@onixnet.com</v>
      </c>
      <c r="D89" s="4" t="s">
        <v>11</v>
      </c>
      <c r="E89" s="6" t="str">
        <f>IFERROR(__xludf.DUMMYFUNCTION("vlookup($A89,importrange(""1fyGnaViAX9kns28pvsfPvI9925sAI7kxPlM7jpuHVJM"",""Validation!A:Z""),11,0)"),"Delivery Services")</f>
        <v>Delivery Services</v>
      </c>
      <c r="F89" s="6" t="str">
        <f>IFERROR(__xludf.DUMMYFUNCTION("vlookup($A89,importrange(""1fyGnaViAX9kns28pvsfPvI9925sAI7kxPlM7jpuHVJM"",""Validation!A:Z""),23,0)"),"Indrajit Omprakash Bhagat")</f>
        <v>Indrajit Omprakash Bhagat</v>
      </c>
      <c r="G89" s="6" t="str">
        <f>IFERROR(__xludf.DUMMYFUNCTION("vlookup(A89,importrange(""1fyGnaViAX9kns28pvsfPvI9925sAI7kxPlM7jpuHVJM"",""Validation!A:Z""),22,0)"),"Cluster - Varun")</f>
        <v>Cluster - Varun</v>
      </c>
      <c r="H89" s="4" t="str">
        <f>IFERROR(__xludf.DUMMYFUNCTION("vlookup(C89,importrange(""1kw74ismGU34AsZ5x-W4x7F3Zt2xc8NSYcCVMrCJBmdQ"",""DRP for 8 products!B:C""),2,0)"),"DATAGQWT2")</f>
        <v>DATAGQWT2</v>
      </c>
      <c r="I89" s="7">
        <f>IFERROR(__xludf.DUMMYFUNCTION("vlookup(C89,importrange(""1kw74ismGU34AsZ5x-W4x7F3Zt2xc8NSYcCVMrCJBmdQ"",""DRP for 8 products!B:E""),4,0)"),29.0)</f>
        <v>29</v>
      </c>
      <c r="J89" s="8" t="str">
        <f t="shared" si="1"/>
        <v>Tier 3</v>
      </c>
      <c r="K89" s="9" t="str">
        <f t="shared" si="2"/>
        <v>Active</v>
      </c>
      <c r="L89" s="4" t="str">
        <f>IFERROR(__xludf.DUMMYFUNCTION("vlookup(C89,importrange(""1kw74ismGU34AsZ5x-W4x7F3Zt2xc8NSYcCVMrCJBmdQ"",""DRP for 8 products!B:H""),6,0)"),"BigQuery")</f>
        <v>BigQuery</v>
      </c>
      <c r="M89" s="10" t="str">
        <f t="shared" si="3"/>
        <v>Yes</v>
      </c>
    </row>
    <row r="90">
      <c r="A90" s="4" t="str">
        <f>IFERROR(__xludf.DUMMYFUNCTION("vlookup(C90,IMPORTRANGE(""1Kgoo8qyo6zMtf_5B03ksZz228jg0XpZ4_KXsdHQ4Vks"",""14 Sept!A:B""),2,0)"),"DME1081")</f>
        <v>DME1081</v>
      </c>
      <c r="B90" s="5" t="str">
        <f>IFERROR(__xludf.DUMMYFUNCTION("""COMPUTED_VALUE"""),"Sumit Borde")</f>
        <v>Sumit Borde</v>
      </c>
      <c r="C90" s="5" t="str">
        <f>IFERROR(__xludf.DUMMYFUNCTION("""COMPUTED_VALUE"""),"sumit.borde@onixnet.com")</f>
        <v>sumit.borde@onixnet.com</v>
      </c>
      <c r="D90" s="4" t="s">
        <v>11</v>
      </c>
      <c r="E90" s="6" t="str">
        <f>IFERROR(__xludf.DUMMYFUNCTION("vlookup($A90,importrange(""1fyGnaViAX9kns28pvsfPvI9925sAI7kxPlM7jpuHVJM"",""Validation!A:Z""),11,0)"),"Delivery Services")</f>
        <v>Delivery Services</v>
      </c>
      <c r="F90" s="6" t="str">
        <f>IFERROR(__xludf.DUMMYFUNCTION("vlookup($A90,importrange(""1fyGnaViAX9kns28pvsfPvI9925sAI7kxPlM7jpuHVJM"",""Validation!A:Z""),23,0)"),"Hemanth Kolluru")</f>
        <v>Hemanth Kolluru</v>
      </c>
      <c r="G90" s="6" t="str">
        <f>IFERROR(__xludf.DUMMYFUNCTION("vlookup(A90,importrange(""1fyGnaViAX9kns28pvsfPvI9925sAI7kxPlM7jpuHVJM"",""Validation!A:Z""),22,0)"),"Cluster - Sachin")</f>
        <v>Cluster - Sachin</v>
      </c>
      <c r="H90" s="4" t="str">
        <f>IFERROR(__xludf.DUMMYFUNCTION("vlookup(C90,importrange(""1kw74ismGU34AsZ5x-W4x7F3Zt2xc8NSYcCVMrCJBmdQ"",""DRP for 8 products!B:C""),2,0)"),"DATSBAAC5")</f>
        <v>DATSBAAC5</v>
      </c>
      <c r="I90" s="7">
        <f>IFERROR(__xludf.DUMMYFUNCTION("vlookup(C90,importrange(""1kw74ismGU34AsZ5x-W4x7F3Zt2xc8NSYcCVMrCJBmdQ"",""DRP for 8 products!B:E""),4,0)"),39.0)</f>
        <v>39</v>
      </c>
      <c r="J90" s="8" t="str">
        <f t="shared" si="1"/>
        <v>Tier 2</v>
      </c>
      <c r="K90" s="9" t="str">
        <f t="shared" si="2"/>
        <v>Active</v>
      </c>
      <c r="L90" s="4" t="str">
        <f>IFERROR(__xludf.DUMMYFUNCTION("vlookup(C90,importrange(""1kw74ismGU34AsZ5x-W4x7F3Zt2xc8NSYcCVMrCJBmdQ"",""DRP for 8 products!B:H""),6,0)"),"BigQuery")</f>
        <v>BigQuery</v>
      </c>
      <c r="M90" s="10" t="str">
        <f t="shared" si="3"/>
        <v>Yes</v>
      </c>
    </row>
    <row r="91">
      <c r="A91" s="4" t="str">
        <f>IFERROR(__xludf.DUMMYFUNCTION("vlookup(C91,IMPORTRANGE(""1Kgoo8qyo6zMtf_5B03ksZz228jg0XpZ4_KXsdHQ4Vks"",""14 Sept!A:B""),2,0)"),"DME1133")</f>
        <v>DME1133</v>
      </c>
      <c r="B91" s="5" t="str">
        <f>IFERROR(__xludf.DUMMYFUNCTION("""COMPUTED_VALUE"""),"Vipul Nilapwar")</f>
        <v>Vipul Nilapwar</v>
      </c>
      <c r="C91" s="5" t="str">
        <f>IFERROR(__xludf.DUMMYFUNCTION("""COMPUTED_VALUE"""),"vipul.nilapwar@onixnet.com")</f>
        <v>vipul.nilapwar@onixnet.com</v>
      </c>
      <c r="D91" s="4" t="s">
        <v>11</v>
      </c>
      <c r="E91" s="6" t="str">
        <f>IFERROR(__xludf.DUMMYFUNCTION("vlookup($A91,importrange(""1fyGnaViAX9kns28pvsfPvI9925sAI7kxPlM7jpuHVJM"",""Validation!A:Z""),11,0)"),"Delivery Services")</f>
        <v>Delivery Services</v>
      </c>
      <c r="F91" s="6" t="str">
        <f>IFERROR(__xludf.DUMMYFUNCTION("vlookup($A91,importrange(""1fyGnaViAX9kns28pvsfPvI9925sAI7kxPlM7jpuHVJM"",""Validation!A:Z""),23,0)"),"Bhupesh Chauhan")</f>
        <v>Bhupesh Chauhan</v>
      </c>
      <c r="G91" s="6" t="str">
        <f>IFERROR(__xludf.DUMMYFUNCTION("vlookup(A91,importrange(""1fyGnaViAX9kns28pvsfPvI9925sAI7kxPlM7jpuHVJM"",""Validation!A:Z""),22,0)"),"Cluster - Sachin")</f>
        <v>Cluster - Sachin</v>
      </c>
      <c r="H91" s="4" t="str">
        <f>IFERROR(__xludf.DUMMYFUNCTION("vlookup(C91,importrange(""1kw74ismGU34AsZ5x-W4x7F3Zt2xc8NSYcCVMrCJBmdQ"",""DRP for 8 products!B:C""),2,0)"),"DATVNLLQ0")</f>
        <v>DATVNLLQ0</v>
      </c>
      <c r="I91" s="7">
        <f>IFERROR(__xludf.DUMMYFUNCTION("vlookup(C91,importrange(""1kw74ismGU34AsZ5x-W4x7F3Zt2xc8NSYcCVMrCJBmdQ"",""DRP for 8 products!B:E""),4,0)"),32.0)</f>
        <v>32</v>
      </c>
      <c r="J91" s="8" t="str">
        <f t="shared" si="1"/>
        <v>Tier 3</v>
      </c>
      <c r="K91" s="9" t="str">
        <f t="shared" si="2"/>
        <v>Active</v>
      </c>
      <c r="L91" s="4" t="str">
        <f>IFERROR(__xludf.DUMMYFUNCTION("vlookup(C91,importrange(""1kw74ismGU34AsZ5x-W4x7F3Zt2xc8NSYcCVMrCJBmdQ"",""DRP for 8 products!B:H""),6,0)"),"BigQuery")</f>
        <v>BigQuery</v>
      </c>
      <c r="M91" s="10" t="str">
        <f t="shared" si="3"/>
        <v>Yes</v>
      </c>
    </row>
    <row r="92">
      <c r="A92" s="4" t="str">
        <f>IFERROR(__xludf.DUMMYFUNCTION("vlookup(C92,IMPORTRANGE(""1Kgoo8qyo6zMtf_5B03ksZz228jg0XpZ4_KXsdHQ4Vks"",""14 Sept!A:B""),2,0)"),"DME2087")</f>
        <v>DME2087</v>
      </c>
      <c r="B92" s="5" t="str">
        <f>IFERROR(__xludf.DUMMYFUNCTION("""COMPUTED_VALUE"""),"Arvindkumar Ram")</f>
        <v>Arvindkumar Ram</v>
      </c>
      <c r="C92" s="5" t="str">
        <f>IFERROR(__xludf.DUMMYFUNCTION("""COMPUTED_VALUE"""),"arvindkumar.ram@onixnet.com")</f>
        <v>arvindkumar.ram@onixnet.com</v>
      </c>
      <c r="D92" s="4" t="s">
        <v>11</v>
      </c>
      <c r="E92" s="6" t="str">
        <f>IFERROR(__xludf.DUMMYFUNCTION("vlookup($A92,importrange(""1fyGnaViAX9kns28pvsfPvI9925sAI7kxPlM7jpuHVJM"",""Validation!A:Z""),11,0)"),"Eagle Assessment")</f>
        <v>Eagle Assessment</v>
      </c>
      <c r="F92" s="6" t="str">
        <f>IFERROR(__xludf.DUMMYFUNCTION("vlookup($A92,importrange(""1fyGnaViAX9kns28pvsfPvI9925sAI7kxPlM7jpuHVJM"",""Validation!A:Z""),23,0)"),"Lokesh Bhardwaj")</f>
        <v>Lokesh Bhardwaj</v>
      </c>
      <c r="G92" s="6" t="str">
        <f>IFERROR(__xludf.DUMMYFUNCTION("vlookup(A92,importrange(""1fyGnaViAX9kns28pvsfPvI9925sAI7kxPlM7jpuHVJM"",""Validation!A:Z""),22,0)"),"Cluster - Kalpa")</f>
        <v>Cluster - Kalpa</v>
      </c>
      <c r="H92" s="4" t="str">
        <f>IFERROR(__xludf.DUMMYFUNCTION("vlookup(C92,importrange(""1kw74ismGU34AsZ5x-W4x7F3Zt2xc8NSYcCVMrCJBmdQ"",""DRP for 8 products!B:C""),2,0)"),"DATARXWL2")</f>
        <v>DATARXWL2</v>
      </c>
      <c r="I92" s="7">
        <f>IFERROR(__xludf.DUMMYFUNCTION("vlookup(C92,importrange(""1kw74ismGU34AsZ5x-W4x7F3Zt2xc8NSYcCVMrCJBmdQ"",""DRP for 8 products!B:E""),4,0)"),54.0)</f>
        <v>54</v>
      </c>
      <c r="J92" s="8" t="str">
        <f t="shared" si="1"/>
        <v>Tier 1</v>
      </c>
      <c r="K92" s="9" t="str">
        <f t="shared" si="2"/>
        <v>Active</v>
      </c>
      <c r="L92" s="4" t="str">
        <f>IFERROR(__xludf.DUMMYFUNCTION("vlookup(C92,importrange(""1kw74ismGU34AsZ5x-W4x7F3Zt2xc8NSYcCVMrCJBmdQ"",""DRP for 8 products!B:H""),6,0)"),"Dataproc")</f>
        <v>Dataproc</v>
      </c>
      <c r="M92" s="10" t="str">
        <f t="shared" si="3"/>
        <v>Yes</v>
      </c>
    </row>
    <row r="93">
      <c r="A93" s="4" t="str">
        <f>IFERROR(__xludf.DUMMYFUNCTION("vlookup(C93,IMPORTRANGE(""1Kgoo8qyo6zMtf_5B03ksZz228jg0XpZ4_KXsdHQ4Vks"",""14 Sept!A:B""),2,0)"),"DME1540")</f>
        <v>DME1540</v>
      </c>
      <c r="B93" s="5" t="str">
        <f>IFERROR(__xludf.DUMMYFUNCTION("""COMPUTED_VALUE"""),"Bhagyashri Wadode")</f>
        <v>Bhagyashri Wadode</v>
      </c>
      <c r="C93" s="5" t="str">
        <f>IFERROR(__xludf.DUMMYFUNCTION("""COMPUTED_VALUE"""),"bhagyashri.wadode@onixnet.com")</f>
        <v>bhagyashri.wadode@onixnet.com</v>
      </c>
      <c r="D93" s="4" t="s">
        <v>11</v>
      </c>
      <c r="E93" s="6" t="str">
        <f>IFERROR(__xludf.DUMMYFUNCTION("vlookup($A93,importrange(""1fyGnaViAX9kns28pvsfPvI9925sAI7kxPlM7jpuHVJM"",""Validation!A:Z""),11,0)"),"Eagle Assessment")</f>
        <v>Eagle Assessment</v>
      </c>
      <c r="F93" s="6" t="str">
        <f>IFERROR(__xludf.DUMMYFUNCTION("vlookup($A93,importrange(""1fyGnaViAX9kns28pvsfPvI9925sAI7kxPlM7jpuHVJM"",""Validation!A:Z""),23,0)"),"Ankit Khandelwal")</f>
        <v>Ankit Khandelwal</v>
      </c>
      <c r="G93" s="6" t="str">
        <f>IFERROR(__xludf.DUMMYFUNCTION("vlookup(A93,importrange(""1fyGnaViAX9kns28pvsfPvI9925sAI7kxPlM7jpuHVJM"",""Validation!A:Z""),22,0)"),"Cluster - Kalpa")</f>
        <v>Cluster - Kalpa</v>
      </c>
      <c r="H93" s="4" t="str">
        <f>IFERROR(__xludf.DUMMYFUNCTION("vlookup(C93,importrange(""1kw74ismGU34AsZ5x-W4x7F3Zt2xc8NSYcCVMrCJBmdQ"",""DRP for 8 products!B:C""),2,0)"),"DATBWSLH5")</f>
        <v>DATBWSLH5</v>
      </c>
      <c r="I93" s="7">
        <f>IFERROR(__xludf.DUMMYFUNCTION("vlookup(C93,importrange(""1kw74ismGU34AsZ5x-W4x7F3Zt2xc8NSYcCVMrCJBmdQ"",""DRP for 8 products!B:E""),4,0)"),27.0)</f>
        <v>27</v>
      </c>
      <c r="J93" s="8" t="str">
        <f t="shared" si="1"/>
        <v>Tier 3</v>
      </c>
      <c r="K93" s="9" t="str">
        <f t="shared" si="2"/>
        <v>Active</v>
      </c>
      <c r="L93" s="4" t="str">
        <f>IFERROR(__xludf.DUMMYFUNCTION("vlookup(C93,importrange(""1kw74ismGU34AsZ5x-W4x7F3Zt2xc8NSYcCVMrCJBmdQ"",""DRP for 8 products!B:H""),6,0)"),"BigQuery")</f>
        <v>BigQuery</v>
      </c>
      <c r="M93" s="10" t="str">
        <f t="shared" si="3"/>
        <v>Yes</v>
      </c>
    </row>
    <row r="94">
      <c r="A94" s="4" t="str">
        <f>IFERROR(__xludf.DUMMYFUNCTION("vlookup(C94,IMPORTRANGE(""1Kgoo8qyo6zMtf_5B03ksZz228jg0XpZ4_KXsdHQ4Vks"",""14 Sept!A:B""),2,0)"),"DME1972")</f>
        <v>DME1972</v>
      </c>
      <c r="B94" s="5" t="str">
        <f>IFERROR(__xludf.DUMMYFUNCTION("""COMPUTED_VALUE"""),"Rajik Tadvi")</f>
        <v>Rajik Tadvi</v>
      </c>
      <c r="C94" s="5" t="str">
        <f>IFERROR(__xludf.DUMMYFUNCTION("""COMPUTED_VALUE"""),"rajik.tadvi@onixnet.com")</f>
        <v>rajik.tadvi@onixnet.com</v>
      </c>
      <c r="D94" s="4" t="s">
        <v>11</v>
      </c>
      <c r="E94" s="6" t="str">
        <f>IFERROR(__xludf.DUMMYFUNCTION("vlookup($A94,importrange(""1fyGnaViAX9kns28pvsfPvI9925sAI7kxPlM7jpuHVJM"",""Validation!A:Z""),11,0)"),"Product Engineering")</f>
        <v>Product Engineering</v>
      </c>
      <c r="F94" s="6" t="str">
        <f>IFERROR(__xludf.DUMMYFUNCTION("vlookup($A94,importrange(""1fyGnaViAX9kns28pvsfPvI9925sAI7kxPlM7jpuHVJM"",""Validation!A:Z""),23,0)"),"Sachin Sakle")</f>
        <v>Sachin Sakle</v>
      </c>
      <c r="G94" s="6" t="str">
        <f>IFERROR(__xludf.DUMMYFUNCTION("vlookup(A94,importrange(""1fyGnaViAX9kns28pvsfPvI9925sAI7kxPlM7jpuHVJM"",""Validation!A:Z""),22,0)"),"Cluster - Mayur")</f>
        <v>Cluster - Mayur</v>
      </c>
      <c r="H94" s="4" t="str">
        <f>IFERROR(__xludf.DUMMYFUNCTION("vlookup(C94,importrange(""1kw74ismGU34AsZ5x-W4x7F3Zt2xc8NSYcCVMrCJBmdQ"",""DRP for 8 products!B:C""),2,0)"),"DATRTOPJ0")</f>
        <v>DATRTOPJ0</v>
      </c>
      <c r="I94" s="7">
        <f>IFERROR(__xludf.DUMMYFUNCTION("vlookup(C94,importrange(""1kw74ismGU34AsZ5x-W4x7F3Zt2xc8NSYcCVMrCJBmdQ"",""DRP for 8 products!B:E""),4,0)"),28.0)</f>
        <v>28</v>
      </c>
      <c r="J94" s="8" t="str">
        <f t="shared" si="1"/>
        <v>Tier 3</v>
      </c>
      <c r="K94" s="9" t="str">
        <f t="shared" si="2"/>
        <v>Active</v>
      </c>
      <c r="L94" s="4" t="str">
        <f>IFERROR(__xludf.DUMMYFUNCTION("vlookup(C94,importrange(""1kw74ismGU34AsZ5x-W4x7F3Zt2xc8NSYcCVMrCJBmdQ"",""DRP for 8 products!B:H""),6,0)"),"BigQuery")</f>
        <v>BigQuery</v>
      </c>
      <c r="M94" s="10" t="str">
        <f t="shared" si="3"/>
        <v>Yes</v>
      </c>
    </row>
    <row r="95">
      <c r="A95" s="4" t="str">
        <f>IFERROR(__xludf.DUMMYFUNCTION("vlookup(C95,IMPORTRANGE(""1Kgoo8qyo6zMtf_5B03ksZz228jg0XpZ4_KXsdHQ4Vks"",""14 Sept!A:B""),2,0)"),"ONIX549")</f>
        <v>ONIX549</v>
      </c>
      <c r="B95" s="5" t="str">
        <f>IFERROR(__xludf.DUMMYFUNCTION("""COMPUTED_VALUE"""),"Junaid Subhani")</f>
        <v>Junaid Subhani</v>
      </c>
      <c r="C95" s="5" t="str">
        <f>IFERROR(__xludf.DUMMYFUNCTION("""COMPUTED_VALUE"""),"junaid.subhani@onixnet.com")</f>
        <v>junaid.subhani@onixnet.com</v>
      </c>
      <c r="D95" s="4" t="s">
        <v>11</v>
      </c>
      <c r="E95" s="6" t="str">
        <f>IFERROR(__xludf.DUMMYFUNCTION("vlookup($A95,importrange(""1fyGnaViAX9kns28pvsfPvI9925sAI7kxPlM7jpuHVJM"",""Validation!A:Z""),11,0)"),"Services")</f>
        <v>Services</v>
      </c>
      <c r="F95" s="6" t="str">
        <f>IFERROR(__xludf.DUMMYFUNCTION("vlookup($A95,importrange(""1fyGnaViAX9kns28pvsfPvI9925sAI7kxPlM7jpuHVJM"",""Validation!A:Z""),23,0)"),"LeePatrick McIntire")</f>
        <v>LeePatrick McIntire</v>
      </c>
      <c r="G95" s="6" t="str">
        <f>IFERROR(__xludf.DUMMYFUNCTION("vlookup(A95,importrange(""1fyGnaViAX9kns28pvsfPvI9925sAI7kxPlM7jpuHVJM"",""Validation!A:Z""),22,0)"),"Portfolio - Thomas (AI)")</f>
        <v>Portfolio - Thomas (AI)</v>
      </c>
      <c r="H95" s="4" t="str">
        <f>IFERROR(__xludf.DUMMYFUNCTION("vlookup(C95,importrange(""1kw74ismGU34AsZ5x-W4x7F3Zt2xc8NSYcCVMrCJBmdQ"",""DRP for 8 products!B:C""),2,0)"),"ONIJSBXX4")</f>
        <v>ONIJSBXX4</v>
      </c>
      <c r="I95" s="7">
        <f>IFERROR(__xludf.DUMMYFUNCTION("vlookup(C95,importrange(""1kw74ismGU34AsZ5x-W4x7F3Zt2xc8NSYcCVMrCJBmdQ"",""DRP for 8 products!B:E""),4,0)"),9.0)</f>
        <v>9</v>
      </c>
      <c r="J95" s="8" t="str">
        <f t="shared" si="1"/>
        <v>Tier 4</v>
      </c>
      <c r="K95" s="9" t="str">
        <f t="shared" si="2"/>
        <v>Active</v>
      </c>
      <c r="L95" s="4" t="str">
        <f>IFERROR(__xludf.DUMMYFUNCTION("vlookup(C95,importrange(""1kw74ismGU34AsZ5x-W4x7F3Zt2xc8NSYcCVMrCJBmdQ"",""DRP for 8 products!B:H""),6,0)"),"Looker")</f>
        <v>Looker</v>
      </c>
      <c r="M95" s="10" t="str">
        <f t="shared" si="3"/>
        <v>Yes</v>
      </c>
    </row>
    <row r="96">
      <c r="A96" s="4" t="str">
        <f>IFERROR(__xludf.DUMMYFUNCTION("vlookup(C96,IMPORTRANGE(""1Kgoo8qyo6zMtf_5B03ksZz228jg0XpZ4_KXsdHQ4Vks"",""14 Sept!A:B""),2,0)"),"ONIX139")</f>
        <v>ONIX139</v>
      </c>
      <c r="B96" s="5" t="str">
        <f>IFERROR(__xludf.DUMMYFUNCTION("""COMPUTED_VALUE"""),"Courtney Marquardt")</f>
        <v>Courtney Marquardt</v>
      </c>
      <c r="C96" s="5" t="str">
        <f>IFERROR(__xludf.DUMMYFUNCTION("""COMPUTED_VALUE"""),"cline@onixnet.com")</f>
        <v>cline@onixnet.com</v>
      </c>
      <c r="D96" s="4" t="s">
        <v>11</v>
      </c>
      <c r="E96" s="6" t="str">
        <f>IFERROR(__xludf.DUMMYFUNCTION("vlookup($A96,importrange(""1fyGnaViAX9kns28pvsfPvI9925sAI7kxPlM7jpuHVJM"",""Validation!A:Z""),11,0)"),"Services")</f>
        <v>Services</v>
      </c>
      <c r="F96" s="6" t="str">
        <f>IFERROR(__xludf.DUMMYFUNCTION("vlookup($A96,importrange(""1fyGnaViAX9kns28pvsfPvI9925sAI7kxPlM7jpuHVJM"",""Validation!A:Z""),23,0)"),"Scott Fleming")</f>
        <v>Scott Fleming</v>
      </c>
      <c r="G96" s="6" t="str">
        <f>IFERROR(__xludf.DUMMYFUNCTION("vlookup(A96,importrange(""1fyGnaViAX9kns28pvsfPvI9925sAI7kxPlM7jpuHVJM"",""Validation!A:Z""),22,0)"),"Portfolio - Scott")</f>
        <v>Portfolio - Scott</v>
      </c>
      <c r="H96" s="4" t="str">
        <f>IFERROR(__xludf.DUMMYFUNCTION("vlookup(C96,importrange(""1kw74ismGU34AsZ5x-W4x7F3Zt2xc8NSYcCVMrCJBmdQ"",""DRP for 8 products!B:C""),2,0)"),"ONICCCQE8")</f>
        <v>ONICCCQE8</v>
      </c>
      <c r="I96" s="7">
        <f>IFERROR(__xludf.DUMMYFUNCTION("vlookup(C96,importrange(""1kw74ismGU34AsZ5x-W4x7F3Zt2xc8NSYcCVMrCJBmdQ"",""DRP for 8 products!B:E""),4,0)"),14.0)</f>
        <v>14</v>
      </c>
      <c r="J96" s="8" t="str">
        <f t="shared" si="1"/>
        <v>Tier 4</v>
      </c>
      <c r="K96" s="9" t="str">
        <f t="shared" si="2"/>
        <v>Active</v>
      </c>
      <c r="L96" s="4" t="str">
        <f>IFERROR(__xludf.DUMMYFUNCTION("vlookup(C96,importrange(""1kw74ismGU34AsZ5x-W4x7F3Zt2xc8NSYcCVMrCJBmdQ"",""DRP for 8 products!B:H""),6,0)"),"Cloud SQL")</f>
        <v>Cloud SQL</v>
      </c>
      <c r="M96" s="10" t="str">
        <f t="shared" si="3"/>
        <v>Yes</v>
      </c>
    </row>
    <row r="97">
      <c r="A97" s="4" t="str">
        <f>IFERROR(__xludf.DUMMYFUNCTION("vlookup(C97,IMPORTRANGE(""1Kgoo8qyo6zMtf_5B03ksZz228jg0XpZ4_KXsdHQ4Vks"",""14 Sept!A:B""),2,0)"),"ONIX516")</f>
        <v>ONIX516</v>
      </c>
      <c r="B97" s="5" t="str">
        <f>IFERROR(__xludf.DUMMYFUNCTION("""COMPUTED_VALUE"""),"Jeremiah Jenkins")</f>
        <v>Jeremiah Jenkins</v>
      </c>
      <c r="C97" s="5" t="str">
        <f>IFERROR(__xludf.DUMMYFUNCTION("""COMPUTED_VALUE"""),"jjenkins@onixnet.com")</f>
        <v>jjenkins@onixnet.com</v>
      </c>
      <c r="D97" s="4" t="s">
        <v>11</v>
      </c>
      <c r="E97" s="6" t="str">
        <f>IFERROR(__xludf.DUMMYFUNCTION("vlookup($A97,importrange(""1fyGnaViAX9kns28pvsfPvI9925sAI7kxPlM7jpuHVJM"",""Validation!A:Z""),11,0)"),"Services")</f>
        <v>Services</v>
      </c>
      <c r="F97" s="6" t="str">
        <f>IFERROR(__xludf.DUMMYFUNCTION("vlookup($A97,importrange(""1fyGnaViAX9kns28pvsfPvI9925sAI7kxPlM7jpuHVJM"",""Validation!A:Z""),23,0)"),"Scott Fleming")</f>
        <v>Scott Fleming</v>
      </c>
      <c r="G97" s="6" t="str">
        <f>IFERROR(__xludf.DUMMYFUNCTION("vlookup(A97,importrange(""1fyGnaViAX9kns28pvsfPvI9925sAI7kxPlM7jpuHVJM"",""Validation!A:Z""),22,0)"),"Portfolio - Scott")</f>
        <v>Portfolio - Scott</v>
      </c>
      <c r="H97" s="4" t="str">
        <f>IFERROR(__xludf.DUMMYFUNCTION("vlookup(C97,importrange(""1kw74ismGU34AsZ5x-W4x7F3Zt2xc8NSYcCVMrCJBmdQ"",""DRP for 8 products!B:C""),2,0)"),"ONIJJEVO1")</f>
        <v>ONIJJEVO1</v>
      </c>
      <c r="I97" s="7">
        <f>IFERROR(__xludf.DUMMYFUNCTION("vlookup(C97,importrange(""1kw74ismGU34AsZ5x-W4x7F3Zt2xc8NSYcCVMrCJBmdQ"",""DRP for 8 products!B:E""),4,0)"),14.0)</f>
        <v>14</v>
      </c>
      <c r="J97" s="8" t="str">
        <f t="shared" si="1"/>
        <v>Tier 4</v>
      </c>
      <c r="K97" s="9" t="str">
        <f t="shared" si="2"/>
        <v>Active</v>
      </c>
      <c r="L97" s="4" t="str">
        <f>IFERROR(__xludf.DUMMYFUNCTION("vlookup(C97,importrange(""1kw74ismGU34AsZ5x-W4x7F3Zt2xc8NSYcCVMrCJBmdQ"",""DRP for 8 products!B:H""),6,0)"),"Dataflow")</f>
        <v>Dataflow</v>
      </c>
      <c r="M97" s="10" t="str">
        <f t="shared" si="3"/>
        <v>Yes</v>
      </c>
    </row>
    <row r="98">
      <c r="A98" s="4" t="str">
        <f>IFERROR(__xludf.DUMMYFUNCTION("vlookup(C98,IMPORTRANGE(""1Kgoo8qyo6zMtf_5B03ksZz228jg0XpZ4_KXsdHQ4Vks"",""14 Sept!A:B""),2,0)"),"ONIX252")</f>
        <v>ONIX252</v>
      </c>
      <c r="B98" s="5" t="str">
        <f>IFERROR(__xludf.DUMMYFUNCTION("""COMPUTED_VALUE"""),"Brittany Yee")</f>
        <v>Brittany Yee</v>
      </c>
      <c r="C98" s="5" t="str">
        <f>IFERROR(__xludf.DUMMYFUNCTION("""COMPUTED_VALUE"""),"yee@onixnet.com")</f>
        <v>yee@onixnet.com</v>
      </c>
      <c r="D98" s="4" t="s">
        <v>11</v>
      </c>
      <c r="E98" s="6" t="str">
        <f>IFERROR(__xludf.DUMMYFUNCTION("vlookup($A98,importrange(""1fyGnaViAX9kns28pvsfPvI9925sAI7kxPlM7jpuHVJM"",""Validation!A:Z""),11,0)"),"Services")</f>
        <v>Services</v>
      </c>
      <c r="F98" s="6" t="str">
        <f>IFERROR(__xludf.DUMMYFUNCTION("vlookup($A98,importrange(""1fyGnaViAX9kns28pvsfPvI9925sAI7kxPlM7jpuHVJM"",""Validation!A:Z""),23,0)"),"Scott Fleming")</f>
        <v>Scott Fleming</v>
      </c>
      <c r="G98" s="6" t="str">
        <f>IFERROR(__xludf.DUMMYFUNCTION("vlookup(A98,importrange(""1fyGnaViAX9kns28pvsfPvI9925sAI7kxPlM7jpuHVJM"",""Validation!A:Z""),22,0)"),"Portfolio - Scott")</f>
        <v>Portfolio - Scott</v>
      </c>
      <c r="H98" s="4" t="str">
        <f>IFERROR(__xludf.DUMMYFUNCTION("vlookup(C98,importrange(""1kw74ismGU34AsZ5x-W4x7F3Zt2xc8NSYcCVMrCJBmdQ"",""DRP for 8 products!B:C""),2,0)"),"ONIBYNZY0")</f>
        <v>ONIBYNZY0</v>
      </c>
      <c r="I98" s="7">
        <f>IFERROR(__xludf.DUMMYFUNCTION("vlookup(C98,importrange(""1kw74ismGU34AsZ5x-W4x7F3Zt2xc8NSYcCVMrCJBmdQ"",""DRP for 8 products!B:E""),4,0)"),5.0)</f>
        <v>5</v>
      </c>
      <c r="J98" s="8" t="str">
        <f t="shared" si="1"/>
        <v>Tier 4</v>
      </c>
      <c r="K98" s="9" t="str">
        <f t="shared" si="2"/>
        <v>Active</v>
      </c>
      <c r="L98" s="4" t="str">
        <f>IFERROR(__xludf.DUMMYFUNCTION("vlookup(C98,importrange(""1kw74ismGU34AsZ5x-W4x7F3Zt2xc8NSYcCVMrCJBmdQ"",""DRP for 8 products!B:H""),6,0)"),"BigQuery")</f>
        <v>BigQuery</v>
      </c>
      <c r="M98" s="10" t="str">
        <f t="shared" si="3"/>
        <v>Yes</v>
      </c>
    </row>
    <row r="99">
      <c r="A99" s="4" t="str">
        <f>IFERROR(__xludf.DUMMYFUNCTION("vlookup(C99,IMPORTRANGE(""1Kgoo8qyo6zMtf_5B03ksZz228jg0XpZ4_KXsdHQ4Vks"",""14 Sept!A:B""),2,0)"),"ONIX271")</f>
        <v>ONIX271</v>
      </c>
      <c r="B99" s="5" t="str">
        <f>IFERROR(__xludf.DUMMYFUNCTION("""COMPUTED_VALUE"""),"Benjamin Falaschi")</f>
        <v>Benjamin Falaschi</v>
      </c>
      <c r="C99" s="5" t="str">
        <f>IFERROR(__xludf.DUMMYFUNCTION("""COMPUTED_VALUE"""),"benjamin.falaschi@onixnet.com")</f>
        <v>benjamin.falaschi@onixnet.com</v>
      </c>
      <c r="D99" s="4" t="s">
        <v>11</v>
      </c>
      <c r="E99" s="6" t="str">
        <f>IFERROR(__xludf.DUMMYFUNCTION("vlookup($A99,importrange(""1fyGnaViAX9kns28pvsfPvI9925sAI7kxPlM7jpuHVJM"",""Validation!A:Z""),11,0)"),"Services")</f>
        <v>Services</v>
      </c>
      <c r="F99" s="6" t="str">
        <f>IFERROR(__xludf.DUMMYFUNCTION("vlookup($A99,importrange(""1fyGnaViAX9kns28pvsfPvI9925sAI7kxPlM7jpuHVJM"",""Validation!A:Z""),23,0)"),"Anurag Mynam")</f>
        <v>Anurag Mynam</v>
      </c>
      <c r="G99" s="6" t="str">
        <f>IFERROR(__xludf.DUMMYFUNCTION("vlookup(A99,importrange(""1fyGnaViAX9kns28pvsfPvI9925sAI7kxPlM7jpuHVJM"",""Validation!A:Z""),22,0)"),"Portfolio - Thomas (AI)")</f>
        <v>Portfolio - Thomas (AI)</v>
      </c>
      <c r="H99" s="4" t="str">
        <f>IFERROR(__xludf.DUMMYFUNCTION("vlookup(C99,importrange(""1kw74ismGU34AsZ5x-W4x7F3Zt2xc8NSYcCVMrCJBmdQ"",""DRP for 8 products!B:C""),2,0)"),"ONIBFEAM4")</f>
        <v>ONIBFEAM4</v>
      </c>
      <c r="I99" s="7">
        <f>IFERROR(__xludf.DUMMYFUNCTION("vlookup(C99,importrange(""1kw74ismGU34AsZ5x-W4x7F3Zt2xc8NSYcCVMrCJBmdQ"",""DRP for 8 products!B:E""),4,0)"),17.0)</f>
        <v>17</v>
      </c>
      <c r="J99" s="8" t="str">
        <f t="shared" si="1"/>
        <v>Tier 4</v>
      </c>
      <c r="K99" s="9" t="str">
        <f t="shared" si="2"/>
        <v>Active</v>
      </c>
      <c r="L99" s="4" t="str">
        <f>IFERROR(__xludf.DUMMYFUNCTION("vlookup(C99,importrange(""1kw74ismGU34AsZ5x-W4x7F3Zt2xc8NSYcCVMrCJBmdQ"",""DRP for 8 products!B:H""),6,0)"),"AlloyDB for PostgreSQL")</f>
        <v>AlloyDB for PostgreSQL</v>
      </c>
      <c r="M99" s="10" t="str">
        <f t="shared" si="3"/>
        <v>Yes</v>
      </c>
    </row>
    <row r="100">
      <c r="A100" s="4" t="str">
        <f>IFERROR(__xludf.DUMMYFUNCTION("vlookup(C100,IMPORTRANGE(""1Kgoo8qyo6zMtf_5B03ksZz228jg0XpZ4_KXsdHQ4Vks"",""14 Sept!A:B""),2,0)"),"DME2539")</f>
        <v>DME2539</v>
      </c>
      <c r="B100" s="5" t="str">
        <f>IFERROR(__xludf.DUMMYFUNCTION("""COMPUTED_VALUE"""),"Praphulla Prakash")</f>
        <v>Praphulla Prakash</v>
      </c>
      <c r="C100" s="5" t="str">
        <f>IFERROR(__xludf.DUMMYFUNCTION("""COMPUTED_VALUE"""),"praphulla.prakash@onixnet.com")</f>
        <v>praphulla.prakash@onixnet.com</v>
      </c>
      <c r="D100" s="4" t="s">
        <v>11</v>
      </c>
      <c r="E100" s="6" t="str">
        <f>IFERROR(__xludf.DUMMYFUNCTION("vlookup($A100,importrange(""1fyGnaViAX9kns28pvsfPvI9925sAI7kxPlM7jpuHVJM"",""Validation!A:Z""),11,0)"),"Product Engineering")</f>
        <v>Product Engineering</v>
      </c>
      <c r="F100" s="6" t="str">
        <f>IFERROR(__xludf.DUMMYFUNCTION("vlookup($A100,importrange(""1fyGnaViAX9kns28pvsfPvI9925sAI7kxPlM7jpuHVJM"",""Validation!A:Z""),23,0)"),"Harshit Soni")</f>
        <v>Harshit Soni</v>
      </c>
      <c r="G100" s="6" t="str">
        <f>IFERROR(__xludf.DUMMYFUNCTION("vlookup(A100,importrange(""1fyGnaViAX9kns28pvsfPvI9925sAI7kxPlM7jpuHVJM"",""Validation!A:Z""),22,0)"),"Cluster - Niraj")</f>
        <v>Cluster - Niraj</v>
      </c>
      <c r="H100" s="4" t="str">
        <f>IFERROR(__xludf.DUMMYFUNCTION("vlookup(C100,importrange(""1kw74ismGU34AsZ5x-W4x7F3Zt2xc8NSYcCVMrCJBmdQ"",""DRP for 8 products!B:C""),2,0)"),"DATPPBYA6")</f>
        <v>DATPPBYA6</v>
      </c>
      <c r="I100" s="7">
        <f>IFERROR(__xludf.DUMMYFUNCTION("vlookup(C100,importrange(""1kw74ismGU34AsZ5x-W4x7F3Zt2xc8NSYcCVMrCJBmdQ"",""DRP for 8 products!B:E""),4,0)"),19.0)</f>
        <v>19</v>
      </c>
      <c r="J100" s="8" t="str">
        <f t="shared" si="1"/>
        <v>Tier 4</v>
      </c>
      <c r="K100" s="9" t="str">
        <f t="shared" si="2"/>
        <v>Active</v>
      </c>
      <c r="L100" s="4" t="str">
        <f>IFERROR(__xludf.DUMMYFUNCTION("vlookup(C100,importrange(""1kw74ismGU34AsZ5x-W4x7F3Zt2xc8NSYcCVMrCJBmdQ"",""DRP for 8 products!B:H""),6,0)"),"Cloud SQL")</f>
        <v>Cloud SQL</v>
      </c>
      <c r="M100" s="10" t="str">
        <f t="shared" si="3"/>
        <v>Yes</v>
      </c>
    </row>
    <row r="101">
      <c r="A101" s="4" t="str">
        <f>IFERROR(__xludf.DUMMYFUNCTION("vlookup(C101,IMPORTRANGE(""1Kgoo8qyo6zMtf_5B03ksZz228jg0XpZ4_KXsdHQ4Vks"",""14 Sept!A:B""),2,0)"),"ONIX546")</f>
        <v>ONIX546</v>
      </c>
      <c r="B101" s="5" t="str">
        <f>IFERROR(__xludf.DUMMYFUNCTION("""COMPUTED_VALUE"""),"Rajan Shrestha")</f>
        <v>Rajan Shrestha</v>
      </c>
      <c r="C101" s="5" t="str">
        <f>IFERROR(__xludf.DUMMYFUNCTION("""COMPUTED_VALUE"""),"rj.shrestha@onixnet.com")</f>
        <v>rj.shrestha@onixnet.com</v>
      </c>
      <c r="D101" s="4" t="s">
        <v>11</v>
      </c>
      <c r="E101" s="6" t="str">
        <f>IFERROR(__xludf.DUMMYFUNCTION("vlookup($A101,importrange(""1fyGnaViAX9kns28pvsfPvI9925sAI7kxPlM7jpuHVJM"",""Validation!A:Z""),11,0)"),"Services")</f>
        <v>Services</v>
      </c>
      <c r="F101" s="6" t="str">
        <f>IFERROR(__xludf.DUMMYFUNCTION("vlookup($A101,importrange(""1fyGnaViAX9kns28pvsfPvI9925sAI7kxPlM7jpuHVJM"",""Validation!A:Z""),23,0)"),"Anurag Mynam")</f>
        <v>Anurag Mynam</v>
      </c>
      <c r="G101" s="6" t="str">
        <f>IFERROR(__xludf.DUMMYFUNCTION("vlookup(A101,importrange(""1fyGnaViAX9kns28pvsfPvI9925sAI7kxPlM7jpuHVJM"",""Validation!A:Z""),22,0)"),"Portfolio - Thomas (AI)")</f>
        <v>Portfolio - Thomas (AI)</v>
      </c>
      <c r="H101" s="4" t="str">
        <f>IFERROR(__xludf.DUMMYFUNCTION("vlookup(C101,importrange(""1kw74ismGU34AsZ5x-W4x7F3Zt2xc8NSYcCVMrCJBmdQ"",""DRP for 8 products!B:C""),2,0)"),"ONIRSFQY2")</f>
        <v>ONIRSFQY2</v>
      </c>
      <c r="I101" s="7">
        <f>IFERROR(__xludf.DUMMYFUNCTION("vlookup(C101,importrange(""1kw74ismGU34AsZ5x-W4x7F3Zt2xc8NSYcCVMrCJBmdQ"",""DRP for 8 products!B:E""),4,0)"),9.0)</f>
        <v>9</v>
      </c>
      <c r="J101" s="8" t="str">
        <f t="shared" si="1"/>
        <v>Tier 4</v>
      </c>
      <c r="K101" s="9" t="str">
        <f t="shared" si="2"/>
        <v>Active</v>
      </c>
      <c r="L101" s="4" t="str">
        <f>IFERROR(__xludf.DUMMYFUNCTION("vlookup(C101,importrange(""1kw74ismGU34AsZ5x-W4x7F3Zt2xc8NSYcCVMrCJBmdQ"",""DRP for 8 products!B:H""),6,0)"),"BigQuery")</f>
        <v>BigQuery</v>
      </c>
      <c r="M101" s="10" t="str">
        <f t="shared" si="3"/>
        <v>Yes</v>
      </c>
    </row>
    <row r="102">
      <c r="A102" s="4" t="str">
        <f>IFERROR(__xludf.DUMMYFUNCTION("vlookup(C102,IMPORTRANGE(""1Kgoo8qyo6zMtf_5B03ksZz228jg0XpZ4_KXsdHQ4Vks"",""14 Sept!A:B""),2,0)"),"ONIX570")</f>
        <v>ONIX570</v>
      </c>
      <c r="B102" s="5" t="str">
        <f>IFERROR(__xludf.DUMMYFUNCTION("""COMPUTED_VALUE"""),"Apurva Doshi")</f>
        <v>Apurva Doshi</v>
      </c>
      <c r="C102" s="5" t="str">
        <f>IFERROR(__xludf.DUMMYFUNCTION("""COMPUTED_VALUE"""),"apurva.doshi@onixnet.com")</f>
        <v>apurva.doshi@onixnet.com</v>
      </c>
      <c r="D102" s="4" t="s">
        <v>11</v>
      </c>
      <c r="E102" s="6" t="str">
        <f>IFERROR(__xludf.DUMMYFUNCTION("vlookup($A102,importrange(""1fyGnaViAX9kns28pvsfPvI9925sAI7kxPlM7jpuHVJM"",""Validation!A:Z""),11,0)"),"Services")</f>
        <v>Services</v>
      </c>
      <c r="F102" s="6" t="str">
        <f>IFERROR(__xludf.DUMMYFUNCTION("vlookup($A102,importrange(""1fyGnaViAX9kns28pvsfPvI9925sAI7kxPlM7jpuHVJM"",""Validation!A:Z""),23,0)"),"Anurag Mynam")</f>
        <v>Anurag Mynam</v>
      </c>
      <c r="G102" s="6" t="str">
        <f>IFERROR(__xludf.DUMMYFUNCTION("vlookup(A102,importrange(""1fyGnaViAX9kns28pvsfPvI9925sAI7kxPlM7jpuHVJM"",""Validation!A:Z""),22,0)"),"Portfolio - Thomas (AI)")</f>
        <v>Portfolio - Thomas (AI)</v>
      </c>
      <c r="H102" s="4" t="str">
        <f>IFERROR(__xludf.DUMMYFUNCTION("vlookup(C102,importrange(""1kw74ismGU34AsZ5x-W4x7F3Zt2xc8NSYcCVMrCJBmdQ"",""DRP for 8 products!B:C""),2,0)"),"ONIADPHW2")</f>
        <v>ONIADPHW2</v>
      </c>
      <c r="I102" s="7">
        <f>IFERROR(__xludf.DUMMYFUNCTION("vlookup(C102,importrange(""1kw74ismGU34AsZ5x-W4x7F3Zt2xc8NSYcCVMrCJBmdQ"",""DRP for 8 products!B:E""),4,0)"),14.0)</f>
        <v>14</v>
      </c>
      <c r="J102" s="8" t="str">
        <f t="shared" si="1"/>
        <v>Tier 4</v>
      </c>
      <c r="K102" s="9" t="str">
        <f t="shared" si="2"/>
        <v>Active</v>
      </c>
      <c r="L102" s="4" t="str">
        <f>IFERROR(__xludf.DUMMYFUNCTION("vlookup(C102,importrange(""1kw74ismGU34AsZ5x-W4x7F3Zt2xc8NSYcCVMrCJBmdQ"",""DRP for 8 products!B:H""),6,0)"),"BigQuery")</f>
        <v>BigQuery</v>
      </c>
      <c r="M102" s="10" t="str">
        <f t="shared" si="3"/>
        <v>Yes</v>
      </c>
    </row>
    <row r="103">
      <c r="A103" s="4" t="str">
        <f>IFERROR(__xludf.DUMMYFUNCTION("vlookup(C103,IMPORTRANGE(""1Kgoo8qyo6zMtf_5B03ksZz228jg0XpZ4_KXsdHQ4Vks"",""14 Sept!A:B""),2,0)"),"ONIX520")</f>
        <v>ONIX520</v>
      </c>
      <c r="B103" s="5" t="str">
        <f>IFERROR(__xludf.DUMMYFUNCTION("""COMPUTED_VALUE"""),"Vasanth Mohan")</f>
        <v>Vasanth Mohan</v>
      </c>
      <c r="C103" s="5" t="str">
        <f>IFERROR(__xludf.DUMMYFUNCTION("""COMPUTED_VALUE"""),"vasanth.mohan@onixnet.com")</f>
        <v>vasanth.mohan@onixnet.com</v>
      </c>
      <c r="D103" s="4" t="s">
        <v>11</v>
      </c>
      <c r="E103" s="6" t="str">
        <f>IFERROR(__xludf.DUMMYFUNCTION("vlookup($A103,importrange(""1fyGnaViAX9kns28pvsfPvI9925sAI7kxPlM7jpuHVJM"",""Validation!A:Z""),11,0)"),"Services")</f>
        <v>Services</v>
      </c>
      <c r="F103" s="6" t="str">
        <f>IFERROR(__xludf.DUMMYFUNCTION("vlookup($A103,importrange(""1fyGnaViAX9kns28pvsfPvI9925sAI7kxPlM7jpuHVJM"",""Validation!A:Z""),23,0)"),"Courtney Cline")</f>
        <v>Courtney Cline</v>
      </c>
      <c r="G103" s="6" t="str">
        <f>IFERROR(__xludf.DUMMYFUNCTION("vlookup(A103,importrange(""1fyGnaViAX9kns28pvsfPvI9925sAI7kxPlM7jpuHVJM"",""Validation!A:Z""),22,0)"),"Portfolio - Courtney (US East)")</f>
        <v>Portfolio - Courtney (US East)</v>
      </c>
      <c r="H103" s="4" t="str">
        <f>IFERROR(__xludf.DUMMYFUNCTION("vlookup(C103,importrange(""1kw74ismGU34AsZ5x-W4x7F3Zt2xc8NSYcCVMrCJBmdQ"",""DRP for 8 products!B:C""),2,0)"),"ONIVMDRV8")</f>
        <v>ONIVMDRV8</v>
      </c>
      <c r="I103" s="7">
        <f>IFERROR(__xludf.DUMMYFUNCTION("vlookup(C103,importrange(""1kw74ismGU34AsZ5x-W4x7F3Zt2xc8NSYcCVMrCJBmdQ"",""DRP for 8 products!B:E""),4,0)"),9.0)</f>
        <v>9</v>
      </c>
      <c r="J103" s="8" t="str">
        <f t="shared" si="1"/>
        <v>Tier 4</v>
      </c>
      <c r="K103" s="9" t="str">
        <f t="shared" si="2"/>
        <v>Active</v>
      </c>
      <c r="L103" s="4" t="str">
        <f>IFERROR(__xludf.DUMMYFUNCTION("vlookup(C103,importrange(""1kw74ismGU34AsZ5x-W4x7F3Zt2xc8NSYcCVMrCJBmdQ"",""DRP for 8 products!B:H""),6,0)"),"BigQuery")</f>
        <v>BigQuery</v>
      </c>
      <c r="M103" s="10" t="str">
        <f t="shared" si="3"/>
        <v>Yes</v>
      </c>
    </row>
    <row r="104">
      <c r="A104" s="4" t="str">
        <f>IFERROR(__xludf.DUMMYFUNCTION("vlookup(C104,IMPORTRANGE(""1Kgoo8qyo6zMtf_5B03ksZz228jg0XpZ4_KXsdHQ4Vks"",""14 Sept!A:B""),2,0)"),"DME2462")</f>
        <v>DME2462</v>
      </c>
      <c r="B104" s="5" t="str">
        <f>IFERROR(__xludf.DUMMYFUNCTION("""COMPUTED_VALUE"""),"Veerabathiran Thottaiyan")</f>
        <v>Veerabathiran Thottaiyan</v>
      </c>
      <c r="C104" s="5" t="str">
        <f>IFERROR(__xludf.DUMMYFUNCTION("""COMPUTED_VALUE"""),"veerabathiran.t@onixnet.com")</f>
        <v>veerabathiran.t@onixnet.com</v>
      </c>
      <c r="D104" s="4" t="s">
        <v>11</v>
      </c>
      <c r="E104" s="6" t="str">
        <f>IFERROR(__xludf.DUMMYFUNCTION("vlookup($A104,importrange(""1fyGnaViAX9kns28pvsfPvI9925sAI7kxPlM7jpuHVJM"",""Validation!A:Z""),11,0)"),"Delivery Services")</f>
        <v>Delivery Services</v>
      </c>
      <c r="F104" s="6" t="str">
        <f>IFERROR(__xludf.DUMMYFUNCTION("vlookup($A104,importrange(""1fyGnaViAX9kns28pvsfPvI9925sAI7kxPlM7jpuHVJM"",""Validation!A:Z""),23,0)"),"Vedant Bhogawade")</f>
        <v>Vedant Bhogawade</v>
      </c>
      <c r="G104" s="6" t="str">
        <f>IFERROR(__xludf.DUMMYFUNCTION("vlookup(A104,importrange(""1fyGnaViAX9kns28pvsfPvI9925sAI7kxPlM7jpuHVJM"",""Validation!A:Z""),22,0)"),"Cluster - Varun")</f>
        <v>Cluster - Varun</v>
      </c>
      <c r="H104" s="4" t="str">
        <f>IFERROR(__xludf.DUMMYFUNCTION("vlookup(C104,importrange(""1kw74ismGU34AsZ5x-W4x7F3Zt2xc8NSYcCVMrCJBmdQ"",""DRP for 8 products!B:C""),2,0)"),"DATVTUUG6")</f>
        <v>DATVTUUG6</v>
      </c>
      <c r="I104" s="7">
        <f>IFERROR(__xludf.DUMMYFUNCTION("vlookup(C104,importrange(""1kw74ismGU34AsZ5x-W4x7F3Zt2xc8NSYcCVMrCJBmdQ"",""DRP for 8 products!B:E""),4,0)"),63.0)</f>
        <v>63</v>
      </c>
      <c r="J104" s="8" t="str">
        <f t="shared" si="1"/>
        <v>Tier 1</v>
      </c>
      <c r="K104" s="9" t="str">
        <f t="shared" si="2"/>
        <v>Active</v>
      </c>
      <c r="L104" s="4" t="str">
        <f>IFERROR(__xludf.DUMMYFUNCTION("vlookup(C104,importrange(""1kw74ismGU34AsZ5x-W4x7F3Zt2xc8NSYcCVMrCJBmdQ"",""DRP for 8 products!B:H""),6,0)"),"BigQuery")</f>
        <v>BigQuery</v>
      </c>
      <c r="M104" s="10" t="str">
        <f t="shared" si="3"/>
        <v>Yes</v>
      </c>
    </row>
    <row r="105">
      <c r="A105" s="4" t="str">
        <f>IFERROR(__xludf.DUMMYFUNCTION("vlookup(C105,IMPORTRANGE(""1Kgoo8qyo6zMtf_5B03ksZz228jg0XpZ4_KXsdHQ4Vks"",""14 Sept!A:B""),2,0)"),"ONIX794")</f>
        <v>ONIX794</v>
      </c>
      <c r="B105" s="5" t="str">
        <f>IFERROR(__xludf.DUMMYFUNCTION("""COMPUTED_VALUE"""),"Malavika Santhosh")</f>
        <v>Malavika Santhosh</v>
      </c>
      <c r="C105" s="5" t="str">
        <f>IFERROR(__xludf.DUMMYFUNCTION("""COMPUTED_VALUE"""),"malavika.santhosh@onixnet.com")</f>
        <v>malavika.santhosh@onixnet.com</v>
      </c>
      <c r="D105" s="4" t="s">
        <v>11</v>
      </c>
      <c r="E105" s="6" t="str">
        <f>IFERROR(__xludf.DUMMYFUNCTION("vlookup($A105,importrange(""1fyGnaViAX9kns28pvsfPvI9925sAI7kxPlM7jpuHVJM"",""Validation!A:Z""),11,0)"),"Delivery")</f>
        <v>Delivery</v>
      </c>
      <c r="F105" s="6" t="str">
        <f>IFERROR(__xludf.DUMMYFUNCTION("vlookup($A105,importrange(""1fyGnaViAX9kns28pvsfPvI9925sAI7kxPlM7jpuHVJM"",""Validation!A:Z""),23,0)"),"Bob Cielenski")</f>
        <v>Bob Cielenski</v>
      </c>
      <c r="G105" s="6" t="str">
        <f>IFERROR(__xludf.DUMMYFUNCTION("vlookup(A105,importrange(""1fyGnaViAX9kns28pvsfPvI9925sAI7kxPlM7jpuHVJM"",""Validation!A:Z""),22,0)"),"Portfolio - Rick")</f>
        <v>Portfolio - Rick</v>
      </c>
      <c r="H105" s="4" t="str">
        <f>IFERROR(__xludf.DUMMYFUNCTION("vlookup(C105,importrange(""1kw74ismGU34AsZ5x-W4x7F3Zt2xc8NSYcCVMrCJBmdQ"",""DRP for 8 products!B:C""),2,0)"),"UJEMSXHT7")</f>
        <v>UJEMSXHT7</v>
      </c>
      <c r="I105" s="7">
        <f>IFERROR(__xludf.DUMMYFUNCTION("vlookup(C105,importrange(""1kw74ismGU34AsZ5x-W4x7F3Zt2xc8NSYcCVMrCJBmdQ"",""DRP for 8 products!B:E""),4,0)"),11.0)</f>
        <v>11</v>
      </c>
      <c r="J105" s="8" t="str">
        <f t="shared" si="1"/>
        <v>Tier 4</v>
      </c>
      <c r="K105" s="9" t="str">
        <f t="shared" si="2"/>
        <v>Active</v>
      </c>
      <c r="L105" s="4" t="str">
        <f>IFERROR(__xludf.DUMMYFUNCTION("vlookup(C105,importrange(""1kw74ismGU34AsZ5x-W4x7F3Zt2xc8NSYcCVMrCJBmdQ"",""DRP for 8 products!B:H""),6,0)"),"Looker")</f>
        <v>Looker</v>
      </c>
      <c r="M105" s="10" t="str">
        <f t="shared" si="3"/>
        <v>Yes</v>
      </c>
    </row>
    <row r="106">
      <c r="A106" s="4" t="str">
        <f>IFERROR(__xludf.DUMMYFUNCTION("vlookup(C106,IMPORTRANGE(""1Kgoo8qyo6zMtf_5B03ksZz228jg0XpZ4_KXsdHQ4Vks"",""14 Sept!A:B""),2,0)"),"DMUK0006")</f>
        <v>DMUK0006</v>
      </c>
      <c r="B106" s="5" t="str">
        <f>IFERROR(__xludf.DUMMYFUNCTION("""COMPUTED_VALUE"""),"Sivaprasad M")</f>
        <v>Sivaprasad M</v>
      </c>
      <c r="C106" s="5" t="str">
        <f>IFERROR(__xludf.DUMMYFUNCTION("""COMPUTED_VALUE"""),"sivaprasad.m@onixnet.com")</f>
        <v>sivaprasad.m@onixnet.com</v>
      </c>
      <c r="D106" s="4" t="s">
        <v>11</v>
      </c>
      <c r="E106" s="6" t="str">
        <f>IFERROR(__xludf.DUMMYFUNCTION("vlookup($A106,importrange(""1fyGnaViAX9kns28pvsfPvI9925sAI7kxPlM7jpuHVJM"",""Validation!A:Z""),11,0)"),"Delivery Services")</f>
        <v>Delivery Services</v>
      </c>
      <c r="F106" s="6" t="str">
        <f>IFERROR(__xludf.DUMMYFUNCTION("vlookup($A106,importrange(""1fyGnaViAX9kns28pvsfPvI9925sAI7kxPlM7jpuHVJM"",""Validation!A:Z""),23,0)"),"Vrushali Srivastava")</f>
        <v>Vrushali Srivastava</v>
      </c>
      <c r="G106" s="6" t="str">
        <f>IFERROR(__xludf.DUMMYFUNCTION("vlookup(A106,importrange(""1fyGnaViAX9kns28pvsfPvI9925sAI7kxPlM7jpuHVJM"",""Validation!A:Z""),22,0)"),"Portfolio - Rajesh")</f>
        <v>Portfolio - Rajesh</v>
      </c>
      <c r="H106" s="4" t="str">
        <f>IFERROR(__xludf.DUMMYFUNCTION("vlookup(C106,importrange(""1kw74ismGU34AsZ5x-W4x7F3Zt2xc8NSYcCVMrCJBmdQ"",""DRP for 8 products!B:C""),2,0)"),"DATSMEYZ1")</f>
        <v>DATSMEYZ1</v>
      </c>
      <c r="I106" s="7">
        <f>IFERROR(__xludf.DUMMYFUNCTION("vlookup(C106,importrange(""1kw74ismGU34AsZ5x-W4x7F3Zt2xc8NSYcCVMrCJBmdQ"",""DRP for 8 products!B:E""),4,0)"),9.0)</f>
        <v>9</v>
      </c>
      <c r="J106" s="8" t="str">
        <f t="shared" si="1"/>
        <v>Tier 4</v>
      </c>
      <c r="K106" s="9" t="str">
        <f t="shared" si="2"/>
        <v>Active</v>
      </c>
      <c r="L106" s="4" t="str">
        <f>IFERROR(__xludf.DUMMYFUNCTION("vlookup(C106,importrange(""1kw74ismGU34AsZ5x-W4x7F3Zt2xc8NSYcCVMrCJBmdQ"",""DRP for 8 products!B:H""),6,0)"),"BigQuery")</f>
        <v>BigQuery</v>
      </c>
      <c r="M106" s="10" t="str">
        <f t="shared" si="3"/>
        <v>Yes</v>
      </c>
    </row>
    <row r="107">
      <c r="A107" s="4" t="str">
        <f>IFERROR(__xludf.DUMMYFUNCTION("vlookup(C107,IMPORTRANGE(""1Kgoo8qyo6zMtf_5B03ksZz228jg0XpZ4_KXsdHQ4Vks"",""14 Sept!A:B""),2,0)"),"ONIX582")</f>
        <v>ONIX582</v>
      </c>
      <c r="B107" s="5" t="str">
        <f>IFERROR(__xludf.DUMMYFUNCTION("""COMPUTED_VALUE"""),"Aniket Nichat")</f>
        <v>Aniket Nichat</v>
      </c>
      <c r="C107" s="5" t="str">
        <f>IFERROR(__xludf.DUMMYFUNCTION("""COMPUTED_VALUE"""),"aniket.nichat@onixnet.com")</f>
        <v>aniket.nichat@onixnet.com</v>
      </c>
      <c r="D107" s="4" t="s">
        <v>11</v>
      </c>
      <c r="E107" s="6" t="str">
        <f>IFERROR(__xludf.DUMMYFUNCTION("vlookup($A107,importrange(""1fyGnaViAX9kns28pvsfPvI9925sAI7kxPlM7jpuHVJM"",""Validation!A:Z""),11,0)"),"Services")</f>
        <v>Services</v>
      </c>
      <c r="F107" s="6" t="str">
        <f>IFERROR(__xludf.DUMMYFUNCTION("vlookup($A107,importrange(""1fyGnaViAX9kns28pvsfPvI9925sAI7kxPlM7jpuHVJM"",""Validation!A:Z""),23,0)"),"Venkat Srinivasan")</f>
        <v>Venkat Srinivasan</v>
      </c>
      <c r="G107" s="6" t="str">
        <f>IFERROR(__xludf.DUMMYFUNCTION("vlookup(A107,importrange(""1fyGnaViAX9kns28pvsfPvI9925sAI7kxPlM7jpuHVJM"",""Validation!A:Z""),22,0)"),"Portfolio - Rajesh")</f>
        <v>Portfolio - Rajesh</v>
      </c>
      <c r="H107" s="4" t="str">
        <f>IFERROR(__xludf.DUMMYFUNCTION("vlookup(C107,importrange(""1kw74ismGU34AsZ5x-W4x7F3Zt2xc8NSYcCVMrCJBmdQ"",""DRP for 8 products!B:C""),2,0)"),"ONIANOJJ5")</f>
        <v>ONIANOJJ5</v>
      </c>
      <c r="I107" s="7">
        <f>IFERROR(__xludf.DUMMYFUNCTION("vlookup(C107,importrange(""1kw74ismGU34AsZ5x-W4x7F3Zt2xc8NSYcCVMrCJBmdQ"",""DRP for 8 products!B:E""),4,0)"),58.0)</f>
        <v>58</v>
      </c>
      <c r="J107" s="8" t="str">
        <f t="shared" si="1"/>
        <v>Tier 1</v>
      </c>
      <c r="K107" s="9" t="str">
        <f t="shared" si="2"/>
        <v>Active</v>
      </c>
      <c r="L107" s="4" t="str">
        <f>IFERROR(__xludf.DUMMYFUNCTION("vlookup(C107,importrange(""1kw74ismGU34AsZ5x-W4x7F3Zt2xc8NSYcCVMrCJBmdQ"",""DRP for 8 products!B:H""),6,0)"),"Dataflow")</f>
        <v>Dataflow</v>
      </c>
      <c r="M107" s="10" t="str">
        <f t="shared" si="3"/>
        <v>Yes</v>
      </c>
    </row>
    <row r="108">
      <c r="A108" s="4" t="str">
        <f>IFERROR(__xludf.DUMMYFUNCTION("vlookup(C108,IMPORTRANGE(""1Kgoo8qyo6zMtf_5B03ksZz228jg0XpZ4_KXsdHQ4Vks"",""14 Sept!A:B""),2,0)"),"DMSI0109")</f>
        <v>DMSI0109</v>
      </c>
      <c r="B108" s="5" t="str">
        <f>IFERROR(__xludf.DUMMYFUNCTION("""COMPUTED_VALUE"""),"Sujay Patil")</f>
        <v>Sujay Patil</v>
      </c>
      <c r="C108" s="5" t="str">
        <f>IFERROR(__xludf.DUMMYFUNCTION("""COMPUTED_VALUE"""),"sujay.patil@onixnet.com")</f>
        <v>sujay.patil@onixnet.com</v>
      </c>
      <c r="D108" s="4" t="s">
        <v>11</v>
      </c>
      <c r="E108" s="6" t="str">
        <f>IFERROR(__xludf.DUMMYFUNCTION("vlookup($A108,importrange(""1fyGnaViAX9kns28pvsfPvI9925sAI7kxPlM7jpuHVJM"",""Validation!A:Z""),11,0)"),"Services")</f>
        <v>Services</v>
      </c>
      <c r="F108" s="6" t="str">
        <f>IFERROR(__xludf.DUMMYFUNCTION("vlookup($A108,importrange(""1fyGnaViAX9kns28pvsfPvI9925sAI7kxPlM7jpuHVJM"",""Validation!A:Z""),23,0)"),"Venkat Srinivasan")</f>
        <v>Venkat Srinivasan</v>
      </c>
      <c r="G108" s="6" t="str">
        <f>IFERROR(__xludf.DUMMYFUNCTION("vlookup(A108,importrange(""1fyGnaViAX9kns28pvsfPvI9925sAI7kxPlM7jpuHVJM"",""Validation!A:Z""),22,0)"),"Portfolio - Rajesh")</f>
        <v>Portfolio - Rajesh</v>
      </c>
      <c r="H108" s="4" t="str">
        <f>IFERROR(__xludf.DUMMYFUNCTION("vlookup(C108,importrange(""1kw74ismGU34AsZ5x-W4x7F3Zt2xc8NSYcCVMrCJBmdQ"",""DRP for 8 products!B:C""),2,0)"),"ONISPJIN9")</f>
        <v>ONISPJIN9</v>
      </c>
      <c r="I108" s="7">
        <f>IFERROR(__xludf.DUMMYFUNCTION("vlookup(C108,importrange(""1kw74ismGU34AsZ5x-W4x7F3Zt2xc8NSYcCVMrCJBmdQ"",""DRP for 8 products!B:E""),4,0)"),64.0)</f>
        <v>64</v>
      </c>
      <c r="J108" s="8" t="str">
        <f t="shared" si="1"/>
        <v>Tier 1</v>
      </c>
      <c r="K108" s="9" t="str">
        <f t="shared" si="2"/>
        <v>Active</v>
      </c>
      <c r="L108" s="4" t="str">
        <f>IFERROR(__xludf.DUMMYFUNCTION("vlookup(C108,importrange(""1kw74ismGU34AsZ5x-W4x7F3Zt2xc8NSYcCVMrCJBmdQ"",""DRP for 8 products!B:H""),6,0)"),"BigQuery")</f>
        <v>BigQuery</v>
      </c>
      <c r="M108" s="10" t="str">
        <f t="shared" si="3"/>
        <v>Yes</v>
      </c>
    </row>
    <row r="109">
      <c r="A109" s="4" t="str">
        <f>IFERROR(__xludf.DUMMYFUNCTION("vlookup(C109,IMPORTRANGE(""1Kgoo8qyo6zMtf_5B03ksZz228jg0XpZ4_KXsdHQ4Vks"",""14 Sept!A:B""),2,0)"),"DMSI0105")</f>
        <v>DMSI0105</v>
      </c>
      <c r="B109" s="5" t="str">
        <f>IFERROR(__xludf.DUMMYFUNCTION("""COMPUTED_VALUE"""),"Tanush Singh")</f>
        <v>Tanush Singh</v>
      </c>
      <c r="C109" s="5" t="str">
        <f>IFERROR(__xludf.DUMMYFUNCTION("""COMPUTED_VALUE"""),"tanush.singh@onixnet.com")</f>
        <v>tanush.singh@onixnet.com</v>
      </c>
      <c r="D109" s="4" t="s">
        <v>11</v>
      </c>
      <c r="E109" s="6" t="str">
        <f>IFERROR(__xludf.DUMMYFUNCTION("vlookup($A109,importrange(""1fyGnaViAX9kns28pvsfPvI9925sAI7kxPlM7jpuHVJM"",""Validation!A:Z""),11,0)"),"Services")</f>
        <v>Services</v>
      </c>
      <c r="F109" s="6" t="str">
        <f>IFERROR(__xludf.DUMMYFUNCTION("vlookup($A109,importrange(""1fyGnaViAX9kns28pvsfPvI9925sAI7kxPlM7jpuHVJM"",""Validation!A:Z""),23,0)"),"Venkat Srinivasan")</f>
        <v>Venkat Srinivasan</v>
      </c>
      <c r="G109" s="6" t="str">
        <f>IFERROR(__xludf.DUMMYFUNCTION("vlookup(A109,importrange(""1fyGnaViAX9kns28pvsfPvI9925sAI7kxPlM7jpuHVJM"",""Validation!A:Z""),22,0)"),"Portfolio - Rajesh")</f>
        <v>Portfolio - Rajesh</v>
      </c>
      <c r="H109" s="4" t="str">
        <f>IFERROR(__xludf.DUMMYFUNCTION("vlookup(C109,importrange(""1kw74ismGU34AsZ5x-W4x7F3Zt2xc8NSYcCVMrCJBmdQ"",""DRP for 8 products!B:C""),2,0)"),"ONITSEAW4")</f>
        <v>ONITSEAW4</v>
      </c>
      <c r="I109" s="7">
        <f>IFERROR(__xludf.DUMMYFUNCTION("vlookup(C109,importrange(""1kw74ismGU34AsZ5x-W4x7F3Zt2xc8NSYcCVMrCJBmdQ"",""DRP for 8 products!B:E""),4,0)"),55.0)</f>
        <v>55</v>
      </c>
      <c r="J109" s="8" t="str">
        <f t="shared" si="1"/>
        <v>Tier 1</v>
      </c>
      <c r="K109" s="9" t="str">
        <f t="shared" si="2"/>
        <v>Active</v>
      </c>
      <c r="L109" s="4" t="str">
        <f>IFERROR(__xludf.DUMMYFUNCTION("vlookup(C109,importrange(""1kw74ismGU34AsZ5x-W4x7F3Zt2xc8NSYcCVMrCJBmdQ"",""DRP for 8 products!B:H""),6,0)"),"BigQuery")</f>
        <v>BigQuery</v>
      </c>
      <c r="M109" s="10" t="str">
        <f t="shared" si="3"/>
        <v>Yes</v>
      </c>
    </row>
    <row r="110">
      <c r="A110" s="4" t="str">
        <f>IFERROR(__xludf.DUMMYFUNCTION("vlookup(C110,IMPORTRANGE(""1Kgoo8qyo6zMtf_5B03ksZz228jg0XpZ4_KXsdHQ4Vks"",""14 Sept!A:B""),2,0)"),"DME2931")</f>
        <v>DME2931</v>
      </c>
      <c r="B110" s="5" t="str">
        <f>IFERROR(__xludf.DUMMYFUNCTION("""COMPUTED_VALUE"""),"Ravindra Pujari")</f>
        <v>Ravindra Pujari</v>
      </c>
      <c r="C110" s="5" t="str">
        <f>IFERROR(__xludf.DUMMYFUNCTION("""COMPUTED_VALUE"""),"ravindra.pujari@onixnet.com")</f>
        <v>ravindra.pujari@onixnet.com</v>
      </c>
      <c r="D110" s="4" t="s">
        <v>11</v>
      </c>
      <c r="E110" s="6" t="str">
        <f>IFERROR(__xludf.DUMMYFUNCTION("vlookup($A110,importrange(""1fyGnaViAX9kns28pvsfPvI9925sAI7kxPlM7jpuHVJM"",""Validation!A:Z""),11,0)"),"Delivery Services")</f>
        <v>Delivery Services</v>
      </c>
      <c r="F110" s="6" t="str">
        <f>IFERROR(__xludf.DUMMYFUNCTION("vlookup($A110,importrange(""1fyGnaViAX9kns28pvsfPvI9925sAI7kxPlM7jpuHVJM"",""Validation!A:Z""),23,0)"),"Rahul Gupta")</f>
        <v>Rahul Gupta</v>
      </c>
      <c r="G110" s="6" t="str">
        <f>IFERROR(__xludf.DUMMYFUNCTION("vlookup(A110,importrange(""1fyGnaViAX9kns28pvsfPvI9925sAI7kxPlM7jpuHVJM"",""Validation!A:Z""),22,0)"),"Cluster - Sachin")</f>
        <v>Cluster - Sachin</v>
      </c>
      <c r="H110" s="4" t="str">
        <f>IFERROR(__xludf.DUMMYFUNCTION("vlookup(C110,importrange(""1kw74ismGU34AsZ5x-W4x7F3Zt2xc8NSYcCVMrCJBmdQ"",""DRP for 8 products!B:C""),2,0)"),"ONIRPPCB6")</f>
        <v>ONIRPPCB6</v>
      </c>
      <c r="I110" s="7">
        <f>IFERROR(__xludf.DUMMYFUNCTION("vlookup(C110,importrange(""1kw74ismGU34AsZ5x-W4x7F3Zt2xc8NSYcCVMrCJBmdQ"",""DRP for 8 products!B:E""),4,0)"),64.0)</f>
        <v>64</v>
      </c>
      <c r="J110" s="8" t="str">
        <f t="shared" si="1"/>
        <v>Tier 1</v>
      </c>
      <c r="K110" s="9" t="str">
        <f t="shared" si="2"/>
        <v>Active</v>
      </c>
      <c r="L110" s="4" t="str">
        <f>IFERROR(__xludf.DUMMYFUNCTION("vlookup(C110,importrange(""1kw74ismGU34AsZ5x-W4x7F3Zt2xc8NSYcCVMrCJBmdQ"",""DRP for 8 products!B:H""),6,0)"),"BigQuery")</f>
        <v>BigQuery</v>
      </c>
      <c r="M110" s="10" t="str">
        <f t="shared" si="3"/>
        <v>Yes</v>
      </c>
    </row>
    <row r="111">
      <c r="A111" s="4" t="str">
        <f>IFERROR(__xludf.DUMMYFUNCTION("vlookup(C111,IMPORTRANGE(""1Kgoo8qyo6zMtf_5B03ksZz228jg0XpZ4_KXsdHQ4Vks"",""14 Sept!A:B""),2,0)"),"DME2011")</f>
        <v>DME2011</v>
      </c>
      <c r="B111" s="5" t="str">
        <f>IFERROR(__xludf.DUMMYFUNCTION("""COMPUTED_VALUE"""),"Atharva Wankhede")</f>
        <v>Atharva Wankhede</v>
      </c>
      <c r="C111" s="5" t="str">
        <f>IFERROR(__xludf.DUMMYFUNCTION("""COMPUTED_VALUE"""),"atharva.wankhede@onixnet.com")</f>
        <v>atharva.wankhede@onixnet.com</v>
      </c>
      <c r="D111" s="4" t="s">
        <v>11</v>
      </c>
      <c r="E111" s="6" t="str">
        <f>IFERROR(__xludf.DUMMYFUNCTION("vlookup($A111,importrange(""1fyGnaViAX9kns28pvsfPvI9925sAI7kxPlM7jpuHVJM"",""Validation!A:Z""),11,0)"),"Delivery Services")</f>
        <v>Delivery Services</v>
      </c>
      <c r="F111" s="6" t="str">
        <f>IFERROR(__xludf.DUMMYFUNCTION("vlookup($A111,importrange(""1fyGnaViAX9kns28pvsfPvI9925sAI7kxPlM7jpuHVJM"",""Validation!A:Z""),23,0)"),"Javed Ansari")</f>
        <v>Javed Ansari</v>
      </c>
      <c r="G111" s="6" t="str">
        <f>IFERROR(__xludf.DUMMYFUNCTION("vlookup(A111,importrange(""1fyGnaViAX9kns28pvsfPvI9925sAI7kxPlM7jpuHVJM"",""Validation!A:Z""),22,0)"),"Cluster - Gaurav")</f>
        <v>Cluster - Gaurav</v>
      </c>
      <c r="H111" s="4" t="str">
        <f>IFERROR(__xludf.DUMMYFUNCTION("vlookup(C111,importrange(""1kw74ismGU34AsZ5x-W4x7F3Zt2xc8NSYcCVMrCJBmdQ"",""DRP for 8 products!B:C""),2,0)"),"ONIAWJAJ2")</f>
        <v>ONIAWJAJ2</v>
      </c>
      <c r="I111" s="7">
        <f>IFERROR(__xludf.DUMMYFUNCTION("vlookup(C111,importrange(""1kw74ismGU34AsZ5x-W4x7F3Zt2xc8NSYcCVMrCJBmdQ"",""DRP for 8 products!B:E""),4,0)"),23.0)</f>
        <v>23</v>
      </c>
      <c r="J111" s="8" t="str">
        <f t="shared" si="1"/>
        <v>Tier 3</v>
      </c>
      <c r="K111" s="9" t="str">
        <f t="shared" si="2"/>
        <v>Active</v>
      </c>
      <c r="L111" s="4" t="str">
        <f>IFERROR(__xludf.DUMMYFUNCTION("vlookup(C111,importrange(""1kw74ismGU34AsZ5x-W4x7F3Zt2xc8NSYcCVMrCJBmdQ"",""DRP for 8 products!B:H""),6,0)"),"Dataflow")</f>
        <v>Dataflow</v>
      </c>
      <c r="M111" s="10" t="str">
        <f t="shared" si="3"/>
        <v>Yes</v>
      </c>
    </row>
    <row r="112">
      <c r="A112" s="4" t="str">
        <f>IFERROR(__xludf.DUMMYFUNCTION("vlookup(C112,IMPORTRANGE(""1Kgoo8qyo6zMtf_5B03ksZz228jg0XpZ4_KXsdHQ4Vks"",""14 Sept!A:B""),2,0)"),"DME0157")</f>
        <v>DME0157</v>
      </c>
      <c r="B112" s="5" t="str">
        <f>IFERROR(__xludf.DUMMYFUNCTION("""COMPUTED_VALUE"""),"Prasad Kulkarni")</f>
        <v>Prasad Kulkarni</v>
      </c>
      <c r="C112" s="5" t="str">
        <f>IFERROR(__xludf.DUMMYFUNCTION("""COMPUTED_VALUE"""),"prasad.kulkarni@onixnet.com")</f>
        <v>prasad.kulkarni@onixnet.com</v>
      </c>
      <c r="D112" s="4" t="s">
        <v>11</v>
      </c>
      <c r="E112" s="6" t="str">
        <f>IFERROR(__xludf.DUMMYFUNCTION("vlookup($A112,importrange(""1fyGnaViAX9kns28pvsfPvI9925sAI7kxPlM7jpuHVJM"",""Validation!A:Z""),11,0)"),"Delivery Services")</f>
        <v>Delivery Services</v>
      </c>
      <c r="F112" s="6" t="str">
        <f>IFERROR(__xludf.DUMMYFUNCTION("vlookup($A112,importrange(""1fyGnaViAX9kns28pvsfPvI9925sAI7kxPlM7jpuHVJM"",""Validation!A:Z""),23,0)"),"Sagar Surana")</f>
        <v>Sagar Surana</v>
      </c>
      <c r="G112" s="6" t="str">
        <f>IFERROR(__xludf.DUMMYFUNCTION("vlookup(A112,importrange(""1fyGnaViAX9kns28pvsfPvI9925sAI7kxPlM7jpuHVJM"",""Validation!A:Z""),22,0)"),"Cluster - Sagar")</f>
        <v>Cluster - Sagar</v>
      </c>
      <c r="H112" s="4" t="str">
        <f>IFERROR(__xludf.DUMMYFUNCTION("vlookup(C112,importrange(""1kw74ismGU34AsZ5x-W4x7F3Zt2xc8NSYcCVMrCJBmdQ"",""DRP for 8 products!B:C""),2,0)"),"ONIPKGFC1")</f>
        <v>ONIPKGFC1</v>
      </c>
      <c r="I112" s="7">
        <f>IFERROR(__xludf.DUMMYFUNCTION("vlookup(C112,importrange(""1kw74ismGU34AsZ5x-W4x7F3Zt2xc8NSYcCVMrCJBmdQ"",""DRP for 8 products!B:E""),4,0)"),55.0)</f>
        <v>55</v>
      </c>
      <c r="J112" s="8" t="str">
        <f t="shared" si="1"/>
        <v>Tier 1</v>
      </c>
      <c r="K112" s="9" t="str">
        <f t="shared" si="2"/>
        <v>Active</v>
      </c>
      <c r="L112" s="4" t="str">
        <f>IFERROR(__xludf.DUMMYFUNCTION("vlookup(C112,importrange(""1kw74ismGU34AsZ5x-W4x7F3Zt2xc8NSYcCVMrCJBmdQ"",""DRP for 8 products!B:H""),6,0)"),"BigQuery")</f>
        <v>BigQuery</v>
      </c>
      <c r="M112" s="10" t="str">
        <f t="shared" si="3"/>
        <v>Yes</v>
      </c>
    </row>
    <row r="113">
      <c r="A113" s="4" t="str">
        <f>IFERROR(__xludf.DUMMYFUNCTION("vlookup(C113,IMPORTRANGE(""1Kgoo8qyo6zMtf_5B03ksZz228jg0XpZ4_KXsdHQ4Vks"",""14 Sept!A:B""),2,0)"),"DME1703")</f>
        <v>DME1703</v>
      </c>
      <c r="B113" s="5" t="str">
        <f>IFERROR(__xludf.DUMMYFUNCTION("""COMPUTED_VALUE"""),"Monika Mohite")</f>
        <v>Monika Mohite</v>
      </c>
      <c r="C113" s="5" t="str">
        <f>IFERROR(__xludf.DUMMYFUNCTION("""COMPUTED_VALUE"""),"monika.mohite@onixnet.com")</f>
        <v>monika.mohite@onixnet.com</v>
      </c>
      <c r="D113" s="4" t="s">
        <v>11</v>
      </c>
      <c r="E113" s="6" t="str">
        <f>IFERROR(__xludf.DUMMYFUNCTION("vlookup($A113,importrange(""1fyGnaViAX9kns28pvsfPvI9925sAI7kxPlM7jpuHVJM"",""Validation!A:Z""),11,0)"),"Delivery Services")</f>
        <v>Delivery Services</v>
      </c>
      <c r="F113" s="6" t="str">
        <f>IFERROR(__xludf.DUMMYFUNCTION("vlookup($A113,importrange(""1fyGnaViAX9kns28pvsfPvI9925sAI7kxPlM7jpuHVJM"",""Validation!A:Z""),23,0)"),"Jitender Singh")</f>
        <v>Jitender Singh</v>
      </c>
      <c r="G113" s="6" t="str">
        <f>IFERROR(__xludf.DUMMYFUNCTION("vlookup(A113,importrange(""1fyGnaViAX9kns28pvsfPvI9925sAI7kxPlM7jpuHVJM"",""Validation!A:Z""),22,0)"),"Cluster - Gaurav")</f>
        <v>Cluster - Gaurav</v>
      </c>
      <c r="H113" s="4" t="str">
        <f>IFERROR(__xludf.DUMMYFUNCTION("vlookup(C113,importrange(""1kw74ismGU34AsZ5x-W4x7F3Zt2xc8NSYcCVMrCJBmdQ"",""DRP for 8 products!B:C""),2,0)"),"ONIMMYSF6")</f>
        <v>ONIMMYSF6</v>
      </c>
      <c r="I113" s="7">
        <f>IFERROR(__xludf.DUMMYFUNCTION("vlookup(C113,importrange(""1kw74ismGU34AsZ5x-W4x7F3Zt2xc8NSYcCVMrCJBmdQ"",""DRP for 8 products!B:E""),4,0)"),29.0)</f>
        <v>29</v>
      </c>
      <c r="J113" s="8" t="str">
        <f t="shared" si="1"/>
        <v>Tier 3</v>
      </c>
      <c r="K113" s="9" t="str">
        <f t="shared" si="2"/>
        <v>Active</v>
      </c>
      <c r="L113" s="4" t="str">
        <f>IFERROR(__xludf.DUMMYFUNCTION("vlookup(C113,importrange(""1kw74ismGU34AsZ5x-W4x7F3Zt2xc8NSYcCVMrCJBmdQ"",""DRP for 8 products!B:H""),6,0)"),"BigQuery")</f>
        <v>BigQuery</v>
      </c>
      <c r="M113" s="10" t="str">
        <f t="shared" si="3"/>
        <v>Yes</v>
      </c>
    </row>
    <row r="114">
      <c r="A114" s="4" t="str">
        <f>IFERROR(__xludf.DUMMYFUNCTION("vlookup(C114,IMPORTRANGE(""1Kgoo8qyo6zMtf_5B03ksZz228jg0XpZ4_KXsdHQ4Vks"",""14 Sept!A:B""),2,0)"),"DME0984")</f>
        <v>DME0984</v>
      </c>
      <c r="B114" s="5" t="str">
        <f>IFERROR(__xludf.DUMMYFUNCTION("""COMPUTED_VALUE"""),"Mayuri Thorat")</f>
        <v>Mayuri Thorat</v>
      </c>
      <c r="C114" s="5" t="str">
        <f>IFERROR(__xludf.DUMMYFUNCTION("""COMPUTED_VALUE"""),"mayuri.thorat@onixnet.com")</f>
        <v>mayuri.thorat@onixnet.com</v>
      </c>
      <c r="D114" s="4" t="s">
        <v>11</v>
      </c>
      <c r="E114" s="6" t="str">
        <f>IFERROR(__xludf.DUMMYFUNCTION("vlookup($A114,importrange(""1fyGnaViAX9kns28pvsfPvI9925sAI7kxPlM7jpuHVJM"",""Validation!A:Z""),11,0)"),"Delivery Services")</f>
        <v>Delivery Services</v>
      </c>
      <c r="F114" s="6" t="str">
        <f>IFERROR(__xludf.DUMMYFUNCTION("vlookup($A114,importrange(""1fyGnaViAX9kns28pvsfPvI9925sAI7kxPlM7jpuHVJM"",""Validation!A:Z""),23,0)"),"Vishal Khare")</f>
        <v>Vishal Khare</v>
      </c>
      <c r="G114" s="6" t="str">
        <f>IFERROR(__xludf.DUMMYFUNCTION("vlookup(A114,importrange(""1fyGnaViAX9kns28pvsfPvI9925sAI7kxPlM7jpuHVJM"",""Validation!A:Z""),22,0)"),"Cluster - Sagar")</f>
        <v>Cluster - Sagar</v>
      </c>
      <c r="H114" s="4" t="str">
        <f>IFERROR(__xludf.DUMMYFUNCTION("vlookup(C114,importrange(""1kw74ismGU34AsZ5x-W4x7F3Zt2xc8NSYcCVMrCJBmdQ"",""DRP for 8 products!B:C""),2,0)"),"ONIMTNVK9")</f>
        <v>ONIMTNVK9</v>
      </c>
      <c r="I114" s="7">
        <f>IFERROR(__xludf.DUMMYFUNCTION("vlookup(C114,importrange(""1kw74ismGU34AsZ5x-W4x7F3Zt2xc8NSYcCVMrCJBmdQ"",""DRP for 8 products!B:E""),4,0)"),7.0)</f>
        <v>7</v>
      </c>
      <c r="J114" s="8" t="str">
        <f t="shared" si="1"/>
        <v>Tier 4</v>
      </c>
      <c r="K114" s="9" t="str">
        <f t="shared" si="2"/>
        <v>Active</v>
      </c>
      <c r="L114" s="4" t="str">
        <f>IFERROR(__xludf.DUMMYFUNCTION("vlookup(C114,importrange(""1kw74ismGU34AsZ5x-W4x7F3Zt2xc8NSYcCVMrCJBmdQ"",""DRP for 8 products!B:H""),6,0)"),"BigQuery")</f>
        <v>BigQuery</v>
      </c>
      <c r="M114" s="10" t="str">
        <f t="shared" si="3"/>
        <v>Yes</v>
      </c>
    </row>
    <row r="115">
      <c r="A115" s="4" t="str">
        <f>IFERROR(__xludf.DUMMYFUNCTION("vlookup(C115,IMPORTRANGE(""1Kgoo8qyo6zMtf_5B03ksZz228jg0XpZ4_KXsdHQ4Vks"",""14 Sept!A:B""),2,0)"),"DME2485")</f>
        <v>DME2485</v>
      </c>
      <c r="B115" s="5" t="str">
        <f>IFERROR(__xludf.DUMMYFUNCTION("""COMPUTED_VALUE"""),"Ajay Patil")</f>
        <v>Ajay Patil</v>
      </c>
      <c r="C115" s="5" t="str">
        <f>IFERROR(__xludf.DUMMYFUNCTION("""COMPUTED_VALUE"""),"ajay.patil@onixnet.com")</f>
        <v>ajay.patil@onixnet.com</v>
      </c>
      <c r="D115" s="4" t="s">
        <v>11</v>
      </c>
      <c r="E115" s="6" t="str">
        <f>IFERROR(__xludf.DUMMYFUNCTION("vlookup($A115,importrange(""1fyGnaViAX9kns28pvsfPvI9925sAI7kxPlM7jpuHVJM"",""Validation!A:Z""),11,0)"),"Delivery Services")</f>
        <v>Delivery Services</v>
      </c>
      <c r="F115" s="6" t="str">
        <f>IFERROR(__xludf.DUMMYFUNCTION("vlookup($A115,importrange(""1fyGnaViAX9kns28pvsfPvI9925sAI7kxPlM7jpuHVJM"",""Validation!A:Z""),23,0)"),"Naman Jain")</f>
        <v>Naman Jain</v>
      </c>
      <c r="G115" s="6" t="str">
        <f>IFERROR(__xludf.DUMMYFUNCTION("vlookup(A115,importrange(""1fyGnaViAX9kns28pvsfPvI9925sAI7kxPlM7jpuHVJM"",""Validation!A:Z""),22,0)"),"Cluster - Sagar")</f>
        <v>Cluster - Sagar</v>
      </c>
      <c r="H115" s="4" t="str">
        <f>IFERROR(__xludf.DUMMYFUNCTION("vlookup(C115,importrange(""1kw74ismGU34AsZ5x-W4x7F3Zt2xc8NSYcCVMrCJBmdQ"",""DRP for 8 products!B:C""),2,0)"),"ONIAPZOV9")</f>
        <v>ONIAPZOV9</v>
      </c>
      <c r="I115" s="7">
        <f>IFERROR(__xludf.DUMMYFUNCTION("vlookup(C115,importrange(""1kw74ismGU34AsZ5x-W4x7F3Zt2xc8NSYcCVMrCJBmdQ"",""DRP for 8 products!B:E""),4,0)"),58.0)</f>
        <v>58</v>
      </c>
      <c r="J115" s="8" t="str">
        <f t="shared" si="1"/>
        <v>Tier 1</v>
      </c>
      <c r="K115" s="9" t="str">
        <f t="shared" si="2"/>
        <v>Active</v>
      </c>
      <c r="L115" s="4" t="str">
        <f>IFERROR(__xludf.DUMMYFUNCTION("vlookup(C115,importrange(""1kw74ismGU34AsZ5x-W4x7F3Zt2xc8NSYcCVMrCJBmdQ"",""DRP for 8 products!B:H""),6,0)"),"BigQuery")</f>
        <v>BigQuery</v>
      </c>
      <c r="M115" s="10" t="str">
        <f t="shared" si="3"/>
        <v>Yes</v>
      </c>
    </row>
    <row r="116">
      <c r="A116" s="4" t="str">
        <f>IFERROR(__xludf.DUMMYFUNCTION("vlookup(C116,IMPORTRANGE(""1Kgoo8qyo6zMtf_5B03ksZz228jg0XpZ4_KXsdHQ4Vks"",""14 Sept!A:B""),2,0)"),"DME2259")</f>
        <v>DME2259</v>
      </c>
      <c r="B116" s="5" t="str">
        <f>IFERROR(__xludf.DUMMYFUNCTION("""COMPUTED_VALUE"""),"Komal Gawali")</f>
        <v>Komal Gawali</v>
      </c>
      <c r="C116" s="5" t="str">
        <f>IFERROR(__xludf.DUMMYFUNCTION("""COMPUTED_VALUE"""),"komal.gawali@onixnet.com")</f>
        <v>komal.gawali@onixnet.com</v>
      </c>
      <c r="D116" s="4" t="s">
        <v>11</v>
      </c>
      <c r="E116" s="6" t="str">
        <f>IFERROR(__xludf.DUMMYFUNCTION("vlookup($A116,importrange(""1fyGnaViAX9kns28pvsfPvI9925sAI7kxPlM7jpuHVJM"",""Validation!A:Z""),11,0)"),"Delivery Services")</f>
        <v>Delivery Services</v>
      </c>
      <c r="F116" s="6" t="str">
        <f>IFERROR(__xludf.DUMMYFUNCTION("vlookup($A116,importrange(""1fyGnaViAX9kns28pvsfPvI9925sAI7kxPlM7jpuHVJM"",""Validation!A:Z""),23,0)"),"Sneha Bhatambrekar")</f>
        <v>Sneha Bhatambrekar</v>
      </c>
      <c r="G116" s="6" t="str">
        <f>IFERROR(__xludf.DUMMYFUNCTION("vlookup(A116,importrange(""1fyGnaViAX9kns28pvsfPvI9925sAI7kxPlM7jpuHVJM"",""Validation!A:Z""),22,0)"),"Cluster - Sandeep")</f>
        <v>Cluster - Sandeep</v>
      </c>
      <c r="H116" s="4" t="str">
        <f>IFERROR(__xludf.DUMMYFUNCTION("vlookup(C116,importrange(""1kw74ismGU34AsZ5x-W4x7F3Zt2xc8NSYcCVMrCJBmdQ"",""DRP for 8 products!B:C""),2,0)"),"ONIKGJRO2")</f>
        <v>ONIKGJRO2</v>
      </c>
      <c r="I116" s="7">
        <f>IFERROR(__xludf.DUMMYFUNCTION("vlookup(C116,importrange(""1kw74ismGU34AsZ5x-W4x7F3Zt2xc8NSYcCVMrCJBmdQ"",""DRP for 8 products!B:E""),4,0)"),12.0)</f>
        <v>12</v>
      </c>
      <c r="J116" s="8" t="str">
        <f t="shared" si="1"/>
        <v>Tier 4</v>
      </c>
      <c r="K116" s="9" t="str">
        <f t="shared" si="2"/>
        <v>Active</v>
      </c>
      <c r="L116" s="4" t="str">
        <f>IFERROR(__xludf.DUMMYFUNCTION("vlookup(C116,importrange(""1kw74ismGU34AsZ5x-W4x7F3Zt2xc8NSYcCVMrCJBmdQ"",""DRP for 8 products!B:H""),6,0)"),"AlloyDB for PostgreSQL")</f>
        <v>AlloyDB for PostgreSQL</v>
      </c>
      <c r="M116" s="10" t="str">
        <f t="shared" si="3"/>
        <v>Yes</v>
      </c>
    </row>
    <row r="117">
      <c r="A117" s="4" t="str">
        <f>IFERROR(__xludf.DUMMYFUNCTION("vlookup(C117,IMPORTRANGE(""1Kgoo8qyo6zMtf_5B03ksZz228jg0XpZ4_KXsdHQ4Vks"",""14 Sept!A:B""),2,0)"),"DME1739")</f>
        <v>DME1739</v>
      </c>
      <c r="B117" s="5" t="str">
        <f>IFERROR(__xludf.DUMMYFUNCTION("""COMPUTED_VALUE"""),"Rani Ohal")</f>
        <v>Rani Ohal</v>
      </c>
      <c r="C117" s="5" t="str">
        <f>IFERROR(__xludf.DUMMYFUNCTION("""COMPUTED_VALUE"""),"rani.ohal@onixnet.com")</f>
        <v>rani.ohal@onixnet.com</v>
      </c>
      <c r="D117" s="4" t="s">
        <v>11</v>
      </c>
      <c r="E117" s="6" t="str">
        <f>IFERROR(__xludf.DUMMYFUNCTION("vlookup($A117,importrange(""1fyGnaViAX9kns28pvsfPvI9925sAI7kxPlM7jpuHVJM"",""Validation!A:Z""),11,0)"),"Delivery Services")</f>
        <v>Delivery Services</v>
      </c>
      <c r="F117" s="6" t="str">
        <f>IFERROR(__xludf.DUMMYFUNCTION("vlookup($A117,importrange(""1fyGnaViAX9kns28pvsfPvI9925sAI7kxPlM7jpuHVJM"",""Validation!A:Z""),23,0)"),"Shubham Agnihotri")</f>
        <v>Shubham Agnihotri</v>
      </c>
      <c r="G117" s="6" t="str">
        <f>IFERROR(__xludf.DUMMYFUNCTION("vlookup(A117,importrange(""1fyGnaViAX9kns28pvsfPvI9925sAI7kxPlM7jpuHVJM"",""Validation!A:Z""),22,0)"),"Cluster - Gaurav")</f>
        <v>Cluster - Gaurav</v>
      </c>
      <c r="H117" s="4" t="str">
        <f>IFERROR(__xludf.DUMMYFUNCTION("vlookup(C117,importrange(""1kw74ismGU34AsZ5x-W4x7F3Zt2xc8NSYcCVMrCJBmdQ"",""DRP for 8 products!B:C""),2,0)"),"ONIROTDY9")</f>
        <v>ONIROTDY9</v>
      </c>
      <c r="I117" s="7">
        <f>IFERROR(__xludf.DUMMYFUNCTION("vlookup(C117,importrange(""1kw74ismGU34AsZ5x-W4x7F3Zt2xc8NSYcCVMrCJBmdQ"",""DRP for 8 products!B:E""),4,0)"),34.0)</f>
        <v>34</v>
      </c>
      <c r="J117" s="8" t="str">
        <f t="shared" si="1"/>
        <v>Tier 3</v>
      </c>
      <c r="K117" s="9" t="str">
        <f t="shared" si="2"/>
        <v>Active</v>
      </c>
      <c r="L117" s="4" t="str">
        <f>IFERROR(__xludf.DUMMYFUNCTION("vlookup(C117,importrange(""1kw74ismGU34AsZ5x-W4x7F3Zt2xc8NSYcCVMrCJBmdQ"",""DRP for 8 products!B:H""),6,0)"),"BigQuery")</f>
        <v>BigQuery</v>
      </c>
      <c r="M117" s="10" t="str">
        <f t="shared" si="3"/>
        <v>Yes</v>
      </c>
    </row>
    <row r="118">
      <c r="A118" s="4" t="str">
        <f>IFERROR(__xludf.DUMMYFUNCTION("vlookup(C118,IMPORTRANGE(""1Kgoo8qyo6zMtf_5B03ksZz228jg0XpZ4_KXsdHQ4Vks"",""14 Sept!A:B""),2,0)"),"DME1396")</f>
        <v>DME1396</v>
      </c>
      <c r="B118" s="5" t="str">
        <f>IFERROR(__xludf.DUMMYFUNCTION("""COMPUTED_VALUE"""),"Ninad Ubarhande")</f>
        <v>Ninad Ubarhande</v>
      </c>
      <c r="C118" s="5" t="str">
        <f>IFERROR(__xludf.DUMMYFUNCTION("""COMPUTED_VALUE"""),"ninad.ubarhande@onixnet.com")</f>
        <v>ninad.ubarhande@onixnet.com</v>
      </c>
      <c r="D118" s="4" t="s">
        <v>11</v>
      </c>
      <c r="E118" s="6" t="str">
        <f>IFERROR(__xludf.DUMMYFUNCTION("vlookup($A118,importrange(""1fyGnaViAX9kns28pvsfPvI9925sAI7kxPlM7jpuHVJM"",""Validation!A:Z""),11,0)"),"Delivery Services")</f>
        <v>Delivery Services</v>
      </c>
      <c r="F118" s="6" t="str">
        <f>IFERROR(__xludf.DUMMYFUNCTION("vlookup($A118,importrange(""1fyGnaViAX9kns28pvsfPvI9925sAI7kxPlM7jpuHVJM"",""Validation!A:Z""),23,0)"),"Sneha Bhatambrekar")</f>
        <v>Sneha Bhatambrekar</v>
      </c>
      <c r="G118" s="6" t="str">
        <f>IFERROR(__xludf.DUMMYFUNCTION("vlookup(A118,importrange(""1fyGnaViAX9kns28pvsfPvI9925sAI7kxPlM7jpuHVJM"",""Validation!A:Z""),22,0)"),"Cluster - Sandeep")</f>
        <v>Cluster - Sandeep</v>
      </c>
      <c r="H118" s="4" t="str">
        <f>IFERROR(__xludf.DUMMYFUNCTION("vlookup(C118,importrange(""1kw74ismGU34AsZ5x-W4x7F3Zt2xc8NSYcCVMrCJBmdQ"",""DRP for 8 products!B:C""),2,0)"),"ONINUCSI5")</f>
        <v>ONINUCSI5</v>
      </c>
      <c r="I118" s="7">
        <f>IFERROR(__xludf.DUMMYFUNCTION("vlookup(C118,importrange(""1kw74ismGU34AsZ5x-W4x7F3Zt2xc8NSYcCVMrCJBmdQ"",""DRP for 8 products!B:E""),4,0)"),10.0)</f>
        <v>10</v>
      </c>
      <c r="J118" s="8" t="str">
        <f t="shared" si="1"/>
        <v>Tier 4</v>
      </c>
      <c r="K118" s="9" t="str">
        <f t="shared" si="2"/>
        <v>Active</v>
      </c>
      <c r="L118" s="4" t="str">
        <f>IFERROR(__xludf.DUMMYFUNCTION("vlookup(C118,importrange(""1kw74ismGU34AsZ5x-W4x7F3Zt2xc8NSYcCVMrCJBmdQ"",""DRP for 8 products!B:H""),6,0)"),"AlloyDB for PostgreSQL")</f>
        <v>AlloyDB for PostgreSQL</v>
      </c>
      <c r="M118" s="10" t="str">
        <f t="shared" si="3"/>
        <v>Yes</v>
      </c>
    </row>
    <row r="119">
      <c r="A119" s="4" t="str">
        <f>IFERROR(__xludf.DUMMYFUNCTION("vlookup(C119,IMPORTRANGE(""1Kgoo8qyo6zMtf_5B03ksZz228jg0XpZ4_KXsdHQ4Vks"",""14 Sept!A:B""),2,0)"),"DME2416")</f>
        <v>DME2416</v>
      </c>
      <c r="B119" s="5" t="str">
        <f>IFERROR(__xludf.DUMMYFUNCTION("""COMPUTED_VALUE"""),"Qamarunnisa Kadechur")</f>
        <v>Qamarunnisa Kadechur</v>
      </c>
      <c r="C119" s="5" t="str">
        <f>IFERROR(__xludf.DUMMYFUNCTION("""COMPUTED_VALUE"""),"qamarunnisa.k@onixnet.com")</f>
        <v>qamarunnisa.k@onixnet.com</v>
      </c>
      <c r="D119" s="4" t="s">
        <v>11</v>
      </c>
      <c r="E119" s="6" t="str">
        <f>IFERROR(__xludf.DUMMYFUNCTION("vlookup($A119,importrange(""1fyGnaViAX9kns28pvsfPvI9925sAI7kxPlM7jpuHVJM"",""Validation!A:Z""),11,0)"),"Delivery Services")</f>
        <v>Delivery Services</v>
      </c>
      <c r="F119" s="6" t="str">
        <f>IFERROR(__xludf.DUMMYFUNCTION("vlookup($A119,importrange(""1fyGnaViAX9kns28pvsfPvI9925sAI7kxPlM7jpuHVJM"",""Validation!A:Z""),23,0)"),"Aarti Borhade")</f>
        <v>Aarti Borhade</v>
      </c>
      <c r="G119" s="6" t="str">
        <f>IFERROR(__xludf.DUMMYFUNCTION("vlookup(A119,importrange(""1fyGnaViAX9kns28pvsfPvI9925sAI7kxPlM7jpuHVJM"",""Validation!A:Z""),22,0)"),"Cluster - Sagar")</f>
        <v>Cluster - Sagar</v>
      </c>
      <c r="H119" s="4" t="str">
        <f>IFERROR(__xludf.DUMMYFUNCTION("vlookup(C119,importrange(""1kw74ismGU34AsZ5x-W4x7F3Zt2xc8NSYcCVMrCJBmdQ"",""DRP for 8 products!B:C""),2,0)"),"ONIQKBGU6")</f>
        <v>ONIQKBGU6</v>
      </c>
      <c r="I119" s="7">
        <f>IFERROR(__xludf.DUMMYFUNCTION("vlookup(C119,importrange(""1kw74ismGU34AsZ5x-W4x7F3Zt2xc8NSYcCVMrCJBmdQ"",""DRP for 8 products!B:E""),4,0)"),32.0)</f>
        <v>32</v>
      </c>
      <c r="J119" s="8" t="str">
        <f t="shared" si="1"/>
        <v>Tier 3</v>
      </c>
      <c r="K119" s="9" t="str">
        <f t="shared" si="2"/>
        <v>Active</v>
      </c>
      <c r="L119" s="4" t="str">
        <f>IFERROR(__xludf.DUMMYFUNCTION("vlookup(C119,importrange(""1kw74ismGU34AsZ5x-W4x7F3Zt2xc8NSYcCVMrCJBmdQ"",""DRP for 8 products!B:H""),6,0)"),"BigQuery")</f>
        <v>BigQuery</v>
      </c>
      <c r="M119" s="10" t="str">
        <f t="shared" si="3"/>
        <v>Yes</v>
      </c>
    </row>
    <row r="120">
      <c r="A120" s="4" t="str">
        <f>IFERROR(__xludf.DUMMYFUNCTION("vlookup(C120,IMPORTRANGE(""1Kgoo8qyo6zMtf_5B03ksZz228jg0XpZ4_KXsdHQ4Vks"",""14 Sept!A:B""),2,0)"),"DME1803")</f>
        <v>DME1803</v>
      </c>
      <c r="B120" s="5" t="str">
        <f>IFERROR(__xludf.DUMMYFUNCTION("""COMPUTED_VALUE"""),"AMIT KUMAR")</f>
        <v>AMIT KUMAR</v>
      </c>
      <c r="C120" s="5" t="str">
        <f>IFERROR(__xludf.DUMMYFUNCTION("""COMPUTED_VALUE"""),"amit.kumar@onixnet.com")</f>
        <v>amit.kumar@onixnet.com</v>
      </c>
      <c r="D120" s="4" t="s">
        <v>11</v>
      </c>
      <c r="E120" s="6" t="str">
        <f>IFERROR(__xludf.DUMMYFUNCTION("vlookup($A120,importrange(""1fyGnaViAX9kns28pvsfPvI9925sAI7kxPlM7jpuHVJM"",""Validation!A:Z""),11,0)"),"Delivery Services")</f>
        <v>Delivery Services</v>
      </c>
      <c r="F120" s="6" t="str">
        <f>IFERROR(__xludf.DUMMYFUNCTION("vlookup($A120,importrange(""1fyGnaViAX9kns28pvsfPvI9925sAI7kxPlM7jpuHVJM"",""Validation!A:Z""),23,0)"),"Devayani Girish Pillai")</f>
        <v>Devayani Girish Pillai</v>
      </c>
      <c r="G120" s="6" t="str">
        <f>IFERROR(__xludf.DUMMYFUNCTION("vlookup(A120,importrange(""1fyGnaViAX9kns28pvsfPvI9925sAI7kxPlM7jpuHVJM"",""Validation!A:Z""),22,0)"),"Cluster - Devayani")</f>
        <v>Cluster - Devayani</v>
      </c>
      <c r="H120" s="4" t="str">
        <f>IFERROR(__xludf.DUMMYFUNCTION("vlookup(C120,importrange(""1kw74ismGU34AsZ5x-W4x7F3Zt2xc8NSYcCVMrCJBmdQ"",""DRP for 8 products!B:C""),2,0)"),"ONIAKNIP2")</f>
        <v>ONIAKNIP2</v>
      </c>
      <c r="I120" s="7">
        <f>IFERROR(__xludf.DUMMYFUNCTION("vlookup(C120,importrange(""1kw74ismGU34AsZ5x-W4x7F3Zt2xc8NSYcCVMrCJBmdQ"",""DRP for 8 products!B:E""),4,0)"),25.0)</f>
        <v>25</v>
      </c>
      <c r="J120" s="8" t="str">
        <f t="shared" si="1"/>
        <v>Tier 3</v>
      </c>
      <c r="K120" s="9" t="str">
        <f t="shared" si="2"/>
        <v>Active</v>
      </c>
      <c r="L120" s="4" t="str">
        <f>IFERROR(__xludf.DUMMYFUNCTION("vlookup(C120,importrange(""1kw74ismGU34AsZ5x-W4x7F3Zt2xc8NSYcCVMrCJBmdQ"",""DRP for 8 products!B:H""),6,0)"),"BigQuery")</f>
        <v>BigQuery</v>
      </c>
      <c r="M120" s="10" t="str">
        <f t="shared" si="3"/>
        <v>Yes</v>
      </c>
    </row>
    <row r="121">
      <c r="A121" s="4" t="str">
        <f>IFERROR(__xludf.DUMMYFUNCTION("vlookup(C121,IMPORTRANGE(""1Kgoo8qyo6zMtf_5B03ksZz228jg0XpZ4_KXsdHQ4Vks"",""14 Sept!A:B""),2,0)"),"DME2298")</f>
        <v>DME2298</v>
      </c>
      <c r="B121" s="5" t="str">
        <f>IFERROR(__xludf.DUMMYFUNCTION("""COMPUTED_VALUE"""),"Bhagyesh Lunawat")</f>
        <v>Bhagyesh Lunawat</v>
      </c>
      <c r="C121" s="5" t="str">
        <f>IFERROR(__xludf.DUMMYFUNCTION("""COMPUTED_VALUE"""),"bhagyesh.lunawat@onixnet.com")</f>
        <v>bhagyesh.lunawat@onixnet.com</v>
      </c>
      <c r="D121" s="4" t="s">
        <v>11</v>
      </c>
      <c r="E121" s="6" t="str">
        <f>IFERROR(__xludf.DUMMYFUNCTION("vlookup($A121,importrange(""1fyGnaViAX9kns28pvsfPvI9925sAI7kxPlM7jpuHVJM"",""Validation!A:Z""),11,0)"),"Delivery Services")</f>
        <v>Delivery Services</v>
      </c>
      <c r="F121" s="6" t="str">
        <f>IFERROR(__xludf.DUMMYFUNCTION("vlookup($A121,importrange(""1fyGnaViAX9kns28pvsfPvI9925sAI7kxPlM7jpuHVJM"",""Validation!A:Z""),23,0)"),"Bhagyashri Paralkar")</f>
        <v>Bhagyashri Paralkar</v>
      </c>
      <c r="G121" s="6" t="str">
        <f>IFERROR(__xludf.DUMMYFUNCTION("vlookup(A121,importrange(""1fyGnaViAX9kns28pvsfPvI9925sAI7kxPlM7jpuHVJM"",""Validation!A:Z""),22,0)"),"Cluster - Sagar")</f>
        <v>Cluster - Sagar</v>
      </c>
      <c r="H121" s="4" t="str">
        <f>IFERROR(__xludf.DUMMYFUNCTION("vlookup(C121,importrange(""1kw74ismGU34AsZ5x-W4x7F3Zt2xc8NSYcCVMrCJBmdQ"",""DRP for 8 products!B:C""),2,0)"),"ONIBLZDJ2")</f>
        <v>ONIBLZDJ2</v>
      </c>
      <c r="I121" s="7">
        <f>IFERROR(__xludf.DUMMYFUNCTION("vlookup(C121,importrange(""1kw74ismGU34AsZ5x-W4x7F3Zt2xc8NSYcCVMrCJBmdQ"",""DRP for 8 products!B:E""),4,0)"),53.0)</f>
        <v>53</v>
      </c>
      <c r="J121" s="8" t="str">
        <f t="shared" si="1"/>
        <v>Tier 1</v>
      </c>
      <c r="K121" s="9" t="str">
        <f t="shared" si="2"/>
        <v>Active</v>
      </c>
      <c r="L121" s="4" t="str">
        <f>IFERROR(__xludf.DUMMYFUNCTION("vlookup(C121,importrange(""1kw74ismGU34AsZ5x-W4x7F3Zt2xc8NSYcCVMrCJBmdQ"",""DRP for 8 products!B:H""),6,0)"),"BigQuery")</f>
        <v>BigQuery</v>
      </c>
      <c r="M121" s="10" t="str">
        <f t="shared" si="3"/>
        <v>Yes</v>
      </c>
    </row>
    <row r="122">
      <c r="A122" s="4" t="str">
        <f>IFERROR(__xludf.DUMMYFUNCTION("vlookup(C122,IMPORTRANGE(""1Kgoo8qyo6zMtf_5B03ksZz228jg0XpZ4_KXsdHQ4Vks"",""14 Sept!A:B""),2,0)"),"DME2454")</f>
        <v>DME2454</v>
      </c>
      <c r="B122" s="5" t="str">
        <f>IFERROR(__xludf.DUMMYFUNCTION("""COMPUTED_VALUE"""),"Swati Raut")</f>
        <v>Swati Raut</v>
      </c>
      <c r="C122" s="5" t="str">
        <f>IFERROR(__xludf.DUMMYFUNCTION("""COMPUTED_VALUE"""),"swati.raut@onixnet.com")</f>
        <v>swati.raut@onixnet.com</v>
      </c>
      <c r="D122" s="4" t="s">
        <v>11</v>
      </c>
      <c r="E122" s="6" t="str">
        <f>IFERROR(__xludf.DUMMYFUNCTION("vlookup($A122,importrange(""1fyGnaViAX9kns28pvsfPvI9925sAI7kxPlM7jpuHVJM"",""Validation!A:Z""),11,0)"),"Product Engineering")</f>
        <v>Product Engineering</v>
      </c>
      <c r="F122" s="6" t="str">
        <f>IFERROR(__xludf.DUMMYFUNCTION("vlookup($A122,importrange(""1fyGnaViAX9kns28pvsfPvI9925sAI7kxPlM7jpuHVJM"",""Validation!A:Z""),23,0)"),"Savan Tak")</f>
        <v>Savan Tak</v>
      </c>
      <c r="G122" s="6" t="str">
        <f>IFERROR(__xludf.DUMMYFUNCTION("vlookup(A122,importrange(""1fyGnaViAX9kns28pvsfPvI9925sAI7kxPlM7jpuHVJM"",""Validation!A:Z""),22,0)"),"Cluster - Mayur")</f>
        <v>Cluster - Mayur</v>
      </c>
      <c r="H122" s="4" t="str">
        <f>IFERROR(__xludf.DUMMYFUNCTION("vlookup(C122,importrange(""1kw74ismGU34AsZ5x-W4x7F3Zt2xc8NSYcCVMrCJBmdQ"",""DRP for 8 products!B:C""),2,0)"),"ONISRHRC6")</f>
        <v>ONISRHRC6</v>
      </c>
      <c r="I122" s="7">
        <f>IFERROR(__xludf.DUMMYFUNCTION("vlookup(C122,importrange(""1kw74ismGU34AsZ5x-W4x7F3Zt2xc8NSYcCVMrCJBmdQ"",""DRP for 8 products!B:E""),4,0)"),29.0)</f>
        <v>29</v>
      </c>
      <c r="J122" s="8" t="str">
        <f t="shared" si="1"/>
        <v>Tier 3</v>
      </c>
      <c r="K122" s="9" t="str">
        <f t="shared" si="2"/>
        <v>Active</v>
      </c>
      <c r="L122" s="4" t="str">
        <f>IFERROR(__xludf.DUMMYFUNCTION("vlookup(C122,importrange(""1kw74ismGU34AsZ5x-W4x7F3Zt2xc8NSYcCVMrCJBmdQ"",""DRP for 8 products!B:H""),6,0)"),"BigQuery")</f>
        <v>BigQuery</v>
      </c>
      <c r="M122" s="10" t="str">
        <f t="shared" si="3"/>
        <v>Yes</v>
      </c>
    </row>
    <row r="123">
      <c r="A123" s="4" t="str">
        <f>IFERROR(__xludf.DUMMYFUNCTION("vlookup(C123,IMPORTRANGE(""1Kgoo8qyo6zMtf_5B03ksZz228jg0XpZ4_KXsdHQ4Vks"",""14 Sept!A:B""),2,0)"),"DME2230")</f>
        <v>DME2230</v>
      </c>
      <c r="B123" s="5" t="str">
        <f>IFERROR(__xludf.DUMMYFUNCTION("""COMPUTED_VALUE"""),"Shailesh Salunke")</f>
        <v>Shailesh Salunke</v>
      </c>
      <c r="C123" s="5" t="str">
        <f>IFERROR(__xludf.DUMMYFUNCTION("""COMPUTED_VALUE"""),"shailesh.salunke@onixnet.com")</f>
        <v>shailesh.salunke@onixnet.com</v>
      </c>
      <c r="D123" s="4" t="s">
        <v>11</v>
      </c>
      <c r="E123" s="6" t="str">
        <f>IFERROR(__xludf.DUMMYFUNCTION("vlookup($A123,importrange(""1fyGnaViAX9kns28pvsfPvI9925sAI7kxPlM7jpuHVJM"",""Validation!A:Z""),11,0)"),"Delivery Services")</f>
        <v>Delivery Services</v>
      </c>
      <c r="F123" s="6" t="str">
        <f>IFERROR(__xludf.DUMMYFUNCTION("vlookup($A123,importrange(""1fyGnaViAX9kns28pvsfPvI9925sAI7kxPlM7jpuHVJM"",""Validation!A:Z""),23,0)"),"Naveen Harish")</f>
        <v>Naveen Harish</v>
      </c>
      <c r="G123" s="6" t="str">
        <f>IFERROR(__xludf.DUMMYFUNCTION("vlookup(A123,importrange(""1fyGnaViAX9kns28pvsfPvI9925sAI7kxPlM7jpuHVJM"",""Validation!A:Z""),22,0)"),"Cluster - Varun")</f>
        <v>Cluster - Varun</v>
      </c>
      <c r="H123" s="4" t="str">
        <f>IFERROR(__xludf.DUMMYFUNCTION("vlookup(C123,importrange(""1kw74ismGU34AsZ5x-W4x7F3Zt2xc8NSYcCVMrCJBmdQ"",""DRP for 8 products!B:C""),2,0)"),"ONISSNJP0")</f>
        <v>ONISSNJP0</v>
      </c>
      <c r="I123" s="7">
        <f>IFERROR(__xludf.DUMMYFUNCTION("vlookup(C123,importrange(""1kw74ismGU34AsZ5x-W4x7F3Zt2xc8NSYcCVMrCJBmdQ"",""DRP for 8 products!B:E""),4,0)"),5.0)</f>
        <v>5</v>
      </c>
      <c r="J123" s="8" t="str">
        <f t="shared" si="1"/>
        <v>Tier 4</v>
      </c>
      <c r="K123" s="9" t="str">
        <f t="shared" si="2"/>
        <v>Active</v>
      </c>
      <c r="L123" s="4" t="str">
        <f>IFERROR(__xludf.DUMMYFUNCTION("vlookup(C123,importrange(""1kw74ismGU34AsZ5x-W4x7F3Zt2xc8NSYcCVMrCJBmdQ"",""DRP for 8 products!B:H""),6,0)"),"AlloyDB for PostgreSQL")</f>
        <v>AlloyDB for PostgreSQL</v>
      </c>
      <c r="M123" s="10" t="str">
        <f t="shared" si="3"/>
        <v>Yes</v>
      </c>
    </row>
    <row r="124">
      <c r="A124" s="4" t="str">
        <f>IFERROR(__xludf.DUMMYFUNCTION("vlookup(C124,IMPORTRANGE(""1Kgoo8qyo6zMtf_5B03ksZz228jg0XpZ4_KXsdHQ4Vks"",""14 Sept!A:B""),2,0)"),"DME1587")</f>
        <v>DME1587</v>
      </c>
      <c r="B124" s="5" t="str">
        <f>IFERROR(__xludf.DUMMYFUNCTION("""COMPUTED_VALUE"""),"Rajat Shinde")</f>
        <v>Rajat Shinde</v>
      </c>
      <c r="C124" s="5" t="str">
        <f>IFERROR(__xludf.DUMMYFUNCTION("""COMPUTED_VALUE"""),"rajat.shinde@onixnet.com")</f>
        <v>rajat.shinde@onixnet.com</v>
      </c>
      <c r="D124" s="4" t="s">
        <v>11</v>
      </c>
      <c r="E124" s="6" t="str">
        <f>IFERROR(__xludf.DUMMYFUNCTION("vlookup($A124,importrange(""1fyGnaViAX9kns28pvsfPvI9925sAI7kxPlM7jpuHVJM"",""Validation!A:Z""),11,0)"),"Delivery Services")</f>
        <v>Delivery Services</v>
      </c>
      <c r="F124" s="6" t="str">
        <f>IFERROR(__xludf.DUMMYFUNCTION("vlookup($A124,importrange(""1fyGnaViAX9kns28pvsfPvI9925sAI7kxPlM7jpuHVJM"",""Validation!A:Z""),23,0)"),"Shubham Agnihotri")</f>
        <v>Shubham Agnihotri</v>
      </c>
      <c r="G124" s="6" t="str">
        <f>IFERROR(__xludf.DUMMYFUNCTION("vlookup(A124,importrange(""1fyGnaViAX9kns28pvsfPvI9925sAI7kxPlM7jpuHVJM"",""Validation!A:Z""),22,0)"),"Cluster - Gaurav")</f>
        <v>Cluster - Gaurav</v>
      </c>
      <c r="H124" s="4" t="str">
        <f>IFERROR(__xludf.DUMMYFUNCTION("vlookup(C124,importrange(""1kw74ismGU34AsZ5x-W4x7F3Zt2xc8NSYcCVMrCJBmdQ"",""DRP for 8 products!B:C""),2,0)"),"ONIRSMCT0")</f>
        <v>ONIRSMCT0</v>
      </c>
      <c r="I124" s="7">
        <f>IFERROR(__xludf.DUMMYFUNCTION("vlookup(C124,importrange(""1kw74ismGU34AsZ5x-W4x7F3Zt2xc8NSYcCVMrCJBmdQ"",""DRP for 8 products!B:E""),4,0)"),40.0)</f>
        <v>40</v>
      </c>
      <c r="J124" s="8" t="str">
        <f t="shared" si="1"/>
        <v>Tier 2</v>
      </c>
      <c r="K124" s="9" t="str">
        <f t="shared" si="2"/>
        <v>Active</v>
      </c>
      <c r="L124" s="4" t="str">
        <f>IFERROR(__xludf.DUMMYFUNCTION("vlookup(C124,importrange(""1kw74ismGU34AsZ5x-W4x7F3Zt2xc8NSYcCVMrCJBmdQ"",""DRP for 8 products!B:H""),6,0)"),"BigQuery")</f>
        <v>BigQuery</v>
      </c>
      <c r="M124" s="10" t="str">
        <f t="shared" si="3"/>
        <v>Yes</v>
      </c>
    </row>
    <row r="125">
      <c r="A125" s="4" t="str">
        <f>IFERROR(__xludf.DUMMYFUNCTION("vlookup(C125,IMPORTRANGE(""1Kgoo8qyo6zMtf_5B03ksZz228jg0XpZ4_KXsdHQ4Vks"",""14 Sept!A:B""),2,0)"),"DME2368")</f>
        <v>DME2368</v>
      </c>
      <c r="B125" s="5" t="str">
        <f>IFERROR(__xludf.DUMMYFUNCTION("""COMPUTED_VALUE"""),"Pratik Pawashe")</f>
        <v>Pratik Pawashe</v>
      </c>
      <c r="C125" s="5" t="str">
        <f>IFERROR(__xludf.DUMMYFUNCTION("""COMPUTED_VALUE"""),"pratik.pawashe@onixnet.com")</f>
        <v>pratik.pawashe@onixnet.com</v>
      </c>
      <c r="D125" s="4" t="s">
        <v>11</v>
      </c>
      <c r="E125" s="6" t="str">
        <f>IFERROR(__xludf.DUMMYFUNCTION("vlookup($A125,importrange(""1fyGnaViAX9kns28pvsfPvI9925sAI7kxPlM7jpuHVJM"",""Validation!A:Z""),11,0)"),"Delivery Services")</f>
        <v>Delivery Services</v>
      </c>
      <c r="F125" s="6" t="str">
        <f>IFERROR(__xludf.DUMMYFUNCTION("vlookup($A125,importrange(""1fyGnaViAX9kns28pvsfPvI9925sAI7kxPlM7jpuHVJM"",""Validation!A:Z""),23,0)"),"Sunny Mathur")</f>
        <v>Sunny Mathur</v>
      </c>
      <c r="G125" s="6" t="str">
        <f>IFERROR(__xludf.DUMMYFUNCTION("vlookup(A125,importrange(""1fyGnaViAX9kns28pvsfPvI9925sAI7kxPlM7jpuHVJM"",""Validation!A:Z""),22,0)"),"Cluster - Sagar")</f>
        <v>Cluster - Sagar</v>
      </c>
      <c r="H125" s="4" t="str">
        <f>IFERROR(__xludf.DUMMYFUNCTION("vlookup(C125,importrange(""1kw74ismGU34AsZ5x-W4x7F3Zt2xc8NSYcCVMrCJBmdQ"",""DRP for 8 products!B:C""),2,0)"),"ONIPPIHT5")</f>
        <v>ONIPPIHT5</v>
      </c>
      <c r="I125" s="7">
        <f>IFERROR(__xludf.DUMMYFUNCTION("vlookup(C125,importrange(""1kw74ismGU34AsZ5x-W4x7F3Zt2xc8NSYcCVMrCJBmdQ"",""DRP for 8 products!B:E""),4,0)"),19.0)</f>
        <v>19</v>
      </c>
      <c r="J125" s="8" t="str">
        <f t="shared" si="1"/>
        <v>Tier 4</v>
      </c>
      <c r="K125" s="9" t="str">
        <f t="shared" si="2"/>
        <v>Active</v>
      </c>
      <c r="L125" s="4" t="str">
        <f>IFERROR(__xludf.DUMMYFUNCTION("vlookup(C125,importrange(""1kw74ismGU34AsZ5x-W4x7F3Zt2xc8NSYcCVMrCJBmdQ"",""DRP for 8 products!B:H""),6,0)"),"AlloyDB for PostgreSQL")</f>
        <v>AlloyDB for PostgreSQL</v>
      </c>
      <c r="M125" s="10" t="str">
        <f t="shared" si="3"/>
        <v>Yes</v>
      </c>
    </row>
    <row r="126">
      <c r="A126" s="4" t="str">
        <f>IFERROR(__xludf.DUMMYFUNCTION("vlookup(C126,IMPORTRANGE(""1Kgoo8qyo6zMtf_5B03ksZz228jg0XpZ4_KXsdHQ4Vks"",""14 Sept!A:B""),2,0)"),"DME1467")</f>
        <v>DME1467</v>
      </c>
      <c r="B126" s="5" t="str">
        <f>IFERROR(__xludf.DUMMYFUNCTION("""COMPUTED_VALUE"""),"Rahul Shelake")</f>
        <v>Rahul Shelake</v>
      </c>
      <c r="C126" s="5" t="str">
        <f>IFERROR(__xludf.DUMMYFUNCTION("""COMPUTED_VALUE"""),"rahul.shelake@onixnet.com")</f>
        <v>rahul.shelake@onixnet.com</v>
      </c>
      <c r="D126" s="4" t="s">
        <v>11</v>
      </c>
      <c r="E126" s="6" t="str">
        <f>IFERROR(__xludf.DUMMYFUNCTION("vlookup($A126,importrange(""1fyGnaViAX9kns28pvsfPvI9925sAI7kxPlM7jpuHVJM"",""Validation!A:Z""),11,0)"),"Delivery Services")</f>
        <v>Delivery Services</v>
      </c>
      <c r="F126" s="6" t="str">
        <f>IFERROR(__xludf.DUMMYFUNCTION("vlookup($A126,importrange(""1fyGnaViAX9kns28pvsfPvI9925sAI7kxPlM7jpuHVJM"",""Validation!A:Z""),23,0)"),"Rahul Chandak")</f>
        <v>Rahul Chandak</v>
      </c>
      <c r="G126" s="6" t="str">
        <f>IFERROR(__xludf.DUMMYFUNCTION("vlookup(A126,importrange(""1fyGnaViAX9kns28pvsfPvI9925sAI7kxPlM7jpuHVJM"",""Validation!A:Z""),22,0)"),"Cluster - Sagar")</f>
        <v>Cluster - Sagar</v>
      </c>
      <c r="H126" s="4" t="str">
        <f>IFERROR(__xludf.DUMMYFUNCTION("vlookup(C126,importrange(""1kw74ismGU34AsZ5x-W4x7F3Zt2xc8NSYcCVMrCJBmdQ"",""DRP for 8 products!B:C""),2,0)"),"ONIRSWFF3")</f>
        <v>ONIRSWFF3</v>
      </c>
      <c r="I126" s="7">
        <f>IFERROR(__xludf.DUMMYFUNCTION("vlookup(C126,importrange(""1kw74ismGU34AsZ5x-W4x7F3Zt2xc8NSYcCVMrCJBmdQ"",""DRP for 8 products!B:E""),4,0)"),59.0)</f>
        <v>59</v>
      </c>
      <c r="J126" s="8" t="str">
        <f t="shared" si="1"/>
        <v>Tier 1</v>
      </c>
      <c r="K126" s="9" t="str">
        <f t="shared" si="2"/>
        <v>Active</v>
      </c>
      <c r="L126" s="4" t="str">
        <f>IFERROR(__xludf.DUMMYFUNCTION("vlookup(C126,importrange(""1kw74ismGU34AsZ5x-W4x7F3Zt2xc8NSYcCVMrCJBmdQ"",""DRP for 8 products!B:H""),6,0)"),"BigQuery")</f>
        <v>BigQuery</v>
      </c>
      <c r="M126" s="10" t="str">
        <f t="shared" si="3"/>
        <v>Yes</v>
      </c>
    </row>
    <row r="127">
      <c r="A127" s="4" t="str">
        <f>IFERROR(__xludf.DUMMYFUNCTION("vlookup(C127,IMPORTRANGE(""1Kgoo8qyo6zMtf_5B03ksZz228jg0XpZ4_KXsdHQ4Vks"",""14 Sept!A:B""),2,0)"),"DME1316")</f>
        <v>DME1316</v>
      </c>
      <c r="B127" s="5" t="str">
        <f>IFERROR(__xludf.DUMMYFUNCTION("""COMPUTED_VALUE"""),"Ameya Kulkarni")</f>
        <v>Ameya Kulkarni</v>
      </c>
      <c r="C127" s="5" t="str">
        <f>IFERROR(__xludf.DUMMYFUNCTION("""COMPUTED_VALUE"""),"ameya.kulkarni@onixnet.com")</f>
        <v>ameya.kulkarni@onixnet.com</v>
      </c>
      <c r="D127" s="4" t="s">
        <v>11</v>
      </c>
      <c r="E127" s="6" t="str">
        <f>IFERROR(__xludf.DUMMYFUNCTION("vlookup($A127,importrange(""1fyGnaViAX9kns28pvsfPvI9925sAI7kxPlM7jpuHVJM"",""Validation!A:Z""),11,0)"),"Delivery Services")</f>
        <v>Delivery Services</v>
      </c>
      <c r="F127" s="6" t="str">
        <f>IFERROR(__xludf.DUMMYFUNCTION("vlookup($A127,importrange(""1fyGnaViAX9kns28pvsfPvI9925sAI7kxPlM7jpuHVJM"",""Validation!A:Z""),23,0)"),"Sunny Mathur")</f>
        <v>Sunny Mathur</v>
      </c>
      <c r="G127" s="6" t="str">
        <f>IFERROR(__xludf.DUMMYFUNCTION("vlookup(A127,importrange(""1fyGnaViAX9kns28pvsfPvI9925sAI7kxPlM7jpuHVJM"",""Validation!A:Z""),22,0)"),"Cluster - Sagar")</f>
        <v>Cluster - Sagar</v>
      </c>
      <c r="H127" s="4" t="str">
        <f>IFERROR(__xludf.DUMMYFUNCTION("vlookup(C127,importrange(""1kw74ismGU34AsZ5x-W4x7F3Zt2xc8NSYcCVMrCJBmdQ"",""DRP for 8 products!B:C""),2,0)"),"ONIAKKXZ5")</f>
        <v>ONIAKKXZ5</v>
      </c>
      <c r="I127" s="7">
        <f>IFERROR(__xludf.DUMMYFUNCTION("vlookup(C127,importrange(""1kw74ismGU34AsZ5x-W4x7F3Zt2xc8NSYcCVMrCJBmdQ"",""DRP for 8 products!B:E""),4,0)"),54.0)</f>
        <v>54</v>
      </c>
      <c r="J127" s="8" t="str">
        <f t="shared" si="1"/>
        <v>Tier 1</v>
      </c>
      <c r="K127" s="9" t="str">
        <f t="shared" si="2"/>
        <v>Active</v>
      </c>
      <c r="L127" s="4" t="str">
        <f>IFERROR(__xludf.DUMMYFUNCTION("vlookup(C127,importrange(""1kw74ismGU34AsZ5x-W4x7F3Zt2xc8NSYcCVMrCJBmdQ"",""DRP for 8 products!B:H""),6,0)"),"BigQuery")</f>
        <v>BigQuery</v>
      </c>
      <c r="M127" s="10" t="str">
        <f t="shared" si="3"/>
        <v>Yes</v>
      </c>
    </row>
    <row r="128">
      <c r="A128" s="4" t="str">
        <f>IFERROR(__xludf.DUMMYFUNCTION("vlookup(C128,IMPORTRANGE(""1Kgoo8qyo6zMtf_5B03ksZz228jg0XpZ4_KXsdHQ4Vks"",""14 Sept!A:B""),2,0)"),"DME2272")</f>
        <v>DME2272</v>
      </c>
      <c r="B128" s="5" t="str">
        <f>IFERROR(__xludf.DUMMYFUNCTION("""COMPUTED_VALUE"""),"yogeshvari jadhav")</f>
        <v>yogeshvari jadhav</v>
      </c>
      <c r="C128" s="5" t="str">
        <f>IFERROR(__xludf.DUMMYFUNCTION("""COMPUTED_VALUE"""),"yogeshvari.j@onixnet.com")</f>
        <v>yogeshvari.j@onixnet.com</v>
      </c>
      <c r="D128" s="4" t="s">
        <v>11</v>
      </c>
      <c r="E128" s="6" t="str">
        <f>IFERROR(__xludf.DUMMYFUNCTION("vlookup($A128,importrange(""1fyGnaViAX9kns28pvsfPvI9925sAI7kxPlM7jpuHVJM"",""Validation!A:Z""),11,0)"),"Delivery Services")</f>
        <v>Delivery Services</v>
      </c>
      <c r="F128" s="6" t="str">
        <f>IFERROR(__xludf.DUMMYFUNCTION("vlookup($A128,importrange(""1fyGnaViAX9kns28pvsfPvI9925sAI7kxPlM7jpuHVJM"",""Validation!A:Z""),23,0)"),"Anushri Agrawal")</f>
        <v>Anushri Agrawal</v>
      </c>
      <c r="G128" s="6" t="str">
        <f>IFERROR(__xludf.DUMMYFUNCTION("vlookup(A128,importrange(""1fyGnaViAX9kns28pvsfPvI9925sAI7kxPlM7jpuHVJM"",""Validation!A:Z""),22,0)"),"Cluster - Sachin")</f>
        <v>Cluster - Sachin</v>
      </c>
      <c r="H128" s="4" t="str">
        <f>IFERROR(__xludf.DUMMYFUNCTION("vlookup(C128,importrange(""1kw74ismGU34AsZ5x-W4x7F3Zt2xc8NSYcCVMrCJBmdQ"",""DRP for 8 products!B:C""),2,0)"),"ONIYJWHA6")</f>
        <v>ONIYJWHA6</v>
      </c>
      <c r="I128" s="7">
        <f>IFERROR(__xludf.DUMMYFUNCTION("vlookup(C128,importrange(""1kw74ismGU34AsZ5x-W4x7F3Zt2xc8NSYcCVMrCJBmdQ"",""DRP for 8 products!B:E""),4,0)"),10.0)</f>
        <v>10</v>
      </c>
      <c r="J128" s="8" t="str">
        <f t="shared" si="1"/>
        <v>Tier 4</v>
      </c>
      <c r="K128" s="9" t="str">
        <f t="shared" si="2"/>
        <v>Active</v>
      </c>
      <c r="L128" s="4" t="str">
        <f>IFERROR(__xludf.DUMMYFUNCTION("vlookup(C128,importrange(""1kw74ismGU34AsZ5x-W4x7F3Zt2xc8NSYcCVMrCJBmdQ"",""DRP for 8 products!B:H""),6,0)"),"BigQuery")</f>
        <v>BigQuery</v>
      </c>
      <c r="M128" s="10" t="str">
        <f t="shared" si="3"/>
        <v>Yes</v>
      </c>
    </row>
    <row r="129">
      <c r="A129" s="4" t="str">
        <f>IFERROR(__xludf.DUMMYFUNCTION("vlookup(C129,IMPORTRANGE(""1Kgoo8qyo6zMtf_5B03ksZz228jg0XpZ4_KXsdHQ4Vks"",""14 Sept!A:B""),2,0)"),"DME2385")</f>
        <v>DME2385</v>
      </c>
      <c r="B129" s="5" t="str">
        <f>IFERROR(__xludf.DUMMYFUNCTION("""COMPUTED_VALUE"""),"Pooja Aher")</f>
        <v>Pooja Aher</v>
      </c>
      <c r="C129" s="5" t="str">
        <f>IFERROR(__xludf.DUMMYFUNCTION("""COMPUTED_VALUE"""),"pooja.aher@onixnet.com")</f>
        <v>pooja.aher@onixnet.com</v>
      </c>
      <c r="D129" s="4" t="s">
        <v>11</v>
      </c>
      <c r="E129" s="6" t="str">
        <f>IFERROR(__xludf.DUMMYFUNCTION("vlookup($A129,importrange(""1fyGnaViAX9kns28pvsfPvI9925sAI7kxPlM7jpuHVJM"",""Validation!A:Z""),11,0)"),"Delivery Services")</f>
        <v>Delivery Services</v>
      </c>
      <c r="F129" s="6" t="str">
        <f>IFERROR(__xludf.DUMMYFUNCTION("vlookup($A129,importrange(""1fyGnaViAX9kns28pvsfPvI9925sAI7kxPlM7jpuHVJM"",""Validation!A:Z""),23,0)"),"Ameya Kulkarni")</f>
        <v>Ameya Kulkarni</v>
      </c>
      <c r="G129" s="6" t="str">
        <f>IFERROR(__xludf.DUMMYFUNCTION("vlookup(A129,importrange(""1fyGnaViAX9kns28pvsfPvI9925sAI7kxPlM7jpuHVJM"",""Validation!A:Z""),22,0)"),"Cluster - Sagar")</f>
        <v>Cluster - Sagar</v>
      </c>
      <c r="H129" s="4" t="str">
        <f>IFERROR(__xludf.DUMMYFUNCTION("vlookup(C129,importrange(""1kw74ismGU34AsZ5x-W4x7F3Zt2xc8NSYcCVMrCJBmdQ"",""DRP for 8 products!B:C""),2,0)"),"ONIPAEYE8")</f>
        <v>ONIPAEYE8</v>
      </c>
      <c r="I129" s="7">
        <f>IFERROR(__xludf.DUMMYFUNCTION("vlookup(C129,importrange(""1kw74ismGU34AsZ5x-W4x7F3Zt2xc8NSYcCVMrCJBmdQ"",""DRP for 8 products!B:E""),4,0)"),10.0)</f>
        <v>10</v>
      </c>
      <c r="J129" s="8" t="str">
        <f t="shared" si="1"/>
        <v>Tier 4</v>
      </c>
      <c r="K129" s="9" t="str">
        <f t="shared" si="2"/>
        <v>Active</v>
      </c>
      <c r="L129" s="4" t="str">
        <f>IFERROR(__xludf.DUMMYFUNCTION("vlookup(C129,importrange(""1kw74ismGU34AsZ5x-W4x7F3Zt2xc8NSYcCVMrCJBmdQ"",""DRP for 8 products!B:H""),6,0)"),"BigQuery")</f>
        <v>BigQuery</v>
      </c>
      <c r="M129" s="10" t="str">
        <f t="shared" si="3"/>
        <v>Yes</v>
      </c>
    </row>
    <row r="130">
      <c r="A130" s="4" t="str">
        <f>IFERROR(__xludf.DUMMYFUNCTION("vlookup(C130,IMPORTRANGE(""1Kgoo8qyo6zMtf_5B03ksZz228jg0XpZ4_KXsdHQ4Vks"",""14 Sept!A:B""),2,0)"),"DME1608")</f>
        <v>DME1608</v>
      </c>
      <c r="B130" s="5" t="str">
        <f>IFERROR(__xludf.DUMMYFUNCTION("""COMPUTED_VALUE"""),"Rahul Chandak")</f>
        <v>Rahul Chandak</v>
      </c>
      <c r="C130" s="5" t="str">
        <f>IFERROR(__xludf.DUMMYFUNCTION("""COMPUTED_VALUE"""),"rahul.chandak@onixnet.com")</f>
        <v>rahul.chandak@onixnet.com</v>
      </c>
      <c r="D130" s="4" t="s">
        <v>11</v>
      </c>
      <c r="E130" s="6" t="str">
        <f>IFERROR(__xludf.DUMMYFUNCTION("vlookup($A130,importrange(""1fyGnaViAX9kns28pvsfPvI9925sAI7kxPlM7jpuHVJM"",""Validation!A:Z""),11,0)"),"Delivery Services")</f>
        <v>Delivery Services</v>
      </c>
      <c r="F130" s="6" t="str">
        <f>IFERROR(__xludf.DUMMYFUNCTION("vlookup($A130,importrange(""1fyGnaViAX9kns28pvsfPvI9925sAI7kxPlM7jpuHVJM"",""Validation!A:Z""),23,0)"),"Prasad Pramod Kulkarni")</f>
        <v>Prasad Pramod Kulkarni</v>
      </c>
      <c r="G130" s="6" t="str">
        <f>IFERROR(__xludf.DUMMYFUNCTION("vlookup(A130,importrange(""1fyGnaViAX9kns28pvsfPvI9925sAI7kxPlM7jpuHVJM"",""Validation!A:Z""),22,0)"),"Cluster - Sagar")</f>
        <v>Cluster - Sagar</v>
      </c>
      <c r="H130" s="4" t="str">
        <f>IFERROR(__xludf.DUMMYFUNCTION("vlookup(C130,importrange(""1kw74ismGU34AsZ5x-W4x7F3Zt2xc8NSYcCVMrCJBmdQ"",""DRP for 8 products!B:C""),2,0)"),"ONIRCJDR8")</f>
        <v>ONIRCJDR8</v>
      </c>
      <c r="I130" s="7">
        <f>IFERROR(__xludf.DUMMYFUNCTION("vlookup(C130,importrange(""1kw74ismGU34AsZ5x-W4x7F3Zt2xc8NSYcCVMrCJBmdQ"",""DRP for 8 products!B:E""),4,0)"),38.0)</f>
        <v>38</v>
      </c>
      <c r="J130" s="8" t="str">
        <f t="shared" si="1"/>
        <v>Tier 2</v>
      </c>
      <c r="K130" s="9" t="str">
        <f t="shared" si="2"/>
        <v>Active</v>
      </c>
      <c r="L130" s="4" t="str">
        <f>IFERROR(__xludf.DUMMYFUNCTION("vlookup(C130,importrange(""1kw74ismGU34AsZ5x-W4x7F3Zt2xc8NSYcCVMrCJBmdQ"",""DRP for 8 products!B:H""),6,0)"),"BigQuery")</f>
        <v>BigQuery</v>
      </c>
      <c r="M130" s="10" t="str">
        <f t="shared" si="3"/>
        <v>Yes</v>
      </c>
    </row>
    <row r="131">
      <c r="A131" s="4" t="str">
        <f>IFERROR(__xludf.DUMMYFUNCTION("vlookup(C131,IMPORTRANGE(""1Kgoo8qyo6zMtf_5B03ksZz228jg0XpZ4_KXsdHQ4Vks"",""14 Sept!A:B""),2,0)"),"DME2594")</f>
        <v>DME2594</v>
      </c>
      <c r="B131" s="5" t="str">
        <f>IFERROR(__xludf.DUMMYFUNCTION("""COMPUTED_VALUE"""),"Kushal Agrawal")</f>
        <v>Kushal Agrawal</v>
      </c>
      <c r="C131" s="5" t="str">
        <f>IFERROR(__xludf.DUMMYFUNCTION("""COMPUTED_VALUE"""),"kushal.agrawal@onixnet.com")</f>
        <v>kushal.agrawal@onixnet.com</v>
      </c>
      <c r="D131" s="4" t="s">
        <v>11</v>
      </c>
      <c r="E131" s="6" t="str">
        <f>IFERROR(__xludf.DUMMYFUNCTION("vlookup($A131,importrange(""1fyGnaViAX9kns28pvsfPvI9925sAI7kxPlM7jpuHVJM"",""Validation!A:Z""),11,0)"),"Delivery Services")</f>
        <v>Delivery Services</v>
      </c>
      <c r="F131" s="6" t="str">
        <f>IFERROR(__xludf.DUMMYFUNCTION("vlookup($A131,importrange(""1fyGnaViAX9kns28pvsfPvI9925sAI7kxPlM7jpuHVJM"",""Validation!A:Z""),23,0)"),"Rahul Shelake")</f>
        <v>Rahul Shelake</v>
      </c>
      <c r="G131" s="6" t="str">
        <f>IFERROR(__xludf.DUMMYFUNCTION("vlookup(A131,importrange(""1fyGnaViAX9kns28pvsfPvI9925sAI7kxPlM7jpuHVJM"",""Validation!A:Z""),22,0)"),"Cluster - Sagar")</f>
        <v>Cluster - Sagar</v>
      </c>
      <c r="H131" s="4" t="str">
        <f>IFERROR(__xludf.DUMMYFUNCTION("vlookup(C131,importrange(""1kw74ismGU34AsZ5x-W4x7F3Zt2xc8NSYcCVMrCJBmdQ"",""DRP for 8 products!B:C""),2,0)"),"ONIKASEP3")</f>
        <v>ONIKASEP3</v>
      </c>
      <c r="I131" s="7">
        <f>IFERROR(__xludf.DUMMYFUNCTION("vlookup(C131,importrange(""1kw74ismGU34AsZ5x-W4x7F3Zt2xc8NSYcCVMrCJBmdQ"",""DRP for 8 products!B:E""),4,0)"),38.0)</f>
        <v>38</v>
      </c>
      <c r="J131" s="8" t="str">
        <f t="shared" si="1"/>
        <v>Tier 2</v>
      </c>
      <c r="K131" s="9" t="str">
        <f t="shared" si="2"/>
        <v>Active</v>
      </c>
      <c r="L131" s="4" t="str">
        <f>IFERROR(__xludf.DUMMYFUNCTION("vlookup(C131,importrange(""1kw74ismGU34AsZ5x-W4x7F3Zt2xc8NSYcCVMrCJBmdQ"",""DRP for 8 products!B:H""),6,0)"),"BigQuery")</f>
        <v>BigQuery</v>
      </c>
      <c r="M131" s="10" t="str">
        <f t="shared" si="3"/>
        <v>Yes</v>
      </c>
    </row>
    <row r="132">
      <c r="A132" s="4" t="str">
        <f>IFERROR(__xludf.DUMMYFUNCTION("vlookup(C132,IMPORTRANGE(""1Kgoo8qyo6zMtf_5B03ksZz228jg0XpZ4_KXsdHQ4Vks"",""14 Sept!A:B""),2,0)"),"DME1756")</f>
        <v>DME1756</v>
      </c>
      <c r="B132" s="5" t="str">
        <f>IFERROR(__xludf.DUMMYFUNCTION("""COMPUTED_VALUE"""),"BHARATI KAMBLE")</f>
        <v>BHARATI KAMBLE</v>
      </c>
      <c r="C132" s="5" t="str">
        <f>IFERROR(__xludf.DUMMYFUNCTION("""COMPUTED_VALUE"""),"bharati.kamble@onixnet.com")</f>
        <v>bharati.kamble@onixnet.com</v>
      </c>
      <c r="D132" s="4" t="s">
        <v>11</v>
      </c>
      <c r="E132" s="6" t="str">
        <f>IFERROR(__xludf.DUMMYFUNCTION("vlookup($A132,importrange(""1fyGnaViAX9kns28pvsfPvI9925sAI7kxPlM7jpuHVJM"",""Validation!A:Z""),11,0)"),"Delivery Services")</f>
        <v>Delivery Services</v>
      </c>
      <c r="F132" s="6" t="str">
        <f>IFERROR(__xludf.DUMMYFUNCTION("vlookup($A132,importrange(""1fyGnaViAX9kns28pvsfPvI9925sAI7kxPlM7jpuHVJM"",""Validation!A:Z""),23,0)"),"Rabindra Nayak")</f>
        <v>Rabindra Nayak</v>
      </c>
      <c r="G132" s="6" t="str">
        <f>IFERROR(__xludf.DUMMYFUNCTION("vlookup(A132,importrange(""1fyGnaViAX9kns28pvsfPvI9925sAI7kxPlM7jpuHVJM"",""Validation!A:Z""),22,0)"),"Cluster - Sagar")</f>
        <v>Cluster - Sagar</v>
      </c>
      <c r="H132" s="4" t="str">
        <f>IFERROR(__xludf.DUMMYFUNCTION("vlookup(C132,importrange(""1kw74ismGU34AsZ5x-W4x7F3Zt2xc8NSYcCVMrCJBmdQ"",""DRP for 8 products!B:C""),2,0)"),"ONIBKMKA1")</f>
        <v>ONIBKMKA1</v>
      </c>
      <c r="I132" s="7">
        <f>IFERROR(__xludf.DUMMYFUNCTION("vlookup(C132,importrange(""1kw74ismGU34AsZ5x-W4x7F3Zt2xc8NSYcCVMrCJBmdQ"",""DRP for 8 products!B:E""),4,0)"),49.0)</f>
        <v>49</v>
      </c>
      <c r="J132" s="8" t="str">
        <f t="shared" si="1"/>
        <v>Tier 2</v>
      </c>
      <c r="K132" s="9" t="str">
        <f t="shared" si="2"/>
        <v>Active</v>
      </c>
      <c r="L132" s="4" t="str">
        <f>IFERROR(__xludf.DUMMYFUNCTION("vlookup(C132,importrange(""1kw74ismGU34AsZ5x-W4x7F3Zt2xc8NSYcCVMrCJBmdQ"",""DRP for 8 products!B:H""),6,0)"),"BigQuery")</f>
        <v>BigQuery</v>
      </c>
      <c r="M132" s="10" t="str">
        <f t="shared" si="3"/>
        <v>Yes</v>
      </c>
    </row>
    <row r="133">
      <c r="A133" s="4" t="str">
        <f>IFERROR(__xludf.DUMMYFUNCTION("vlookup(C133,IMPORTRANGE(""1Kgoo8qyo6zMtf_5B03ksZz228jg0XpZ4_KXsdHQ4Vks"",""14 Sept!A:B""),2,0)"),"DME1402")</f>
        <v>DME1402</v>
      </c>
      <c r="B133" s="5" t="str">
        <f>IFERROR(__xludf.DUMMYFUNCTION("""COMPUTED_VALUE"""),"Navtesh Haratalekar")</f>
        <v>Navtesh Haratalekar</v>
      </c>
      <c r="C133" s="5" t="str">
        <f>IFERROR(__xludf.DUMMYFUNCTION("""COMPUTED_VALUE"""),"navtesh.haratalekar@onixnet.com")</f>
        <v>navtesh.haratalekar@onixnet.com</v>
      </c>
      <c r="D133" s="4" t="s">
        <v>11</v>
      </c>
      <c r="E133" s="6" t="str">
        <f>IFERROR(__xludf.DUMMYFUNCTION("vlookup($A133,importrange(""1fyGnaViAX9kns28pvsfPvI9925sAI7kxPlM7jpuHVJM"",""Validation!A:Z""),11,0)"),"Product Engineering")</f>
        <v>Product Engineering</v>
      </c>
      <c r="F133" s="6" t="str">
        <f>IFERROR(__xludf.DUMMYFUNCTION("vlookup($A133,importrange(""1fyGnaViAX9kns28pvsfPvI9925sAI7kxPlM7jpuHVJM"",""Validation!A:Z""),23,0)"),"Nishant Tiwary")</f>
        <v>Nishant Tiwary</v>
      </c>
      <c r="G133" s="6" t="str">
        <f>IFERROR(__xludf.DUMMYFUNCTION("vlookup(A133,importrange(""1fyGnaViAX9kns28pvsfPvI9925sAI7kxPlM7jpuHVJM"",""Validation!A:Z""),22,0)"),"Cluster - Mayur")</f>
        <v>Cluster - Mayur</v>
      </c>
      <c r="H133" s="4" t="str">
        <f>IFERROR(__xludf.DUMMYFUNCTION("vlookup(C133,importrange(""1kw74ismGU34AsZ5x-W4x7F3Zt2xc8NSYcCVMrCJBmdQ"",""DRP for 8 products!B:C""),2,0)"),"ONINHRFW5")</f>
        <v>ONINHRFW5</v>
      </c>
      <c r="I133" s="7">
        <f>IFERROR(__xludf.DUMMYFUNCTION("vlookup(C133,importrange(""1kw74ismGU34AsZ5x-W4x7F3Zt2xc8NSYcCVMrCJBmdQ"",""DRP for 8 products!B:E""),4,0)"),36.0)</f>
        <v>36</v>
      </c>
      <c r="J133" s="8" t="str">
        <f t="shared" si="1"/>
        <v>Tier 2</v>
      </c>
      <c r="K133" s="9" t="str">
        <f t="shared" si="2"/>
        <v>Active</v>
      </c>
      <c r="L133" s="4" t="str">
        <f>IFERROR(__xludf.DUMMYFUNCTION("vlookup(C133,importrange(""1kw74ismGU34AsZ5x-W4x7F3Zt2xc8NSYcCVMrCJBmdQ"",""DRP for 8 products!B:H""),6,0)"),"BigQuery")</f>
        <v>BigQuery</v>
      </c>
      <c r="M133" s="10" t="str">
        <f t="shared" si="3"/>
        <v>Yes</v>
      </c>
    </row>
    <row r="134">
      <c r="A134" s="4" t="str">
        <f>IFERROR(__xludf.DUMMYFUNCTION("vlookup(C134,IMPORTRANGE(""1Kgoo8qyo6zMtf_5B03ksZz228jg0XpZ4_KXsdHQ4Vks"",""14 Sept!A:B""),2,0)"),"DME2369")</f>
        <v>DME2369</v>
      </c>
      <c r="B134" s="5" t="str">
        <f>IFERROR(__xludf.DUMMYFUNCTION("""COMPUTED_VALUE"""),"Kishor Mengawade")</f>
        <v>Kishor Mengawade</v>
      </c>
      <c r="C134" s="5" t="str">
        <f>IFERROR(__xludf.DUMMYFUNCTION("""COMPUTED_VALUE"""),"kishor.mengawade@onixnet.com")</f>
        <v>kishor.mengawade@onixnet.com</v>
      </c>
      <c r="D134" s="4" t="s">
        <v>11</v>
      </c>
      <c r="E134" s="6" t="str">
        <f>IFERROR(__xludf.DUMMYFUNCTION("vlookup($A134,importrange(""1fyGnaViAX9kns28pvsfPvI9925sAI7kxPlM7jpuHVJM"",""Validation!A:Z""),11,0)"),"Delivery Services")</f>
        <v>Delivery Services</v>
      </c>
      <c r="F134" s="6" t="str">
        <f>IFERROR(__xludf.DUMMYFUNCTION("vlookup($A134,importrange(""1fyGnaViAX9kns28pvsfPvI9925sAI7kxPlM7jpuHVJM"",""Validation!A:Z""),23,0)"),"Vaibhav Mittal")</f>
        <v>Vaibhav Mittal</v>
      </c>
      <c r="G134" s="6" t="str">
        <f>IFERROR(__xludf.DUMMYFUNCTION("vlookup(A134,importrange(""1fyGnaViAX9kns28pvsfPvI9925sAI7kxPlM7jpuHVJM"",""Validation!A:Z""),22,0)"),"Cluster - Gaurav")</f>
        <v>Cluster - Gaurav</v>
      </c>
      <c r="H134" s="4" t="str">
        <f>IFERROR(__xludf.DUMMYFUNCTION("vlookup(C134,importrange(""1kw74ismGU34AsZ5x-W4x7F3Zt2xc8NSYcCVMrCJBmdQ"",""DRP for 8 products!B:C""),2,0)"),"ONIKMUWC2")</f>
        <v>ONIKMUWC2</v>
      </c>
      <c r="I134" s="7">
        <f>IFERROR(__xludf.DUMMYFUNCTION("vlookup(C134,importrange(""1kw74ismGU34AsZ5x-W4x7F3Zt2xc8NSYcCVMrCJBmdQ"",""DRP for 8 products!B:E""),4,0)"),17.0)</f>
        <v>17</v>
      </c>
      <c r="J134" s="8" t="str">
        <f t="shared" si="1"/>
        <v>Tier 4</v>
      </c>
      <c r="K134" s="9" t="str">
        <f t="shared" si="2"/>
        <v>Active</v>
      </c>
      <c r="L134" s="4" t="str">
        <f>IFERROR(__xludf.DUMMYFUNCTION("vlookup(C134,importrange(""1kw74ismGU34AsZ5x-W4x7F3Zt2xc8NSYcCVMrCJBmdQ"",""DRP for 8 products!B:H""),6,0)"),"AlloyDB for PostgreSQL")</f>
        <v>AlloyDB for PostgreSQL</v>
      </c>
      <c r="M134" s="10" t="str">
        <f t="shared" si="3"/>
        <v>Yes</v>
      </c>
    </row>
    <row r="135">
      <c r="A135" s="4" t="str">
        <f>IFERROR(__xludf.DUMMYFUNCTION("vlookup(C135,IMPORTRANGE(""1Kgoo8qyo6zMtf_5B03ksZz228jg0XpZ4_KXsdHQ4Vks"",""14 Sept!A:B""),2,0)"),"ONIX814")</f>
        <v>ONIX814</v>
      </c>
      <c r="B135" s="5" t="str">
        <f>IFERROR(__xludf.DUMMYFUNCTION("""COMPUTED_VALUE"""),"Pratik Karhekar")</f>
        <v>Pratik Karhekar</v>
      </c>
      <c r="C135" s="5" t="str">
        <f>IFERROR(__xludf.DUMMYFUNCTION("""COMPUTED_VALUE"""),"pratik.karhekar@onixnet.com")</f>
        <v>pratik.karhekar@onixnet.com</v>
      </c>
      <c r="D135" s="4" t="s">
        <v>11</v>
      </c>
      <c r="E135" s="6" t="str">
        <f>IFERROR(__xludf.DUMMYFUNCTION("vlookup($A135,importrange(""1fyGnaViAX9kns28pvsfPvI9925sAI7kxPlM7jpuHVJM"",""Validation!A:Z""),11,0)"),"Services")</f>
        <v>Services</v>
      </c>
      <c r="F135" s="6" t="str">
        <f>IFERROR(__xludf.DUMMYFUNCTION("vlookup($A135,importrange(""1fyGnaViAX9kns28pvsfPvI9925sAI7kxPlM7jpuHVJM"",""Validation!A:Z""),23,0)"),"Venkat Srinivasan")</f>
        <v>Venkat Srinivasan</v>
      </c>
      <c r="G135" s="6" t="str">
        <f>IFERROR(__xludf.DUMMYFUNCTION("vlookup(A135,importrange(""1fyGnaViAX9kns28pvsfPvI9925sAI7kxPlM7jpuHVJM"",""Validation!A:Z""),22,0)"),"Portfolio - Rajesh")</f>
        <v>Portfolio - Rajesh</v>
      </c>
      <c r="H135" s="4" t="str">
        <f>IFERROR(__xludf.DUMMYFUNCTION("vlookup(C135,importrange(""1kw74ismGU34AsZ5x-W4x7F3Zt2xc8NSYcCVMrCJBmdQ"",""DRP for 8 products!B:C""),2,0)"),"ONIPKGYV8")</f>
        <v>ONIPKGYV8</v>
      </c>
      <c r="I135" s="7">
        <f>IFERROR(__xludf.DUMMYFUNCTION("vlookup(C135,importrange(""1kw74ismGU34AsZ5x-W4x7F3Zt2xc8NSYcCVMrCJBmdQ"",""DRP for 8 products!B:E""),4,0)"),15.0)</f>
        <v>15</v>
      </c>
      <c r="J135" s="8" t="str">
        <f t="shared" si="1"/>
        <v>Tier 4</v>
      </c>
      <c r="K135" s="9" t="str">
        <f t="shared" si="2"/>
        <v>Active</v>
      </c>
      <c r="L135" s="4" t="str">
        <f>IFERROR(__xludf.DUMMYFUNCTION("vlookup(C135,importrange(""1kw74ismGU34AsZ5x-W4x7F3Zt2xc8NSYcCVMrCJBmdQ"",""DRP for 8 products!B:H""),6,0)"),"BigQuery")</f>
        <v>BigQuery</v>
      </c>
      <c r="M135" s="10" t="str">
        <f t="shared" si="3"/>
        <v>Yes</v>
      </c>
    </row>
    <row r="136">
      <c r="A136" s="4" t="str">
        <f>IFERROR(__xludf.DUMMYFUNCTION("vlookup(C136,IMPORTRANGE(""1Kgoo8qyo6zMtf_5B03ksZz228jg0XpZ4_KXsdHQ4Vks"",""14 Sept!A:B""),2,0)"),"ONIX816")</f>
        <v>ONIX816</v>
      </c>
      <c r="B136" s="5" t="str">
        <f>IFERROR(__xludf.DUMMYFUNCTION("""COMPUTED_VALUE"""),"Aniket Chougule")</f>
        <v>Aniket Chougule</v>
      </c>
      <c r="C136" s="5" t="str">
        <f>IFERROR(__xludf.DUMMYFUNCTION("""COMPUTED_VALUE"""),"aniket.chougule@onixnet.com")</f>
        <v>aniket.chougule@onixnet.com</v>
      </c>
      <c r="D136" s="4" t="s">
        <v>11</v>
      </c>
      <c r="E136" s="6" t="str">
        <f>IFERROR(__xludf.DUMMYFUNCTION("vlookup($A136,importrange(""1fyGnaViAX9kns28pvsfPvI9925sAI7kxPlM7jpuHVJM"",""Validation!A:Z""),11,0)"),"Services")</f>
        <v>Services</v>
      </c>
      <c r="F136" s="6" t="str">
        <f>IFERROR(__xludf.DUMMYFUNCTION("vlookup($A136,importrange(""1fyGnaViAX9kns28pvsfPvI9925sAI7kxPlM7jpuHVJM"",""Validation!A:Z""),23,0)"),"Venkat Srinivasan")</f>
        <v>Venkat Srinivasan</v>
      </c>
      <c r="G136" s="6" t="str">
        <f>IFERROR(__xludf.DUMMYFUNCTION("vlookup(A136,importrange(""1fyGnaViAX9kns28pvsfPvI9925sAI7kxPlM7jpuHVJM"",""Validation!A:Z""),22,0)"),"Portfolio - Rajesh")</f>
        <v>Portfolio - Rajesh</v>
      </c>
      <c r="H136" s="4" t="str">
        <f>IFERROR(__xludf.DUMMYFUNCTION("vlookup(C136,importrange(""1kw74ismGU34AsZ5x-W4x7F3Zt2xc8NSYcCVMrCJBmdQ"",""DRP for 8 products!B:C""),2,0)"),"ONIACMGV7")</f>
        <v>ONIACMGV7</v>
      </c>
      <c r="I136" s="7">
        <f>IFERROR(__xludf.DUMMYFUNCTION("vlookup(C136,importrange(""1kw74ismGU34AsZ5x-W4x7F3Zt2xc8NSYcCVMrCJBmdQ"",""DRP for 8 products!B:E""),4,0)"),54.0)</f>
        <v>54</v>
      </c>
      <c r="J136" s="8" t="str">
        <f t="shared" si="1"/>
        <v>Tier 1</v>
      </c>
      <c r="K136" s="9" t="str">
        <f t="shared" si="2"/>
        <v>Active</v>
      </c>
      <c r="L136" s="4" t="str">
        <f>IFERROR(__xludf.DUMMYFUNCTION("vlookup(C136,importrange(""1kw74ismGU34AsZ5x-W4x7F3Zt2xc8NSYcCVMrCJBmdQ"",""DRP for 8 products!B:H""),6,0)"),"BigQuery")</f>
        <v>BigQuery</v>
      </c>
      <c r="M136" s="10" t="str">
        <f t="shared" si="3"/>
        <v>Yes</v>
      </c>
    </row>
    <row r="137">
      <c r="A137" s="4" t="str">
        <f>IFERROR(__xludf.DUMMYFUNCTION("vlookup(C137,IMPORTRANGE(""1Kgoo8qyo6zMtf_5B03ksZz228jg0XpZ4_KXsdHQ4Vks"",""14 Sept!A:B""),2,0)"),"DME2839")</f>
        <v>DME2839</v>
      </c>
      <c r="B137" s="5" t="str">
        <f>IFERROR(__xludf.DUMMYFUNCTION("""COMPUTED_VALUE"""),"Rohith Gajavalli")</f>
        <v>Rohith Gajavalli</v>
      </c>
      <c r="C137" s="5" t="str">
        <f>IFERROR(__xludf.DUMMYFUNCTION("""COMPUTED_VALUE"""),"rohith.guptha@onixnet.com")</f>
        <v>rohith.guptha@onixnet.com</v>
      </c>
      <c r="D137" s="4" t="s">
        <v>11</v>
      </c>
      <c r="E137" s="6" t="str">
        <f>IFERROR(__xludf.DUMMYFUNCTION("vlookup($A137,importrange(""1fyGnaViAX9kns28pvsfPvI9925sAI7kxPlM7jpuHVJM"",""Validation!A:Z""),11,0)"),"Delivery Services")</f>
        <v>Delivery Services</v>
      </c>
      <c r="F137" s="6" t="str">
        <f>IFERROR(__xludf.DUMMYFUNCTION("vlookup($A137,importrange(""1fyGnaViAX9kns28pvsfPvI9925sAI7kxPlM7jpuHVJM"",""Validation!A:Z""),23,0)"),"Akash Choudhari")</f>
        <v>Akash Choudhari</v>
      </c>
      <c r="G137" s="6" t="str">
        <f>IFERROR(__xludf.DUMMYFUNCTION("vlookup(A137,importrange(""1fyGnaViAX9kns28pvsfPvI9925sAI7kxPlM7jpuHVJM"",""Validation!A:Z""),22,0)"),"Cluster - Sandeep")</f>
        <v>Cluster - Sandeep</v>
      </c>
      <c r="H137" s="4" t="str">
        <f>IFERROR(__xludf.DUMMYFUNCTION("vlookup(C137,importrange(""1kw74ismGU34AsZ5x-W4x7F3Zt2xc8NSYcCVMrCJBmdQ"",""DRP for 8 products!B:C""),2,0)"),"ONIRGKUY2")</f>
        <v>ONIRGKUY2</v>
      </c>
      <c r="I137" s="7">
        <f>IFERROR(__xludf.DUMMYFUNCTION("vlookup(C137,importrange(""1kw74ismGU34AsZ5x-W4x7F3Zt2xc8NSYcCVMrCJBmdQ"",""DRP for 8 products!B:E""),4,0)"),17.0)</f>
        <v>17</v>
      </c>
      <c r="J137" s="8" t="str">
        <f t="shared" si="1"/>
        <v>Tier 4</v>
      </c>
      <c r="K137" s="9" t="str">
        <f t="shared" si="2"/>
        <v>Active</v>
      </c>
      <c r="L137" s="4" t="str">
        <f>IFERROR(__xludf.DUMMYFUNCTION("vlookup(C137,importrange(""1kw74ismGU34AsZ5x-W4x7F3Zt2xc8NSYcCVMrCJBmdQ"",""DRP for 8 products!B:H""),6,0)"),"AlloyDB for PostgreSQL")</f>
        <v>AlloyDB for PostgreSQL</v>
      </c>
      <c r="M137" s="10" t="str">
        <f t="shared" si="3"/>
        <v>Yes</v>
      </c>
    </row>
    <row r="138">
      <c r="A138" s="4" t="str">
        <f>IFERROR(__xludf.DUMMYFUNCTION("vlookup(C138,IMPORTRANGE(""1Kgoo8qyo6zMtf_5B03ksZz228jg0XpZ4_KXsdHQ4Vks"",""14 Sept!A:B""),2,0)"),"DME2843")</f>
        <v>DME2843</v>
      </c>
      <c r="B138" s="5" t="str">
        <f>IFERROR(__xludf.DUMMYFUNCTION("""COMPUTED_VALUE"""),"Rishikesh Hatekar")</f>
        <v>Rishikesh Hatekar</v>
      </c>
      <c r="C138" s="5" t="str">
        <f>IFERROR(__xludf.DUMMYFUNCTION("""COMPUTED_VALUE"""),"rishikesh.hatekar@onixnet.com")</f>
        <v>rishikesh.hatekar@onixnet.com</v>
      </c>
      <c r="D138" s="4" t="s">
        <v>11</v>
      </c>
      <c r="E138" s="6" t="str">
        <f>IFERROR(__xludf.DUMMYFUNCTION("vlookup($A138,importrange(""1fyGnaViAX9kns28pvsfPvI9925sAI7kxPlM7jpuHVJM"",""Validation!A:Z""),11,0)"),"Delivery Services")</f>
        <v>Delivery Services</v>
      </c>
      <c r="F138" s="6" t="str">
        <f>IFERROR(__xludf.DUMMYFUNCTION("vlookup($A138,importrange(""1fyGnaViAX9kns28pvsfPvI9925sAI7kxPlM7jpuHVJM"",""Validation!A:Z""),23,0)"),"Akash Choudhari")</f>
        <v>Akash Choudhari</v>
      </c>
      <c r="G138" s="6" t="str">
        <f>IFERROR(__xludf.DUMMYFUNCTION("vlookup(A138,importrange(""1fyGnaViAX9kns28pvsfPvI9925sAI7kxPlM7jpuHVJM"",""Validation!A:Z""),22,0)"),"Cluster - Sandeep")</f>
        <v>Cluster - Sandeep</v>
      </c>
      <c r="H138" s="4" t="str">
        <f>IFERROR(__xludf.DUMMYFUNCTION("vlookup(C138,importrange(""1kw74ismGU34AsZ5x-W4x7F3Zt2xc8NSYcCVMrCJBmdQ"",""DRP for 8 products!B:C""),2,0)"),"ONIRHCAP3")</f>
        <v>ONIRHCAP3</v>
      </c>
      <c r="I138" s="7">
        <f>IFERROR(__xludf.DUMMYFUNCTION("vlookup(C138,importrange(""1kw74ismGU34AsZ5x-W4x7F3Zt2xc8NSYcCVMrCJBmdQ"",""DRP for 8 products!B:E""),4,0)"),17.0)</f>
        <v>17</v>
      </c>
      <c r="J138" s="8" t="str">
        <f t="shared" si="1"/>
        <v>Tier 4</v>
      </c>
      <c r="K138" s="9" t="str">
        <f t="shared" si="2"/>
        <v>Active</v>
      </c>
      <c r="L138" s="4" t="str">
        <f>IFERROR(__xludf.DUMMYFUNCTION("vlookup(C138,importrange(""1kw74ismGU34AsZ5x-W4x7F3Zt2xc8NSYcCVMrCJBmdQ"",""DRP for 8 products!B:H""),6,0)"),"AlloyDB for PostgreSQL")</f>
        <v>AlloyDB for PostgreSQL</v>
      </c>
      <c r="M138" s="10" t="str">
        <f t="shared" si="3"/>
        <v>Yes</v>
      </c>
    </row>
    <row r="139">
      <c r="A139" s="4" t="str">
        <f>IFERROR(__xludf.DUMMYFUNCTION("vlookup(C139,IMPORTRANGE(""1Kgoo8qyo6zMtf_5B03ksZz228jg0XpZ4_KXsdHQ4Vks"",""14 Sept!A:B""),2,0)"),"DMUK0014")</f>
        <v>DMUK0014</v>
      </c>
      <c r="B139" s="5" t="str">
        <f>IFERROR(__xludf.DUMMYFUNCTION("""COMPUTED_VALUE"""),"Paul Mc Cabe")</f>
        <v>Paul Mc Cabe</v>
      </c>
      <c r="C139" s="5" t="str">
        <f>IFERROR(__xludf.DUMMYFUNCTION("""COMPUTED_VALUE"""),"paul.mccabe@onixnet.com")</f>
        <v>paul.mccabe@onixnet.com</v>
      </c>
      <c r="D139" s="4" t="s">
        <v>11</v>
      </c>
      <c r="E139" s="6" t="str">
        <f>IFERROR(__xludf.DUMMYFUNCTION("vlookup($A139,importrange(""1fyGnaViAX9kns28pvsfPvI9925sAI7kxPlM7jpuHVJM"",""Validation!A:Z""),11,0)"),"Delivery Services")</f>
        <v>Delivery Services</v>
      </c>
      <c r="F139" s="6" t="str">
        <f>IFERROR(__xludf.DUMMYFUNCTION("vlookup($A139,importrange(""1fyGnaViAX9kns28pvsfPvI9925sAI7kxPlM7jpuHVJM"",""Validation!A:Z""),23,0)"),"Bob Cielenski")</f>
        <v>Bob Cielenski</v>
      </c>
      <c r="G139" s="6" t="str">
        <f>IFERROR(__xludf.DUMMYFUNCTION("vlookup(A139,importrange(""1fyGnaViAX9kns28pvsfPvI9925sAI7kxPlM7jpuHVJM"",""Validation!A:Z""),22,0)"),"Portfolio - Rick")</f>
        <v>Portfolio - Rick</v>
      </c>
      <c r="H139" s="4" t="str">
        <f>IFERROR(__xludf.DUMMYFUNCTION("vlookup(C139,importrange(""1kw74ismGU34AsZ5x-W4x7F3Zt2xc8NSYcCVMrCJBmdQ"",""DRP for 8 products!B:C""),2,0)"),"ONIPMJAC9")</f>
        <v>ONIPMJAC9</v>
      </c>
      <c r="I139" s="7">
        <f>IFERROR(__xludf.DUMMYFUNCTION("vlookup(C139,importrange(""1kw74ismGU34AsZ5x-W4x7F3Zt2xc8NSYcCVMrCJBmdQ"",""DRP for 8 products!B:E""),4,0)"),6.0)</f>
        <v>6</v>
      </c>
      <c r="J139" s="8" t="str">
        <f t="shared" si="1"/>
        <v>Tier 4</v>
      </c>
      <c r="K139" s="9" t="str">
        <f t="shared" si="2"/>
        <v>Active</v>
      </c>
      <c r="L139" s="4" t="str">
        <f>IFERROR(__xludf.DUMMYFUNCTION("vlookup(C139,importrange(""1kw74ismGU34AsZ5x-W4x7F3Zt2xc8NSYcCVMrCJBmdQ"",""DRP for 8 products!B:H""),6,0)"),"Looker")</f>
        <v>Looker</v>
      </c>
      <c r="M139" s="10" t="str">
        <f t="shared" si="3"/>
        <v>Yes</v>
      </c>
    </row>
    <row r="140">
      <c r="A140" s="4" t="str">
        <f>IFERROR(__xludf.DUMMYFUNCTION("vlookup(C140,IMPORTRANGE(""1Kgoo8qyo6zMtf_5B03ksZz228jg0XpZ4_KXsdHQ4Vks"",""14 Sept!A:B""),2,0)"),"ONIX791")</f>
        <v>ONIX791</v>
      </c>
      <c r="B140" s="5" t="str">
        <f>IFERROR(__xludf.DUMMYFUNCTION("""COMPUTED_VALUE"""),"Travis Williams")</f>
        <v>Travis Williams</v>
      </c>
      <c r="C140" s="5" t="str">
        <f>IFERROR(__xludf.DUMMYFUNCTION("""COMPUTED_VALUE"""),"travis.williams@onixnet.com")</f>
        <v>travis.williams@onixnet.com</v>
      </c>
      <c r="D140" s="4" t="s">
        <v>11</v>
      </c>
      <c r="E140" s="6" t="str">
        <f>IFERROR(__xludf.DUMMYFUNCTION("vlookup($A140,importrange(""1fyGnaViAX9kns28pvsfPvI9925sAI7kxPlM7jpuHVJM"",""Validation!A:Z""),11,0)"),"Delivery")</f>
        <v>Delivery</v>
      </c>
      <c r="F140" s="6" t="str">
        <f>IFERROR(__xludf.DUMMYFUNCTION("vlookup($A140,importrange(""1fyGnaViAX9kns28pvsfPvI9925sAI7kxPlM7jpuHVJM"",""Validation!A:Z""),23,0)"),"Bob Cielenski")</f>
        <v>Bob Cielenski</v>
      </c>
      <c r="G140" s="6" t="str">
        <f>IFERROR(__xludf.DUMMYFUNCTION("vlookup(A140,importrange(""1fyGnaViAX9kns28pvsfPvI9925sAI7kxPlM7jpuHVJM"",""Validation!A:Z""),22,0)"),"Portfolio - Rick")</f>
        <v>Portfolio - Rick</v>
      </c>
      <c r="H140" s="4" t="str">
        <f>IFERROR(__xludf.DUMMYFUNCTION("vlookup(C140,importrange(""1kw74ismGU34AsZ5x-W4x7F3Zt2xc8NSYcCVMrCJBmdQ"",""DRP for 8 products!B:C""),2,0)"),"ONITWWLU2")</f>
        <v>ONITWWLU2</v>
      </c>
      <c r="I140" s="7">
        <f>IFERROR(__xludf.DUMMYFUNCTION("vlookup(C140,importrange(""1kw74ismGU34AsZ5x-W4x7F3Zt2xc8NSYcCVMrCJBmdQ"",""DRP for 8 products!B:E""),4,0)"),14.0)</f>
        <v>14</v>
      </c>
      <c r="J140" s="8" t="str">
        <f t="shared" si="1"/>
        <v>Tier 4</v>
      </c>
      <c r="K140" s="9" t="str">
        <f t="shared" si="2"/>
        <v>Active</v>
      </c>
      <c r="L140" s="4" t="str">
        <f>IFERROR(__xludf.DUMMYFUNCTION("vlookup(C140,importrange(""1kw74ismGU34AsZ5x-W4x7F3Zt2xc8NSYcCVMrCJBmdQ"",""DRP for 8 products!B:H""),6,0)"),"Looker")</f>
        <v>Looker</v>
      </c>
      <c r="M140" s="10" t="str">
        <f t="shared" si="3"/>
        <v>Yes</v>
      </c>
    </row>
    <row r="141">
      <c r="A141" s="4" t="str">
        <f>IFERROR(__xludf.DUMMYFUNCTION("vlookup(C141,IMPORTRANGE(""1Kgoo8qyo6zMtf_5B03ksZz228jg0XpZ4_KXsdHQ4Vks"",""14 Sept!A:B""),2,0)"),"ONIX793")</f>
        <v>ONIX793</v>
      </c>
      <c r="B141" s="5" t="str">
        <f>IFERROR(__xludf.DUMMYFUNCTION("""COMPUTED_VALUE"""),"Luisa Yuhouse")</f>
        <v>Luisa Yuhouse</v>
      </c>
      <c r="C141" s="5" t="str">
        <f>IFERROR(__xludf.DUMMYFUNCTION("""COMPUTED_VALUE"""),"luisa.yuhouse@onixnet.com")</f>
        <v>luisa.yuhouse@onixnet.com</v>
      </c>
      <c r="D141" s="4" t="s">
        <v>11</v>
      </c>
      <c r="E141" s="6" t="str">
        <f>IFERROR(__xludf.DUMMYFUNCTION("vlookup($A141,importrange(""1fyGnaViAX9kns28pvsfPvI9925sAI7kxPlM7jpuHVJM"",""Validation!A:Z""),11,0)"),"Delivery")</f>
        <v>Delivery</v>
      </c>
      <c r="F141" s="6" t="str">
        <f>IFERROR(__xludf.DUMMYFUNCTION("vlookup($A141,importrange(""1fyGnaViAX9kns28pvsfPvI9925sAI7kxPlM7jpuHVJM"",""Validation!A:Z""),23,0)"),"Bob Cielenski")</f>
        <v>Bob Cielenski</v>
      </c>
      <c r="G141" s="6" t="str">
        <f>IFERROR(__xludf.DUMMYFUNCTION("vlookup(A141,importrange(""1fyGnaViAX9kns28pvsfPvI9925sAI7kxPlM7jpuHVJM"",""Validation!A:Z""),22,0)"),"Portfolio - Rick")</f>
        <v>Portfolio - Rick</v>
      </c>
      <c r="H141" s="4" t="str">
        <f>IFERROR(__xludf.DUMMYFUNCTION("vlookup(C141,importrange(""1kw74ismGU34AsZ5x-W4x7F3Zt2xc8NSYcCVMrCJBmdQ"",""DRP for 8 products!B:C""),2,0)"),"ONILYTSK4")</f>
        <v>ONILYTSK4</v>
      </c>
      <c r="I141" s="7">
        <f>IFERROR(__xludf.DUMMYFUNCTION("vlookup(C141,importrange(""1kw74ismGU34AsZ5x-W4x7F3Zt2xc8NSYcCVMrCJBmdQ"",""DRP for 8 products!B:E""),4,0)"),6.0)</f>
        <v>6</v>
      </c>
      <c r="J141" s="8" t="str">
        <f t="shared" si="1"/>
        <v>Tier 4</v>
      </c>
      <c r="K141" s="9" t="str">
        <f t="shared" si="2"/>
        <v>Active</v>
      </c>
      <c r="L141" s="4" t="str">
        <f>IFERROR(__xludf.DUMMYFUNCTION("vlookup(C141,importrange(""1kw74ismGU34AsZ5x-W4x7F3Zt2xc8NSYcCVMrCJBmdQ"",""DRP for 8 products!B:H""),6,0)"),"Looker")</f>
        <v>Looker</v>
      </c>
      <c r="M141" s="10" t="str">
        <f t="shared" si="3"/>
        <v>Yes</v>
      </c>
    </row>
    <row r="142">
      <c r="A142" s="4" t="str">
        <f>IFERROR(__xludf.DUMMYFUNCTION("vlookup(C142,IMPORTRANGE(""1Kgoo8qyo6zMtf_5B03ksZz228jg0XpZ4_KXsdHQ4Vks"",""14 Sept!A:B""),2,0)"),"DME1909")</f>
        <v>DME1909</v>
      </c>
      <c r="B142" s="5" t="str">
        <f>IFERROR(__xludf.DUMMYFUNCTION("""COMPUTED_VALUE"""),"Chinmay Deshpande")</f>
        <v>Chinmay Deshpande</v>
      </c>
      <c r="C142" s="5" t="str">
        <f>IFERROR(__xludf.DUMMYFUNCTION("""COMPUTED_VALUE"""),"chinmay.deshpande@onixnet.com")</f>
        <v>chinmay.deshpande@onixnet.com</v>
      </c>
      <c r="D142" s="4" t="s">
        <v>11</v>
      </c>
      <c r="E142" s="6" t="str">
        <f>IFERROR(__xludf.DUMMYFUNCTION("vlookup($A142,importrange(""1fyGnaViAX9kns28pvsfPvI9925sAI7kxPlM7jpuHVJM"",""Validation!A:Z""),11,0)"),"Delivery Services")</f>
        <v>Delivery Services</v>
      </c>
      <c r="F142" s="6" t="str">
        <f>IFERROR(__xludf.DUMMYFUNCTION("vlookup($A142,importrange(""1fyGnaViAX9kns28pvsfPvI9925sAI7kxPlM7jpuHVJM"",""Validation!A:Z""),23,0)"),"Prasad Pramod Kulkarni")</f>
        <v>Prasad Pramod Kulkarni</v>
      </c>
      <c r="G142" s="6" t="str">
        <f>IFERROR(__xludf.DUMMYFUNCTION("vlookup(A142,importrange(""1fyGnaViAX9kns28pvsfPvI9925sAI7kxPlM7jpuHVJM"",""Validation!A:Z""),22,0)"),"Cluster - Sagar")</f>
        <v>Cluster - Sagar</v>
      </c>
      <c r="H142" s="4" t="str">
        <f>IFERROR(__xludf.DUMMYFUNCTION("vlookup(C142,importrange(""1kw74ismGU34AsZ5x-W4x7F3Zt2xc8NSYcCVMrCJBmdQ"",""DRP for 8 products!B:C""),2,0)"),"ONICDEGE4")</f>
        <v>ONICDEGE4</v>
      </c>
      <c r="I142" s="7">
        <f>IFERROR(__xludf.DUMMYFUNCTION("vlookup(C142,importrange(""1kw74ismGU34AsZ5x-W4x7F3Zt2xc8NSYcCVMrCJBmdQ"",""DRP for 8 products!B:E""),4,0)"),34.0)</f>
        <v>34</v>
      </c>
      <c r="J142" s="8" t="str">
        <f t="shared" si="1"/>
        <v>Tier 3</v>
      </c>
      <c r="K142" s="9" t="str">
        <f t="shared" si="2"/>
        <v>Active</v>
      </c>
      <c r="L142" s="4" t="str">
        <f>IFERROR(__xludf.DUMMYFUNCTION("vlookup(C142,importrange(""1kw74ismGU34AsZ5x-W4x7F3Zt2xc8NSYcCVMrCJBmdQ"",""DRP for 8 products!B:H""),6,0)"),"BigQuery")</f>
        <v>BigQuery</v>
      </c>
      <c r="M142" s="10" t="str">
        <f t="shared" si="3"/>
        <v>Yes</v>
      </c>
    </row>
    <row r="143">
      <c r="A143" s="4" t="str">
        <f>IFERROR(__xludf.DUMMYFUNCTION("vlookup(C143,IMPORTRANGE(""1Kgoo8qyo6zMtf_5B03ksZz228jg0XpZ4_KXsdHQ4Vks"",""14 Sept!A:B""),2,0)"),"DME2440")</f>
        <v>DME2440</v>
      </c>
      <c r="B143" s="5" t="str">
        <f>IFERROR(__xludf.DUMMYFUNCTION("""COMPUTED_VALUE"""),"Chetana Hande")</f>
        <v>Chetana Hande</v>
      </c>
      <c r="C143" s="5" t="str">
        <f>IFERROR(__xludf.DUMMYFUNCTION("""COMPUTED_VALUE"""),"chetana.hande@onixnet.com")</f>
        <v>chetana.hande@onixnet.com</v>
      </c>
      <c r="D143" s="4" t="s">
        <v>11</v>
      </c>
      <c r="E143" s="6" t="str">
        <f>IFERROR(__xludf.DUMMYFUNCTION("vlookup($A143,importrange(""1fyGnaViAX9kns28pvsfPvI9925sAI7kxPlM7jpuHVJM"",""Validation!A:Z""),11,0)"),"Delivery Services")</f>
        <v>Delivery Services</v>
      </c>
      <c r="F143" s="6" t="str">
        <f>IFERROR(__xludf.DUMMYFUNCTION("vlookup($A143,importrange(""1fyGnaViAX9kns28pvsfPvI9925sAI7kxPlM7jpuHVJM"",""Validation!A:Z""),23,0)"),"Sheela Sawant")</f>
        <v>Sheela Sawant</v>
      </c>
      <c r="G143" s="6" t="str">
        <f>IFERROR(__xludf.DUMMYFUNCTION("vlookup(A143,importrange(""1fyGnaViAX9kns28pvsfPvI9925sAI7kxPlM7jpuHVJM"",""Validation!A:Z""),22,0)"),"Cluster - Sagar")</f>
        <v>Cluster - Sagar</v>
      </c>
      <c r="H143" s="4" t="str">
        <f>IFERROR(__xludf.DUMMYFUNCTION("vlookup(C143,importrange(""1kw74ismGU34AsZ5x-W4x7F3Zt2xc8NSYcCVMrCJBmdQ"",""DRP for 8 products!B:C""),2,0)"),"ONICHJHO8")</f>
        <v>ONICHJHO8</v>
      </c>
      <c r="I143" s="7">
        <f>IFERROR(__xludf.DUMMYFUNCTION("vlookup(C143,importrange(""1kw74ismGU34AsZ5x-W4x7F3Zt2xc8NSYcCVMrCJBmdQ"",""DRP for 8 products!B:E""),4,0)"),23.0)</f>
        <v>23</v>
      </c>
      <c r="J143" s="8" t="str">
        <f t="shared" si="1"/>
        <v>Tier 3</v>
      </c>
      <c r="K143" s="9" t="str">
        <f t="shared" si="2"/>
        <v>Active</v>
      </c>
      <c r="L143" s="4" t="str">
        <f>IFERROR(__xludf.DUMMYFUNCTION("vlookup(C143,importrange(""1kw74ismGU34AsZ5x-W4x7F3Zt2xc8NSYcCVMrCJBmdQ"",""DRP for 8 products!B:H""),6,0)"),"BigQuery")</f>
        <v>BigQuery</v>
      </c>
      <c r="M143" s="10" t="str">
        <f t="shared" si="3"/>
        <v>Yes</v>
      </c>
    </row>
    <row r="144">
      <c r="A144" s="4" t="str">
        <f>IFERROR(__xludf.DUMMYFUNCTION("vlookup(C144,IMPORTRANGE(""1Kgoo8qyo6zMtf_5B03ksZz228jg0XpZ4_KXsdHQ4Vks"",""14 Sept!A:B""),2,0)"),"DME2800")</f>
        <v>DME2800</v>
      </c>
      <c r="B144" s="5" t="str">
        <f>IFERROR(__xludf.DUMMYFUNCTION("""COMPUTED_VALUE"""),"Tanish Mall")</f>
        <v>Tanish Mall</v>
      </c>
      <c r="C144" s="5" t="str">
        <f>IFERROR(__xludf.DUMMYFUNCTION("""COMPUTED_VALUE"""),"tanish.mall@onixnet.com")</f>
        <v>tanish.mall@onixnet.com</v>
      </c>
      <c r="D144" s="4" t="s">
        <v>11</v>
      </c>
      <c r="E144" s="6" t="str">
        <f>IFERROR(__xludf.DUMMYFUNCTION("vlookup($A144,importrange(""1fyGnaViAX9kns28pvsfPvI9925sAI7kxPlM7jpuHVJM"",""Validation!A:Z""),11,0)"),"Delivery Services")</f>
        <v>Delivery Services</v>
      </c>
      <c r="F144" s="6" t="str">
        <f>IFERROR(__xludf.DUMMYFUNCTION("vlookup($A144,importrange(""1fyGnaViAX9kns28pvsfPvI9925sAI7kxPlM7jpuHVJM"",""Validation!A:Z""),23,0)"),"Aarti Borhade")</f>
        <v>Aarti Borhade</v>
      </c>
      <c r="G144" s="6" t="str">
        <f>IFERROR(__xludf.DUMMYFUNCTION("vlookup(A144,importrange(""1fyGnaViAX9kns28pvsfPvI9925sAI7kxPlM7jpuHVJM"",""Validation!A:Z""),22,0)"),"Cluster - Sagar")</f>
        <v>Cluster - Sagar</v>
      </c>
      <c r="H144" s="4" t="str">
        <f>IFERROR(__xludf.DUMMYFUNCTION("vlookup(C144,importrange(""1kw74ismGU34AsZ5x-W4x7F3Zt2xc8NSYcCVMrCJBmdQ"",""DRP for 8 products!B:C""),2,0)"),"ONITMNNU2")</f>
        <v>ONITMNNU2</v>
      </c>
      <c r="I144" s="7">
        <f>IFERROR(__xludf.DUMMYFUNCTION("vlookup(C144,importrange(""1kw74ismGU34AsZ5x-W4x7F3Zt2xc8NSYcCVMrCJBmdQ"",""DRP for 8 products!B:E""),4,0)"),59.0)</f>
        <v>59</v>
      </c>
      <c r="J144" s="8" t="str">
        <f t="shared" si="1"/>
        <v>Tier 1</v>
      </c>
      <c r="K144" s="9" t="str">
        <f t="shared" si="2"/>
        <v>Active</v>
      </c>
      <c r="L144" s="4" t="str">
        <f>IFERROR(__xludf.DUMMYFUNCTION("vlookup(C144,importrange(""1kw74ismGU34AsZ5x-W4x7F3Zt2xc8NSYcCVMrCJBmdQ"",""DRP for 8 products!B:H""),6,0)"),"BigQuery")</f>
        <v>BigQuery</v>
      </c>
      <c r="M144" s="10" t="str">
        <f t="shared" si="3"/>
        <v>Yes</v>
      </c>
    </row>
    <row r="145">
      <c r="A145" s="4" t="str">
        <f>IFERROR(__xludf.DUMMYFUNCTION("vlookup(C145,IMPORTRANGE(""1Kgoo8qyo6zMtf_5B03ksZz228jg0XpZ4_KXsdHQ4Vks"",""14 Sept!A:B""),2,0)"),"DME2763")</f>
        <v>DME2763</v>
      </c>
      <c r="B145" s="5" t="str">
        <f>IFERROR(__xludf.DUMMYFUNCTION("""COMPUTED_VALUE"""),"Srishti Singh")</f>
        <v>Srishti Singh</v>
      </c>
      <c r="C145" s="5" t="str">
        <f>IFERROR(__xludf.DUMMYFUNCTION("""COMPUTED_VALUE"""),"srishti.singh@onixnet.com")</f>
        <v>srishti.singh@onixnet.com</v>
      </c>
      <c r="D145" s="4" t="s">
        <v>11</v>
      </c>
      <c r="E145" s="6" t="str">
        <f>IFERROR(__xludf.DUMMYFUNCTION("vlookup($A145,importrange(""1fyGnaViAX9kns28pvsfPvI9925sAI7kxPlM7jpuHVJM"",""Validation!A:Z""),11,0)"),"Delivery Services")</f>
        <v>Delivery Services</v>
      </c>
      <c r="F145" s="6" t="str">
        <f>IFERROR(__xludf.DUMMYFUNCTION("vlookup($A145,importrange(""1fyGnaViAX9kns28pvsfPvI9925sAI7kxPlM7jpuHVJM"",""Validation!A:Z""),23,0)"),"Nisha Chandrakant Dhole")</f>
        <v>Nisha Chandrakant Dhole</v>
      </c>
      <c r="G145" s="6" t="str">
        <f>IFERROR(__xludf.DUMMYFUNCTION("vlookup(A145,importrange(""1fyGnaViAX9kns28pvsfPvI9925sAI7kxPlM7jpuHVJM"",""Validation!A:Z""),22,0)"),"Cluster - Sagar")</f>
        <v>Cluster - Sagar</v>
      </c>
      <c r="H145" s="4" t="str">
        <f>IFERROR(__xludf.DUMMYFUNCTION("vlookup(C145,importrange(""1kw74ismGU34AsZ5x-W4x7F3Zt2xc8NSYcCVMrCJBmdQ"",""DRP for 8 products!B:C""),2,0)"),"ONISSQVE7")</f>
        <v>ONISSQVE7</v>
      </c>
      <c r="I145" s="7">
        <f>IFERROR(__xludf.DUMMYFUNCTION("vlookup(C145,importrange(""1kw74ismGU34AsZ5x-W4x7F3Zt2xc8NSYcCVMrCJBmdQ"",""DRP for 8 products!B:E""),4,0)"),54.0)</f>
        <v>54</v>
      </c>
      <c r="J145" s="8" t="str">
        <f t="shared" si="1"/>
        <v>Tier 1</v>
      </c>
      <c r="K145" s="9" t="str">
        <f t="shared" si="2"/>
        <v>Active</v>
      </c>
      <c r="L145" s="4" t="str">
        <f>IFERROR(__xludf.DUMMYFUNCTION("vlookup(C145,importrange(""1kw74ismGU34AsZ5x-W4x7F3Zt2xc8NSYcCVMrCJBmdQ"",""DRP for 8 products!B:H""),6,0)"),"BigQuery")</f>
        <v>BigQuery</v>
      </c>
      <c r="M145" s="10" t="str">
        <f t="shared" si="3"/>
        <v>Yes</v>
      </c>
    </row>
    <row r="146">
      <c r="A146" s="4" t="str">
        <f>IFERROR(__xludf.DUMMYFUNCTION("vlookup(C146,IMPORTRANGE(""1Kgoo8qyo6zMtf_5B03ksZz228jg0XpZ4_KXsdHQ4Vks"",""14 Sept!A:B""),2,0)"),"DME2569")</f>
        <v>DME2569</v>
      </c>
      <c r="B146" s="5" t="str">
        <f>IFERROR(__xludf.DUMMYFUNCTION("""COMPUTED_VALUE"""),"Girish Hande")</f>
        <v>Girish Hande</v>
      </c>
      <c r="C146" s="5" t="str">
        <f>IFERROR(__xludf.DUMMYFUNCTION("""COMPUTED_VALUE"""),"girish.hande@onixnet.com")</f>
        <v>girish.hande@onixnet.com</v>
      </c>
      <c r="D146" s="4" t="s">
        <v>11</v>
      </c>
      <c r="E146" s="6" t="str">
        <f>IFERROR(__xludf.DUMMYFUNCTION("vlookup($A146,importrange(""1fyGnaViAX9kns28pvsfPvI9925sAI7kxPlM7jpuHVJM"",""Validation!A:Z""),11,0)"),"Delivery Services")</f>
        <v>Delivery Services</v>
      </c>
      <c r="F146" s="6" t="str">
        <f>IFERROR(__xludf.DUMMYFUNCTION("vlookup($A146,importrange(""1fyGnaViAX9kns28pvsfPvI9925sAI7kxPlM7jpuHVJM"",""Validation!A:Z""),23,0)"),"Mithilesh Pardeshi")</f>
        <v>Mithilesh Pardeshi</v>
      </c>
      <c r="G146" s="6" t="str">
        <f>IFERROR(__xludf.DUMMYFUNCTION("vlookup(A146,importrange(""1fyGnaViAX9kns28pvsfPvI9925sAI7kxPlM7jpuHVJM"",""Validation!A:Z""),22,0)"),"Cluster - Sagar")</f>
        <v>Cluster - Sagar</v>
      </c>
      <c r="H146" s="4" t="str">
        <f>IFERROR(__xludf.DUMMYFUNCTION("vlookup(C146,importrange(""1kw74ismGU34AsZ5x-W4x7F3Zt2xc8NSYcCVMrCJBmdQ"",""DRP for 8 products!B:C""),2,0)"),"ONIGHGIS9")</f>
        <v>ONIGHGIS9</v>
      </c>
      <c r="I146" s="7">
        <f>IFERROR(__xludf.DUMMYFUNCTION("vlookup(C146,importrange(""1kw74ismGU34AsZ5x-W4x7F3Zt2xc8NSYcCVMrCJBmdQ"",""DRP for 8 products!B:E""),4,0)"),43.0)</f>
        <v>43</v>
      </c>
      <c r="J146" s="8" t="str">
        <f t="shared" si="1"/>
        <v>Tier 2</v>
      </c>
      <c r="K146" s="9" t="str">
        <f t="shared" si="2"/>
        <v>Active</v>
      </c>
      <c r="L146" s="4" t="str">
        <f>IFERROR(__xludf.DUMMYFUNCTION("vlookup(C146,importrange(""1kw74ismGU34AsZ5x-W4x7F3Zt2xc8NSYcCVMrCJBmdQ"",""DRP for 8 products!B:H""),6,0)"),"Looker")</f>
        <v>Looker</v>
      </c>
      <c r="M146" s="10" t="str">
        <f t="shared" si="3"/>
        <v>Yes</v>
      </c>
    </row>
    <row r="147">
      <c r="A147" s="4" t="str">
        <f>IFERROR(__xludf.DUMMYFUNCTION("vlookup(C147,IMPORTRANGE(""1Kgoo8qyo6zMtf_5B03ksZz228jg0XpZ4_KXsdHQ4Vks"",""14 Sept!A:B""),2,0)"),"DME2125")</f>
        <v>DME2125</v>
      </c>
      <c r="B147" s="5" t="str">
        <f>IFERROR(__xludf.DUMMYFUNCTION("""COMPUTED_VALUE"""),"Manthan Bore")</f>
        <v>Manthan Bore</v>
      </c>
      <c r="C147" s="5" t="str">
        <f>IFERROR(__xludf.DUMMYFUNCTION("""COMPUTED_VALUE"""),"manthan.bore@onixnet.com")</f>
        <v>manthan.bore@onixnet.com</v>
      </c>
      <c r="D147" s="4" t="s">
        <v>11</v>
      </c>
      <c r="E147" s="6" t="str">
        <f>IFERROR(__xludf.DUMMYFUNCTION("vlookup($A147,importrange(""1fyGnaViAX9kns28pvsfPvI9925sAI7kxPlM7jpuHVJM"",""Validation!A:Z""),11,0)"),"Delivery Services")</f>
        <v>Delivery Services</v>
      </c>
      <c r="F147" s="6" t="str">
        <f>IFERROR(__xludf.DUMMYFUNCTION("vlookup($A147,importrange(""1fyGnaViAX9kns28pvsfPvI9925sAI7kxPlM7jpuHVJM"",""Validation!A:Z""),23,0)"),"Priyanka Parab")</f>
        <v>Priyanka Parab</v>
      </c>
      <c r="G147" s="6" t="str">
        <f>IFERROR(__xludf.DUMMYFUNCTION("vlookup(A147,importrange(""1fyGnaViAX9kns28pvsfPvI9925sAI7kxPlM7jpuHVJM"",""Validation!A:Z""),22,0)"),"Cluster - Sagar")</f>
        <v>Cluster - Sagar</v>
      </c>
      <c r="H147" s="4" t="str">
        <f>IFERROR(__xludf.DUMMYFUNCTION("vlookup(C147,importrange(""1kw74ismGU34AsZ5x-W4x7F3Zt2xc8NSYcCVMrCJBmdQ"",""DRP for 8 products!B:C""),2,0)"),"ONIMBFDS8")</f>
        <v>ONIMBFDS8</v>
      </c>
      <c r="I147" s="7">
        <f>IFERROR(__xludf.DUMMYFUNCTION("vlookup(C147,importrange(""1kw74ismGU34AsZ5x-W4x7F3Zt2xc8NSYcCVMrCJBmdQ"",""DRP for 8 products!B:E""),4,0)"),25.0)</f>
        <v>25</v>
      </c>
      <c r="J147" s="8" t="str">
        <f t="shared" si="1"/>
        <v>Tier 3</v>
      </c>
      <c r="K147" s="9" t="str">
        <f t="shared" si="2"/>
        <v>Active</v>
      </c>
      <c r="L147" s="4" t="str">
        <f>IFERROR(__xludf.DUMMYFUNCTION("vlookup(C147,importrange(""1kw74ismGU34AsZ5x-W4x7F3Zt2xc8NSYcCVMrCJBmdQ"",""DRP for 8 products!B:H""),6,0)"),"Dataflow")</f>
        <v>Dataflow</v>
      </c>
      <c r="M147" s="10" t="str">
        <f t="shared" si="3"/>
        <v>Yes</v>
      </c>
    </row>
    <row r="148">
      <c r="A148" s="4" t="str">
        <f>IFERROR(__xludf.DUMMYFUNCTION("vlookup(C148,IMPORTRANGE(""1Kgoo8qyo6zMtf_5B03ksZz228jg0XpZ4_KXsdHQ4Vks"",""14 Sept!A:B""),2,0)"),"DME1771")</f>
        <v>DME1771</v>
      </c>
      <c r="B148" s="5" t="str">
        <f>IFERROR(__xludf.DUMMYFUNCTION("""COMPUTED_VALUE"""),"Rushikesh Mohite")</f>
        <v>Rushikesh Mohite</v>
      </c>
      <c r="C148" s="5" t="str">
        <f>IFERROR(__xludf.DUMMYFUNCTION("""COMPUTED_VALUE"""),"rushikesh.mohite@onixnet.com")</f>
        <v>rushikesh.mohite@onixnet.com</v>
      </c>
      <c r="D148" s="4" t="s">
        <v>11</v>
      </c>
      <c r="E148" s="6" t="str">
        <f>IFERROR(__xludf.DUMMYFUNCTION("vlookup($A148,importrange(""1fyGnaViAX9kns28pvsfPvI9925sAI7kxPlM7jpuHVJM"",""Validation!A:Z""),11,0)"),"Eagle Assessment")</f>
        <v>Eagle Assessment</v>
      </c>
      <c r="F148" s="6" t="str">
        <f>IFERROR(__xludf.DUMMYFUNCTION("vlookup($A148,importrange(""1fyGnaViAX9kns28pvsfPvI9925sAI7kxPlM7jpuHVJM"",""Validation!A:Z""),23,0)"),"Lokesh Bhardwaj")</f>
        <v>Lokesh Bhardwaj</v>
      </c>
      <c r="G148" s="6" t="str">
        <f>IFERROR(__xludf.DUMMYFUNCTION("vlookup(A148,importrange(""1fyGnaViAX9kns28pvsfPvI9925sAI7kxPlM7jpuHVJM"",""Validation!A:Z""),22,0)"),"Cluster - Kalpa")</f>
        <v>Cluster - Kalpa</v>
      </c>
      <c r="H148" s="4" t="str">
        <f>IFERROR(__xludf.DUMMYFUNCTION("vlookup(C148,importrange(""1kw74ismGU34AsZ5x-W4x7F3Zt2xc8NSYcCVMrCJBmdQ"",""DRP for 8 products!B:C""),2,0)"),"ONIRMWAN0")</f>
        <v>ONIRMWAN0</v>
      </c>
      <c r="I148" s="7">
        <f>IFERROR(__xludf.DUMMYFUNCTION("vlookup(C148,importrange(""1kw74ismGU34AsZ5x-W4x7F3Zt2xc8NSYcCVMrCJBmdQ"",""DRP for 8 products!B:E""),4,0)"),64.0)</f>
        <v>64</v>
      </c>
      <c r="J148" s="8" t="str">
        <f t="shared" si="1"/>
        <v>Tier 1</v>
      </c>
      <c r="K148" s="9" t="str">
        <f t="shared" si="2"/>
        <v>Active</v>
      </c>
      <c r="L148" s="4" t="str">
        <f>IFERROR(__xludf.DUMMYFUNCTION("vlookup(C148,importrange(""1kw74ismGU34AsZ5x-W4x7F3Zt2xc8NSYcCVMrCJBmdQ"",""DRP for 8 products!B:H""),6,0)"),"BigQuery")</f>
        <v>BigQuery</v>
      </c>
      <c r="M148" s="10" t="str">
        <f t="shared" si="3"/>
        <v>Yes</v>
      </c>
    </row>
    <row r="149">
      <c r="A149" s="4" t="str">
        <f>IFERROR(__xludf.DUMMYFUNCTION("vlookup(C149,IMPORTRANGE(""1Kgoo8qyo6zMtf_5B03ksZz228jg0XpZ4_KXsdHQ4Vks"",""14 Sept!A:B""),2,0)"),"DME1711")</f>
        <v>DME1711</v>
      </c>
      <c r="B149" s="5" t="str">
        <f>IFERROR(__xludf.DUMMYFUNCTION("""COMPUTED_VALUE"""),"Pooja Palande")</f>
        <v>Pooja Palande</v>
      </c>
      <c r="C149" s="5" t="str">
        <f>IFERROR(__xludf.DUMMYFUNCTION("""COMPUTED_VALUE"""),"pooja.palande@onixnet.com")</f>
        <v>pooja.palande@onixnet.com</v>
      </c>
      <c r="D149" s="4" t="s">
        <v>11</v>
      </c>
      <c r="E149" s="6" t="str">
        <f>IFERROR(__xludf.DUMMYFUNCTION("vlookup($A149,importrange(""1fyGnaViAX9kns28pvsfPvI9925sAI7kxPlM7jpuHVJM"",""Validation!A:Z""),11,0)"),"Delivery Services")</f>
        <v>Delivery Services</v>
      </c>
      <c r="F149" s="6" t="str">
        <f>IFERROR(__xludf.DUMMYFUNCTION("vlookup($A149,importrange(""1fyGnaViAX9kns28pvsfPvI9925sAI7kxPlM7jpuHVJM"",""Validation!A:Z""),23,0)"),"Priyanka Parab")</f>
        <v>Priyanka Parab</v>
      </c>
      <c r="G149" s="6" t="str">
        <f>IFERROR(__xludf.DUMMYFUNCTION("vlookup(A149,importrange(""1fyGnaViAX9kns28pvsfPvI9925sAI7kxPlM7jpuHVJM"",""Validation!A:Z""),22,0)"),"Cluster - Sagar")</f>
        <v>Cluster - Sagar</v>
      </c>
      <c r="H149" s="4" t="str">
        <f>IFERROR(__xludf.DUMMYFUNCTION("vlookup(C149,importrange(""1kw74ismGU34AsZ5x-W4x7F3Zt2xc8NSYcCVMrCJBmdQ"",""DRP for 8 products!B:C""),2,0)"),"ONIPPYOW5")</f>
        <v>ONIPPYOW5</v>
      </c>
      <c r="I149" s="7">
        <f>IFERROR(__xludf.DUMMYFUNCTION("vlookup(C149,importrange(""1kw74ismGU34AsZ5x-W4x7F3Zt2xc8NSYcCVMrCJBmdQ"",""DRP for 8 products!B:E""),4,0)"),19.0)</f>
        <v>19</v>
      </c>
      <c r="J149" s="8" t="str">
        <f t="shared" si="1"/>
        <v>Tier 4</v>
      </c>
      <c r="K149" s="9" t="str">
        <f t="shared" si="2"/>
        <v>Active</v>
      </c>
      <c r="L149" s="4" t="str">
        <f>IFERROR(__xludf.DUMMYFUNCTION("vlookup(C149,importrange(""1kw74ismGU34AsZ5x-W4x7F3Zt2xc8NSYcCVMrCJBmdQ"",""DRP for 8 products!B:H""),6,0)"),"BigQuery")</f>
        <v>BigQuery</v>
      </c>
      <c r="M149" s="10" t="str">
        <f t="shared" si="3"/>
        <v>Yes</v>
      </c>
    </row>
    <row r="150">
      <c r="A150" s="4" t="str">
        <f>IFERROR(__xludf.DUMMYFUNCTION("vlookup(C150,IMPORTRANGE(""1Kgoo8qyo6zMtf_5B03ksZz228jg0XpZ4_KXsdHQ4Vks"",""14 Sept!A:B""),2,0)"),"ONIX783")</f>
        <v>ONIX783</v>
      </c>
      <c r="B150" s="5" t="str">
        <f>IFERROR(__xludf.DUMMYFUNCTION("""COMPUTED_VALUE"""),"Deborah Powell")</f>
        <v>Deborah Powell</v>
      </c>
      <c r="C150" s="5" t="str">
        <f>IFERROR(__xludf.DUMMYFUNCTION("""COMPUTED_VALUE"""),"deb.powell@onixnet.com")</f>
        <v>deb.powell@onixnet.com</v>
      </c>
      <c r="D150" s="4" t="s">
        <v>11</v>
      </c>
      <c r="E150" s="6" t="str">
        <f>IFERROR(__xludf.DUMMYFUNCTION("vlookup($A150,importrange(""1fyGnaViAX9kns28pvsfPvI9925sAI7kxPlM7jpuHVJM"",""Validation!A:Z""),11,0)"),"Delivery")</f>
        <v>Delivery</v>
      </c>
      <c r="F150" s="6" t="str">
        <f>IFERROR(__xludf.DUMMYFUNCTION("vlookup($A150,importrange(""1fyGnaViAX9kns28pvsfPvI9925sAI7kxPlM7jpuHVJM"",""Validation!A:Z""),23,0)"),"Bob Cielenski")</f>
        <v>Bob Cielenski</v>
      </c>
      <c r="G150" s="6" t="str">
        <f>IFERROR(__xludf.DUMMYFUNCTION("vlookup(A150,importrange(""1fyGnaViAX9kns28pvsfPvI9925sAI7kxPlM7jpuHVJM"",""Validation!A:Z""),22,0)"),"Portfolio - Rick")</f>
        <v>Portfolio - Rick</v>
      </c>
      <c r="H150" s="4" t="str">
        <f>IFERROR(__xludf.DUMMYFUNCTION("vlookup(C150,importrange(""1kw74ismGU34AsZ5x-W4x7F3Zt2xc8NSYcCVMrCJBmdQ"",""DRP for 8 products!B:C""),2,0)"),"ONIDPBPF0")</f>
        <v>ONIDPBPF0</v>
      </c>
      <c r="I150" s="7">
        <f>IFERROR(__xludf.DUMMYFUNCTION("vlookup(C150,importrange(""1kw74ismGU34AsZ5x-W4x7F3Zt2xc8NSYcCVMrCJBmdQ"",""DRP for 8 products!B:E""),4,0)"),14.0)</f>
        <v>14</v>
      </c>
      <c r="J150" s="8" t="str">
        <f t="shared" si="1"/>
        <v>Tier 4</v>
      </c>
      <c r="K150" s="9" t="str">
        <f t="shared" si="2"/>
        <v>Active</v>
      </c>
      <c r="L150" s="4" t="str">
        <f>IFERROR(__xludf.DUMMYFUNCTION("vlookup(C150,importrange(""1kw74ismGU34AsZ5x-W4x7F3Zt2xc8NSYcCVMrCJBmdQ"",""DRP for 8 products!B:H""),6,0)"),"BigQuery")</f>
        <v>BigQuery</v>
      </c>
      <c r="M150" s="10" t="str">
        <f t="shared" si="3"/>
        <v>Yes</v>
      </c>
    </row>
    <row r="151">
      <c r="A151" s="4" t="str">
        <f>IFERROR(__xludf.DUMMYFUNCTION("vlookup(C151,IMPORTRANGE(""1Kgoo8qyo6zMtf_5B03ksZz228jg0XpZ4_KXsdHQ4Vks"",""14 Sept!A:B""),2,0)"),"DME2365")</f>
        <v>DME2365</v>
      </c>
      <c r="B151" s="5" t="str">
        <f>IFERROR(__xludf.DUMMYFUNCTION("""COMPUTED_VALUE"""),"Vishal Pawar")</f>
        <v>Vishal Pawar</v>
      </c>
      <c r="C151" s="5" t="str">
        <f>IFERROR(__xludf.DUMMYFUNCTION("""COMPUTED_VALUE"""),"vishal.pawar@onixnet.com")</f>
        <v>vishal.pawar@onixnet.com</v>
      </c>
      <c r="D151" s="4" t="s">
        <v>11</v>
      </c>
      <c r="E151" s="6" t="str">
        <f>IFERROR(__xludf.DUMMYFUNCTION("vlookup($A151,importrange(""1fyGnaViAX9kns28pvsfPvI9925sAI7kxPlM7jpuHVJM"",""Validation!A:Z""),11,0)"),"Delivery Services")</f>
        <v>Delivery Services</v>
      </c>
      <c r="F151" s="6" t="str">
        <f>IFERROR(__xludf.DUMMYFUNCTION("vlookup($A151,importrange(""1fyGnaViAX9kns28pvsfPvI9925sAI7kxPlM7jpuHVJM"",""Validation!A:Z""),23,0)"),"Manish Ahlawat")</f>
        <v>Manish Ahlawat</v>
      </c>
      <c r="G151" s="6" t="str">
        <f>IFERROR(__xludf.DUMMYFUNCTION("vlookup(A151,importrange(""1fyGnaViAX9kns28pvsfPvI9925sAI7kxPlM7jpuHVJM"",""Validation!A:Z""),22,0)"),"Cluster - Gaurav")</f>
        <v>Cluster - Gaurav</v>
      </c>
      <c r="H151" s="4" t="str">
        <f>IFERROR(__xludf.DUMMYFUNCTION("vlookup(C151,importrange(""1kw74ismGU34AsZ5x-W4x7F3Zt2xc8NSYcCVMrCJBmdQ"",""DRP for 8 products!B:C""),2,0)"),"ONIVPKDV0")</f>
        <v>ONIVPKDV0</v>
      </c>
      <c r="I151" s="7">
        <f>IFERROR(__xludf.DUMMYFUNCTION("vlookup(C151,importrange(""1kw74ismGU34AsZ5x-W4x7F3Zt2xc8NSYcCVMrCJBmdQ"",""DRP for 8 products!B:E""),4,0)"),34.0)</f>
        <v>34</v>
      </c>
      <c r="J151" s="8" t="str">
        <f t="shared" si="1"/>
        <v>Tier 3</v>
      </c>
      <c r="K151" s="9" t="str">
        <f t="shared" si="2"/>
        <v>Active</v>
      </c>
      <c r="L151" s="4" t="str">
        <f>IFERROR(__xludf.DUMMYFUNCTION("vlookup(C151,importrange(""1kw74ismGU34AsZ5x-W4x7F3Zt2xc8NSYcCVMrCJBmdQ"",""DRP for 8 products!B:H""),6,0)"),"BigQuery")</f>
        <v>BigQuery</v>
      </c>
      <c r="M151" s="10" t="str">
        <f t="shared" si="3"/>
        <v>Yes</v>
      </c>
    </row>
    <row r="152">
      <c r="A152" s="4" t="str">
        <f>IFERROR(__xludf.DUMMYFUNCTION("vlookup(C152,IMPORTRANGE(""1Kgoo8qyo6zMtf_5B03ksZz228jg0XpZ4_KXsdHQ4Vks"",""14 Sept!A:B""),2,0)"),"DME1176")</f>
        <v>DME1176</v>
      </c>
      <c r="B152" s="5" t="str">
        <f>IFERROR(__xludf.DUMMYFUNCTION("""COMPUTED_VALUE"""),"Akash Aslekar")</f>
        <v>Akash Aslekar</v>
      </c>
      <c r="C152" s="5" t="str">
        <f>IFERROR(__xludf.DUMMYFUNCTION("""COMPUTED_VALUE"""),"akash.aslekar@onixnet.com")</f>
        <v>akash.aslekar@onixnet.com</v>
      </c>
      <c r="D152" s="4" t="s">
        <v>11</v>
      </c>
      <c r="E152" s="6" t="str">
        <f>IFERROR(__xludf.DUMMYFUNCTION("vlookup($A152,importrange(""1fyGnaViAX9kns28pvsfPvI9925sAI7kxPlM7jpuHVJM"",""Validation!A:Z""),11,0)"),"Delivery Services")</f>
        <v>Delivery Services</v>
      </c>
      <c r="F152" s="6" t="str">
        <f>IFERROR(__xludf.DUMMYFUNCTION("vlookup($A152,importrange(""1fyGnaViAX9kns28pvsfPvI9925sAI7kxPlM7jpuHVJM"",""Validation!A:Z""),23,0)"),"Neeta Gawrha")</f>
        <v>Neeta Gawrha</v>
      </c>
      <c r="G152" s="6" t="str">
        <f>IFERROR(__xludf.DUMMYFUNCTION("vlookup(A152,importrange(""1fyGnaViAX9kns28pvsfPvI9925sAI7kxPlM7jpuHVJM"",""Validation!A:Z""),22,0)"),"Cluster - Sachin")</f>
        <v>Cluster - Sachin</v>
      </c>
      <c r="H152" s="4" t="str">
        <f>IFERROR(__xludf.DUMMYFUNCTION("vlookup(C152,importrange(""1kw74ismGU34AsZ5x-W4x7F3Zt2xc8NSYcCVMrCJBmdQ"",""DRP for 8 products!B:C""),2,0)"),"ONIAAHQN9")</f>
        <v>ONIAAHQN9</v>
      </c>
      <c r="I152" s="7">
        <f>IFERROR(__xludf.DUMMYFUNCTION("vlookup(C152,importrange(""1kw74ismGU34AsZ5x-W4x7F3Zt2xc8NSYcCVMrCJBmdQ"",""DRP for 8 products!B:E""),4,0)"),34.0)</f>
        <v>34</v>
      </c>
      <c r="J152" s="8" t="str">
        <f t="shared" si="1"/>
        <v>Tier 3</v>
      </c>
      <c r="K152" s="9" t="str">
        <f t="shared" si="2"/>
        <v>Active</v>
      </c>
      <c r="L152" s="4" t="str">
        <f>IFERROR(__xludf.DUMMYFUNCTION("vlookup(C152,importrange(""1kw74ismGU34AsZ5x-W4x7F3Zt2xc8NSYcCVMrCJBmdQ"",""DRP for 8 products!B:H""),6,0)"),"BigQuery")</f>
        <v>BigQuery</v>
      </c>
      <c r="M152" s="10" t="str">
        <f t="shared" si="3"/>
        <v>Yes</v>
      </c>
    </row>
    <row r="153">
      <c r="A153" s="4" t="str">
        <f>IFERROR(__xludf.DUMMYFUNCTION("vlookup(C153,IMPORTRANGE(""1Kgoo8qyo6zMtf_5B03ksZz228jg0XpZ4_KXsdHQ4Vks"",""14 Sept!A:B""),2,0)"),"DME2215")</f>
        <v>DME2215</v>
      </c>
      <c r="B153" s="5" t="str">
        <f>IFERROR(__xludf.DUMMYFUNCTION("""COMPUTED_VALUE"""),"Ravi Shrivastav")</f>
        <v>Ravi Shrivastav</v>
      </c>
      <c r="C153" s="5" t="str">
        <f>IFERROR(__xludf.DUMMYFUNCTION("""COMPUTED_VALUE"""),"ravi.shrivastav@onixnet.com")</f>
        <v>ravi.shrivastav@onixnet.com</v>
      </c>
      <c r="D153" s="4" t="s">
        <v>11</v>
      </c>
      <c r="E153" s="6" t="str">
        <f>IFERROR(__xludf.DUMMYFUNCTION("vlookup($A153,importrange(""1fyGnaViAX9kns28pvsfPvI9925sAI7kxPlM7jpuHVJM"",""Validation!A:Z""),11,0)"),"Product Engineering")</f>
        <v>Product Engineering</v>
      </c>
      <c r="F153" s="6" t="str">
        <f>IFERROR(__xludf.DUMMYFUNCTION("vlookup($A153,importrange(""1fyGnaViAX9kns28pvsfPvI9925sAI7kxPlM7jpuHVJM"",""Validation!A:Z""),23,0)"),"Saurabh Singh")</f>
        <v>Saurabh Singh</v>
      </c>
      <c r="G153" s="6" t="str">
        <f>IFERROR(__xludf.DUMMYFUNCTION("vlookup(A153,importrange(""1fyGnaViAX9kns28pvsfPvI9925sAI7kxPlM7jpuHVJM"",""Validation!A:Z""),22,0)"),"Cluster - Mayur")</f>
        <v>Cluster - Mayur</v>
      </c>
      <c r="H153" s="4" t="str">
        <f>IFERROR(__xludf.DUMMYFUNCTION("vlookup(C153,importrange(""1kw74ismGU34AsZ5x-W4x7F3Zt2xc8NSYcCVMrCJBmdQ"",""DRP for 8 products!B:C""),2,0)"),"ONIRSAJM4")</f>
        <v>ONIRSAJM4</v>
      </c>
      <c r="I153" s="7">
        <f>IFERROR(__xludf.DUMMYFUNCTION("vlookup(C153,importrange(""1kw74ismGU34AsZ5x-W4x7F3Zt2xc8NSYcCVMrCJBmdQ"",""DRP for 8 products!B:E""),4,0)"),32.0)</f>
        <v>32</v>
      </c>
      <c r="J153" s="8" t="str">
        <f t="shared" si="1"/>
        <v>Tier 3</v>
      </c>
      <c r="K153" s="9" t="str">
        <f t="shared" si="2"/>
        <v>Active</v>
      </c>
      <c r="L153" s="4" t="str">
        <f>IFERROR(__xludf.DUMMYFUNCTION("vlookup(C153,importrange(""1kw74ismGU34AsZ5x-W4x7F3Zt2xc8NSYcCVMrCJBmdQ"",""DRP for 8 products!B:H""),6,0)"),"BigQuery")</f>
        <v>BigQuery</v>
      </c>
      <c r="M153" s="10" t="str">
        <f t="shared" si="3"/>
        <v>Yes</v>
      </c>
    </row>
    <row r="154">
      <c r="A154" s="4" t="str">
        <f>IFERROR(__xludf.DUMMYFUNCTION("vlookup(C154,IMPORTRANGE(""1Kgoo8qyo6zMtf_5B03ksZz228jg0XpZ4_KXsdHQ4Vks"",""14 Sept!A:B""),2,0)"),"DME2871")</f>
        <v>DME2871</v>
      </c>
      <c r="B154" s="5" t="str">
        <f>IFERROR(__xludf.DUMMYFUNCTION("""COMPUTED_VALUE"""),"Utkarsh Maurya")</f>
        <v>Utkarsh Maurya</v>
      </c>
      <c r="C154" s="5" t="str">
        <f>IFERROR(__xludf.DUMMYFUNCTION("""COMPUTED_VALUE"""),"utkarsh.maurya@onixnet.com")</f>
        <v>utkarsh.maurya@onixnet.com</v>
      </c>
      <c r="D154" s="4" t="s">
        <v>11</v>
      </c>
      <c r="E154" s="6" t="str">
        <f>IFERROR(__xludf.DUMMYFUNCTION("vlookup($A154,importrange(""1fyGnaViAX9kns28pvsfPvI9925sAI7kxPlM7jpuHVJM"",""Validation!A:Z""),11,0)"),"Delivery Services")</f>
        <v>Delivery Services</v>
      </c>
      <c r="F154" s="6" t="str">
        <f>IFERROR(__xludf.DUMMYFUNCTION("vlookup($A154,importrange(""1fyGnaViAX9kns28pvsfPvI9925sAI7kxPlM7jpuHVJM"",""Validation!A:Z""),23,0)"),"Sumati Patil")</f>
        <v>Sumati Patil</v>
      </c>
      <c r="G154" s="6" t="str">
        <f>IFERROR(__xludf.DUMMYFUNCTION("vlookup(A154,importrange(""1fyGnaViAX9kns28pvsfPvI9925sAI7kxPlM7jpuHVJM"",""Validation!A:Z""),22,0)"),"Cluster - Sandeep")</f>
        <v>Cluster - Sandeep</v>
      </c>
      <c r="H154" s="4" t="str">
        <f>IFERROR(__xludf.DUMMYFUNCTION("vlookup(C154,importrange(""1kw74ismGU34AsZ5x-W4x7F3Zt2xc8NSYcCVMrCJBmdQ"",""DRP for 8 products!B:C""),2,0)"),"ONIUMLCW9")</f>
        <v>ONIUMLCW9</v>
      </c>
      <c r="I154" s="7">
        <f>IFERROR(__xludf.DUMMYFUNCTION("vlookup(C154,importrange(""1kw74ismGU34AsZ5x-W4x7F3Zt2xc8NSYcCVMrCJBmdQ"",""DRP for 8 products!B:E""),4,0)"),29.0)</f>
        <v>29</v>
      </c>
      <c r="J154" s="8" t="str">
        <f t="shared" si="1"/>
        <v>Tier 3</v>
      </c>
      <c r="K154" s="9" t="str">
        <f t="shared" si="2"/>
        <v>Active</v>
      </c>
      <c r="L154" s="4" t="str">
        <f>IFERROR(__xludf.DUMMYFUNCTION("vlookup(C154,importrange(""1kw74ismGU34AsZ5x-W4x7F3Zt2xc8NSYcCVMrCJBmdQ"",""DRP for 8 products!B:H""),6,0)"),"AlloyDB for PostgreSQL")</f>
        <v>AlloyDB for PostgreSQL</v>
      </c>
      <c r="M154" s="10" t="str">
        <f t="shared" si="3"/>
        <v>Yes</v>
      </c>
    </row>
    <row r="155">
      <c r="A155" s="4" t="str">
        <f>IFERROR(__xludf.DUMMYFUNCTION("vlookup(C155,IMPORTRANGE(""1Kgoo8qyo6zMtf_5B03ksZz228jg0XpZ4_KXsdHQ4Vks"",""14 Sept!A:B""),2,0)"),"DME2785")</f>
        <v>DME2785</v>
      </c>
      <c r="B155" s="5" t="str">
        <f>IFERROR(__xludf.DUMMYFUNCTION("""COMPUTED_VALUE"""),"Chinmay Kapote")</f>
        <v>Chinmay Kapote</v>
      </c>
      <c r="C155" s="5" t="str">
        <f>IFERROR(__xludf.DUMMYFUNCTION("""COMPUTED_VALUE"""),"chinmay.kapote@onixnet.com")</f>
        <v>chinmay.kapote@onixnet.com</v>
      </c>
      <c r="D155" s="4" t="s">
        <v>11</v>
      </c>
      <c r="E155" s="6" t="str">
        <f>IFERROR(__xludf.DUMMYFUNCTION("vlookup($A155,importrange(""1fyGnaViAX9kns28pvsfPvI9925sAI7kxPlM7jpuHVJM"",""Validation!A:Z""),11,0)"),"Delivery Services")</f>
        <v>Delivery Services</v>
      </c>
      <c r="F155" s="6" t="str">
        <f>IFERROR(__xludf.DUMMYFUNCTION("vlookup($A155,importrange(""1fyGnaViAX9kns28pvsfPvI9925sAI7kxPlM7jpuHVJM"",""Validation!A:Z""),23,0)"),"Mayuresh Kedari")</f>
        <v>Mayuresh Kedari</v>
      </c>
      <c r="G155" s="6" t="str">
        <f>IFERROR(__xludf.DUMMYFUNCTION("vlookup(A155,importrange(""1fyGnaViAX9kns28pvsfPvI9925sAI7kxPlM7jpuHVJM"",""Validation!A:Z""),22,0)"),"Cluster - Gaurav")</f>
        <v>Cluster - Gaurav</v>
      </c>
      <c r="H155" s="4" t="str">
        <f>IFERROR(__xludf.DUMMYFUNCTION("vlookup(C155,importrange(""1kw74ismGU34AsZ5x-W4x7F3Zt2xc8NSYcCVMrCJBmdQ"",""DRP for 8 products!B:C""),2,0)"),"ONICKNGO2")</f>
        <v>ONICKNGO2</v>
      </c>
      <c r="I155" s="7">
        <f>IFERROR(__xludf.DUMMYFUNCTION("vlookup(C155,importrange(""1kw74ismGU34AsZ5x-W4x7F3Zt2xc8NSYcCVMrCJBmdQ"",""DRP for 8 products!B:E""),4,0)"),21.0)</f>
        <v>21</v>
      </c>
      <c r="J155" s="8" t="str">
        <f t="shared" si="1"/>
        <v>Tier 3</v>
      </c>
      <c r="K155" s="9" t="str">
        <f t="shared" si="2"/>
        <v>Active</v>
      </c>
      <c r="L155" s="4" t="str">
        <f>IFERROR(__xludf.DUMMYFUNCTION("vlookup(C155,importrange(""1kw74ismGU34AsZ5x-W4x7F3Zt2xc8NSYcCVMrCJBmdQ"",""DRP for 8 products!B:H""),6,0)"),"BigQuery")</f>
        <v>BigQuery</v>
      </c>
      <c r="M155" s="10" t="str">
        <f t="shared" si="3"/>
        <v>Yes</v>
      </c>
    </row>
    <row r="156">
      <c r="A156" s="4" t="str">
        <f>IFERROR(__xludf.DUMMYFUNCTION("vlookup(C156,IMPORTRANGE(""1Kgoo8qyo6zMtf_5B03ksZz228jg0XpZ4_KXsdHQ4Vks"",""14 Sept!A:B""),2,0)"),"DME2237")</f>
        <v>DME2237</v>
      </c>
      <c r="B156" s="5" t="str">
        <f>IFERROR(__xludf.DUMMYFUNCTION("""COMPUTED_VALUE"""),"Sanskar Sinha")</f>
        <v>Sanskar Sinha</v>
      </c>
      <c r="C156" s="5" t="str">
        <f>IFERROR(__xludf.DUMMYFUNCTION("""COMPUTED_VALUE"""),"sanskar.sinha@onixnet.com")</f>
        <v>sanskar.sinha@onixnet.com</v>
      </c>
      <c r="D156" s="4" t="s">
        <v>11</v>
      </c>
      <c r="E156" s="6" t="str">
        <f>IFERROR(__xludf.DUMMYFUNCTION("vlookup($A156,importrange(""1fyGnaViAX9kns28pvsfPvI9925sAI7kxPlM7jpuHVJM"",""Validation!A:Z""),11,0)"),"Delivery Services")</f>
        <v>Delivery Services</v>
      </c>
      <c r="F156" s="6" t="str">
        <f>IFERROR(__xludf.DUMMYFUNCTION("vlookup($A156,importrange(""1fyGnaViAX9kns28pvsfPvI9925sAI7kxPlM7jpuHVJM"",""Validation!A:Z""),23,0)"),"Sneha Bhatambrekar")</f>
        <v>Sneha Bhatambrekar</v>
      </c>
      <c r="G156" s="6" t="str">
        <f>IFERROR(__xludf.DUMMYFUNCTION("vlookup(A156,importrange(""1fyGnaViAX9kns28pvsfPvI9925sAI7kxPlM7jpuHVJM"",""Validation!A:Z""),22,0)"),"Cluster - Sandeep")</f>
        <v>Cluster - Sandeep</v>
      </c>
      <c r="H156" s="4" t="str">
        <f>IFERROR(__xludf.DUMMYFUNCTION("vlookup(C156,importrange(""1kw74ismGU34AsZ5x-W4x7F3Zt2xc8NSYcCVMrCJBmdQ"",""DRP for 8 products!B:C""),2,0)"),"ONISSGCS0")</f>
        <v>ONISSGCS0</v>
      </c>
      <c r="I156" s="7">
        <f>IFERROR(__xludf.DUMMYFUNCTION("vlookup(C156,importrange(""1kw74ismGU34AsZ5x-W4x7F3Zt2xc8NSYcCVMrCJBmdQ"",""DRP for 8 products!B:E""),4,0)"),13.0)</f>
        <v>13</v>
      </c>
      <c r="J156" s="8" t="str">
        <f t="shared" si="1"/>
        <v>Tier 4</v>
      </c>
      <c r="K156" s="9" t="str">
        <f t="shared" si="2"/>
        <v>Active</v>
      </c>
      <c r="L156" s="4" t="str">
        <f>IFERROR(__xludf.DUMMYFUNCTION("vlookup(C156,importrange(""1kw74ismGU34AsZ5x-W4x7F3Zt2xc8NSYcCVMrCJBmdQ"",""DRP for 8 products!B:H""),6,0)"),"BigQuery")</f>
        <v>BigQuery</v>
      </c>
      <c r="M156" s="10" t="str">
        <f t="shared" si="3"/>
        <v>Yes</v>
      </c>
    </row>
    <row r="157">
      <c r="A157" s="4" t="str">
        <f>IFERROR(__xludf.DUMMYFUNCTION("vlookup(C157,IMPORTRANGE(""1Kgoo8qyo6zMtf_5B03ksZz228jg0XpZ4_KXsdHQ4Vks"",""14 Sept!A:B""),2,0)"),"DME2973")</f>
        <v>DME2973</v>
      </c>
      <c r="B157" s="5" t="str">
        <f>IFERROR(__xludf.DUMMYFUNCTION("""COMPUTED_VALUE"""),"Aditya Pathak")</f>
        <v>Aditya Pathak</v>
      </c>
      <c r="C157" s="5" t="str">
        <f>IFERROR(__xludf.DUMMYFUNCTION("""COMPUTED_VALUE"""),"aditya.pathak@onixnet.com")</f>
        <v>aditya.pathak@onixnet.com</v>
      </c>
      <c r="D157" s="4" t="s">
        <v>11</v>
      </c>
      <c r="E157" s="6" t="str">
        <f>IFERROR(__xludf.DUMMYFUNCTION("vlookup($A157,importrange(""1fyGnaViAX9kns28pvsfPvI9925sAI7kxPlM7jpuHVJM"",""Validation!A:Z""),11,0)"),"Delivery Services")</f>
        <v>Delivery Services</v>
      </c>
      <c r="F157" s="6" t="str">
        <f>IFERROR(__xludf.DUMMYFUNCTION("vlookup($A157,importrange(""1fyGnaViAX9kns28pvsfPvI9925sAI7kxPlM7jpuHVJM"",""Validation!A:Z""),23,0)"),"Anuj Chopra")</f>
        <v>Anuj Chopra</v>
      </c>
      <c r="G157" s="6" t="str">
        <f>IFERROR(__xludf.DUMMYFUNCTION("vlookup(A157,importrange(""1fyGnaViAX9kns28pvsfPvI9925sAI7kxPlM7jpuHVJM"",""Validation!A:Z""),22,0)"),"Cluster - Sagar")</f>
        <v>Cluster - Sagar</v>
      </c>
      <c r="H157" s="4" t="str">
        <f>IFERROR(__xludf.DUMMYFUNCTION("vlookup(C157,importrange(""1kw74ismGU34AsZ5x-W4x7F3Zt2xc8NSYcCVMrCJBmdQ"",""DRP for 8 products!B:C""),2,0)"),"ONIAPUCJ1")</f>
        <v>ONIAPUCJ1</v>
      </c>
      <c r="I157" s="7">
        <f>IFERROR(__xludf.DUMMYFUNCTION("vlookup(C157,importrange(""1kw74ismGU34AsZ5x-W4x7F3Zt2xc8NSYcCVMrCJBmdQ"",""DRP for 8 products!B:E""),4,0)"),5.0)</f>
        <v>5</v>
      </c>
      <c r="J157" s="8" t="str">
        <f t="shared" si="1"/>
        <v>Tier 4</v>
      </c>
      <c r="K157" s="9" t="str">
        <f t="shared" si="2"/>
        <v>Active</v>
      </c>
      <c r="L157" s="4" t="str">
        <f>IFERROR(__xludf.DUMMYFUNCTION("vlookup(C157,importrange(""1kw74ismGU34AsZ5x-W4x7F3Zt2xc8NSYcCVMrCJBmdQ"",""DRP for 8 products!B:H""),6,0)"),"BigQuery")</f>
        <v>BigQuery</v>
      </c>
      <c r="M157" s="10" t="str">
        <f t="shared" si="3"/>
        <v>Yes</v>
      </c>
    </row>
    <row r="158">
      <c r="A158" s="4" t="str">
        <f>IFERROR(__xludf.DUMMYFUNCTION("vlookup(C158,IMPORTRANGE(""1Kgoo8qyo6zMtf_5B03ksZz228jg0XpZ4_KXsdHQ4Vks"",""14 Sept!A:B""),2,0)"),"DME2660")</f>
        <v>DME2660</v>
      </c>
      <c r="B158" s="5" t="str">
        <f>IFERROR(__xludf.DUMMYFUNCTION("""COMPUTED_VALUE"""),"Aman Shaikh")</f>
        <v>Aman Shaikh</v>
      </c>
      <c r="C158" s="5" t="str">
        <f>IFERROR(__xludf.DUMMYFUNCTION("""COMPUTED_VALUE"""),"aman.shaikh@onixnet.com")</f>
        <v>aman.shaikh@onixnet.com</v>
      </c>
      <c r="D158" s="4" t="s">
        <v>11</v>
      </c>
      <c r="E158" s="6" t="str">
        <f>IFERROR(__xludf.DUMMYFUNCTION("vlookup($A158,importrange(""1fyGnaViAX9kns28pvsfPvI9925sAI7kxPlM7jpuHVJM"",""Validation!A:Z""),11,0)"),"Product Engineering")</f>
        <v>Product Engineering</v>
      </c>
      <c r="F158" s="6" t="str">
        <f>IFERROR(__xludf.DUMMYFUNCTION("vlookup($A158,importrange(""1fyGnaViAX9kns28pvsfPvI9925sAI7kxPlM7jpuHVJM"",""Validation!A:Z""),23,0)"),"Sajid Patel")</f>
        <v>Sajid Patel</v>
      </c>
      <c r="G158" s="6" t="str">
        <f>IFERROR(__xludf.DUMMYFUNCTION("vlookup(A158,importrange(""1fyGnaViAX9kns28pvsfPvI9925sAI7kxPlM7jpuHVJM"",""Validation!A:Z""),22,0)"),"Cluster - Mayur")</f>
        <v>Cluster - Mayur</v>
      </c>
      <c r="H158" s="4" t="str">
        <f>IFERROR(__xludf.DUMMYFUNCTION("vlookup(C158,importrange(""1kw74ismGU34AsZ5x-W4x7F3Zt2xc8NSYcCVMrCJBmdQ"",""DRP for 8 products!B:C""),2,0)"),"ONIASDFF6")</f>
        <v>ONIASDFF6</v>
      </c>
      <c r="I158" s="7">
        <f>IFERROR(__xludf.DUMMYFUNCTION("vlookup(C158,importrange(""1kw74ismGU34AsZ5x-W4x7F3Zt2xc8NSYcCVMrCJBmdQ"",""DRP for 8 products!B:E""),4,0)"),15.0)</f>
        <v>15</v>
      </c>
      <c r="J158" s="8" t="str">
        <f t="shared" si="1"/>
        <v>Tier 4</v>
      </c>
      <c r="K158" s="9" t="str">
        <f t="shared" si="2"/>
        <v>Active</v>
      </c>
      <c r="L158" s="4" t="str">
        <f>IFERROR(__xludf.DUMMYFUNCTION("vlookup(C158,importrange(""1kw74ismGU34AsZ5x-W4x7F3Zt2xc8NSYcCVMrCJBmdQ"",""DRP for 8 products!B:H""),6,0)"),"AlloyDB for PostgreSQL")</f>
        <v>AlloyDB for PostgreSQL</v>
      </c>
      <c r="M158" s="10" t="str">
        <f t="shared" si="3"/>
        <v>Yes</v>
      </c>
    </row>
    <row r="159">
      <c r="A159" s="4" t="str">
        <f>IFERROR(__xludf.DUMMYFUNCTION("vlookup(C159,IMPORTRANGE(""1Kgoo8qyo6zMtf_5B03ksZz228jg0XpZ4_KXsdHQ4Vks"",""14 Sept!A:B""),2,0)"),"DME2247")</f>
        <v>DME2247</v>
      </c>
      <c r="B159" s="5" t="str">
        <f>IFERROR(__xludf.DUMMYFUNCTION("""COMPUTED_VALUE"""),"Gauri Bhavekar")</f>
        <v>Gauri Bhavekar</v>
      </c>
      <c r="C159" s="5" t="str">
        <f>IFERROR(__xludf.DUMMYFUNCTION("""COMPUTED_VALUE"""),"gauri.bhavekar@onixnet.com")</f>
        <v>gauri.bhavekar@onixnet.com</v>
      </c>
      <c r="D159" s="4" t="s">
        <v>11</v>
      </c>
      <c r="E159" s="6" t="str">
        <f>IFERROR(__xludf.DUMMYFUNCTION("vlookup($A159,importrange(""1fyGnaViAX9kns28pvsfPvI9925sAI7kxPlM7jpuHVJM"",""Validation!A:Z""),11,0)"),"Delivery Services")</f>
        <v>Delivery Services</v>
      </c>
      <c r="F159" s="6" t="str">
        <f>IFERROR(__xludf.DUMMYFUNCTION("vlookup($A159,importrange(""1fyGnaViAX9kns28pvsfPvI9925sAI7kxPlM7jpuHVJM"",""Validation!A:Z""),23,0)"),"Ravindra Pujari")</f>
        <v>Ravindra Pujari</v>
      </c>
      <c r="G159" s="6" t="str">
        <f>IFERROR(__xludf.DUMMYFUNCTION("vlookup(A159,importrange(""1fyGnaViAX9kns28pvsfPvI9925sAI7kxPlM7jpuHVJM"",""Validation!A:Z""),22,0)"),"Cluster - Sachin")</f>
        <v>Cluster - Sachin</v>
      </c>
      <c r="H159" s="4" t="str">
        <f>IFERROR(__xludf.DUMMYFUNCTION("vlookup(C159,importrange(""1kw74ismGU34AsZ5x-W4x7F3Zt2xc8NSYcCVMrCJBmdQ"",""DRP for 8 products!B:C""),2,0)"),"ONIGBCMI8")</f>
        <v>ONIGBCMI8</v>
      </c>
      <c r="I159" s="7">
        <f>IFERROR(__xludf.DUMMYFUNCTION("vlookup(C159,importrange(""1kw74ismGU34AsZ5x-W4x7F3Zt2xc8NSYcCVMrCJBmdQ"",""DRP for 8 products!B:E""),4,0)"),32.0)</f>
        <v>32</v>
      </c>
      <c r="J159" s="8" t="str">
        <f t="shared" si="1"/>
        <v>Tier 3</v>
      </c>
      <c r="K159" s="9" t="str">
        <f t="shared" si="2"/>
        <v>Active</v>
      </c>
      <c r="L159" s="4" t="str">
        <f>IFERROR(__xludf.DUMMYFUNCTION("vlookup(C159,importrange(""1kw74ismGU34AsZ5x-W4x7F3Zt2xc8NSYcCVMrCJBmdQ"",""DRP for 8 products!B:H""),6,0)"),"BigQuery")</f>
        <v>BigQuery</v>
      </c>
      <c r="M159" s="10" t="str">
        <f t="shared" si="3"/>
        <v>Yes</v>
      </c>
    </row>
    <row r="160">
      <c r="A160" s="4" t="str">
        <f>IFERROR(__xludf.DUMMYFUNCTION("vlookup(C160,IMPORTRANGE(""1Kgoo8qyo6zMtf_5B03ksZz228jg0XpZ4_KXsdHQ4Vks"",""14 Sept!A:B""),2,0)"),"DME2443")</f>
        <v>DME2443</v>
      </c>
      <c r="B160" s="5" t="str">
        <f>IFERROR(__xludf.DUMMYFUNCTION("""COMPUTED_VALUE"""),"Nikhil Chavan")</f>
        <v>Nikhil Chavan</v>
      </c>
      <c r="C160" s="5" t="str">
        <f>IFERROR(__xludf.DUMMYFUNCTION("""COMPUTED_VALUE"""),"nikhil.chavan@onixnet.com")</f>
        <v>nikhil.chavan@onixnet.com</v>
      </c>
      <c r="D160" s="4" t="s">
        <v>11</v>
      </c>
      <c r="E160" s="6" t="str">
        <f>IFERROR(__xludf.DUMMYFUNCTION("vlookup($A160,importrange(""1fyGnaViAX9kns28pvsfPvI9925sAI7kxPlM7jpuHVJM"",""Validation!A:Z""),11,0)"),"Delivery Services")</f>
        <v>Delivery Services</v>
      </c>
      <c r="F160" s="6" t="str">
        <f>IFERROR(__xludf.DUMMYFUNCTION("vlookup($A160,importrange(""1fyGnaViAX9kns28pvsfPvI9925sAI7kxPlM7jpuHVJM"",""Validation!A:Z""),23,0)"),"Chinmay Deshpande")</f>
        <v>Chinmay Deshpande</v>
      </c>
      <c r="G160" s="6" t="str">
        <f>IFERROR(__xludf.DUMMYFUNCTION("vlookup(A160,importrange(""1fyGnaViAX9kns28pvsfPvI9925sAI7kxPlM7jpuHVJM"",""Validation!A:Z""),22,0)"),"Cluster - Sagar")</f>
        <v>Cluster - Sagar</v>
      </c>
      <c r="H160" s="4" t="str">
        <f>IFERROR(__xludf.DUMMYFUNCTION("vlookup(C160,importrange(""1kw74ismGU34AsZ5x-W4x7F3Zt2xc8NSYcCVMrCJBmdQ"",""DRP for 8 products!B:C""),2,0)"),"ONINCFTM2")</f>
        <v>ONINCFTM2</v>
      </c>
      <c r="I160" s="7">
        <f>IFERROR(__xludf.DUMMYFUNCTION("vlookup(C160,importrange(""1kw74ismGU34AsZ5x-W4x7F3Zt2xc8NSYcCVMrCJBmdQ"",""DRP for 8 products!B:E""),4,0)"),23.0)</f>
        <v>23</v>
      </c>
      <c r="J160" s="8" t="str">
        <f t="shared" si="1"/>
        <v>Tier 3</v>
      </c>
      <c r="K160" s="9" t="str">
        <f t="shared" si="2"/>
        <v>Active</v>
      </c>
      <c r="L160" s="4" t="str">
        <f>IFERROR(__xludf.DUMMYFUNCTION("vlookup(C160,importrange(""1kw74ismGU34AsZ5x-W4x7F3Zt2xc8NSYcCVMrCJBmdQ"",""DRP for 8 products!B:H""),6,0)"),"BigQuery")</f>
        <v>BigQuery</v>
      </c>
      <c r="M160" s="10" t="str">
        <f t="shared" si="3"/>
        <v>Yes</v>
      </c>
    </row>
    <row r="161">
      <c r="A161" s="4" t="str">
        <f>IFERROR(__xludf.DUMMYFUNCTION("vlookup(C161,IMPORTRANGE(""1Kgoo8qyo6zMtf_5B03ksZz228jg0XpZ4_KXsdHQ4Vks"",""14 Sept!A:B""),2,0)"),"DME2818")</f>
        <v>DME2818</v>
      </c>
      <c r="B161" s="5" t="str">
        <f>IFERROR(__xludf.DUMMYFUNCTION("""COMPUTED_VALUE"""),"Punam Subre")</f>
        <v>Punam Subre</v>
      </c>
      <c r="C161" s="5" t="str">
        <f>IFERROR(__xludf.DUMMYFUNCTION("""COMPUTED_VALUE"""),"punam.subre@onixnet.com")</f>
        <v>punam.subre@onixnet.com</v>
      </c>
      <c r="D161" s="4" t="s">
        <v>11</v>
      </c>
      <c r="E161" s="6" t="str">
        <f>IFERROR(__xludf.DUMMYFUNCTION("vlookup($A161,importrange(""1fyGnaViAX9kns28pvsfPvI9925sAI7kxPlM7jpuHVJM"",""Validation!A:Z""),11,0)"),"Delivery Services")</f>
        <v>Delivery Services</v>
      </c>
      <c r="F161" s="6" t="str">
        <f>IFERROR(__xludf.DUMMYFUNCTION("vlookup($A161,importrange(""1fyGnaViAX9kns28pvsfPvI9925sAI7kxPlM7jpuHVJM"",""Validation!A:Z""),23,0)"),"Lanyo Francis")</f>
        <v>Lanyo Francis</v>
      </c>
      <c r="G161" s="6" t="str">
        <f>IFERROR(__xludf.DUMMYFUNCTION("vlookup(A161,importrange(""1fyGnaViAX9kns28pvsfPvI9925sAI7kxPlM7jpuHVJM"",""Validation!A:Z""),22,0)"),"Cluster - Devayani")</f>
        <v>Cluster - Devayani</v>
      </c>
      <c r="H161" s="4" t="str">
        <f>IFERROR(__xludf.DUMMYFUNCTION("vlookup(C161,importrange(""1kw74ismGU34AsZ5x-W4x7F3Zt2xc8NSYcCVMrCJBmdQ"",""DRP for 8 products!B:C""),2,0)"),"ONIPSXNN3")</f>
        <v>ONIPSXNN3</v>
      </c>
      <c r="I161" s="7">
        <f>IFERROR(__xludf.DUMMYFUNCTION("vlookup(C161,importrange(""1kw74ismGU34AsZ5x-W4x7F3Zt2xc8NSYcCVMrCJBmdQ"",""DRP for 8 products!B:E""),4,0)"),58.0)</f>
        <v>58</v>
      </c>
      <c r="J161" s="8" t="str">
        <f t="shared" si="1"/>
        <v>Tier 1</v>
      </c>
      <c r="K161" s="9" t="str">
        <f t="shared" si="2"/>
        <v>Active</v>
      </c>
      <c r="L161" s="4" t="str">
        <f>IFERROR(__xludf.DUMMYFUNCTION("vlookup(C161,importrange(""1kw74ismGU34AsZ5x-W4x7F3Zt2xc8NSYcCVMrCJBmdQ"",""DRP for 8 products!B:H""),6,0)"),"BigQuery")</f>
        <v>BigQuery</v>
      </c>
      <c r="M161" s="10" t="str">
        <f t="shared" si="3"/>
        <v>Yes</v>
      </c>
    </row>
    <row r="162">
      <c r="A162" s="4" t="str">
        <f>IFERROR(__xludf.DUMMYFUNCTION("vlookup(C162,IMPORTRANGE(""1Kgoo8qyo6zMtf_5B03ksZz228jg0XpZ4_KXsdHQ4Vks"",""14 Sept!A:B""),2,0)"),"DME2699")</f>
        <v>DME2699</v>
      </c>
      <c r="B162" s="5" t="str">
        <f>IFERROR(__xludf.DUMMYFUNCTION("""COMPUTED_VALUE"""),"shubham panchal")</f>
        <v>shubham panchal</v>
      </c>
      <c r="C162" s="5" t="str">
        <f>IFERROR(__xludf.DUMMYFUNCTION("""COMPUTED_VALUE"""),"shubham.panchal@onixnet.com")</f>
        <v>shubham.panchal@onixnet.com</v>
      </c>
      <c r="D162" s="4" t="s">
        <v>11</v>
      </c>
      <c r="E162" s="6" t="str">
        <f>IFERROR(__xludf.DUMMYFUNCTION("vlookup($A162,importrange(""1fyGnaViAX9kns28pvsfPvI9925sAI7kxPlM7jpuHVJM"",""Validation!A:Z""),11,0)"),"Delivery Services")</f>
        <v>Delivery Services</v>
      </c>
      <c r="F162" s="6" t="str">
        <f>IFERROR(__xludf.DUMMYFUNCTION("vlookup($A162,importrange(""1fyGnaViAX9kns28pvsfPvI9925sAI7kxPlM7jpuHVJM"",""Validation!A:Z""),23,0)"),"Suresh Shankar Rasal")</f>
        <v>Suresh Shankar Rasal</v>
      </c>
      <c r="G162" s="6" t="str">
        <f>IFERROR(__xludf.DUMMYFUNCTION("vlookup(A162,importrange(""1fyGnaViAX9kns28pvsfPvI9925sAI7kxPlM7jpuHVJM"",""Validation!A:Z""),22,0)"),"Cluster - Gaurav")</f>
        <v>Cluster - Gaurav</v>
      </c>
      <c r="H162" s="4" t="str">
        <f>IFERROR(__xludf.DUMMYFUNCTION("vlookup(C162,importrange(""1kw74ismGU34AsZ5x-W4x7F3Zt2xc8NSYcCVMrCJBmdQ"",""DRP for 8 products!B:C""),2,0)"),"ONISPASI4")</f>
        <v>ONISPASI4</v>
      </c>
      <c r="I162" s="7">
        <f>IFERROR(__xludf.DUMMYFUNCTION("vlookup(C162,importrange(""1kw74ismGU34AsZ5x-W4x7F3Zt2xc8NSYcCVMrCJBmdQ"",""DRP for 8 products!B:E""),4,0)"),22.0)</f>
        <v>22</v>
      </c>
      <c r="J162" s="8" t="str">
        <f t="shared" si="1"/>
        <v>Tier 3</v>
      </c>
      <c r="K162" s="9" t="str">
        <f t="shared" si="2"/>
        <v>Active</v>
      </c>
      <c r="L162" s="4" t="str">
        <f>IFERROR(__xludf.DUMMYFUNCTION("vlookup(C162,importrange(""1kw74ismGU34AsZ5x-W4x7F3Zt2xc8NSYcCVMrCJBmdQ"",""DRP for 8 products!B:H""),6,0)"),"BigQuery")</f>
        <v>BigQuery</v>
      </c>
      <c r="M162" s="10" t="str">
        <f t="shared" si="3"/>
        <v>Yes</v>
      </c>
    </row>
    <row r="163">
      <c r="A163" s="4" t="str">
        <f>IFERROR(__xludf.DUMMYFUNCTION("vlookup(C163,IMPORTRANGE(""1Kgoo8qyo6zMtf_5B03ksZz228jg0XpZ4_KXsdHQ4Vks"",""14 Sept!A:B""),2,0)"),"DME2287")</f>
        <v>DME2287</v>
      </c>
      <c r="B163" s="5" t="str">
        <f>IFERROR(__xludf.DUMMYFUNCTION("""COMPUTED_VALUE"""),"Amisha Kotkar")</f>
        <v>Amisha Kotkar</v>
      </c>
      <c r="C163" s="5" t="str">
        <f>IFERROR(__xludf.DUMMYFUNCTION("""COMPUTED_VALUE"""),"amisha.kotkar@onixnet.com")</f>
        <v>amisha.kotkar@onixnet.com</v>
      </c>
      <c r="D163" s="4" t="s">
        <v>11</v>
      </c>
      <c r="E163" s="6" t="str">
        <f>IFERROR(__xludf.DUMMYFUNCTION("vlookup($A163,importrange(""1fyGnaViAX9kns28pvsfPvI9925sAI7kxPlM7jpuHVJM"",""Validation!A:Z""),11,0)"),"Delivery Services")</f>
        <v>Delivery Services</v>
      </c>
      <c r="F163" s="6" t="str">
        <f>IFERROR(__xludf.DUMMYFUNCTION("vlookup($A163,importrange(""1fyGnaViAX9kns28pvsfPvI9925sAI7kxPlM7jpuHVJM"",""Validation!A:Z""),23,0)"),"Punam S Paliwal")</f>
        <v>Punam S Paliwal</v>
      </c>
      <c r="G163" s="6" t="str">
        <f>IFERROR(__xludf.DUMMYFUNCTION("vlookup(A163,importrange(""1fyGnaViAX9kns28pvsfPvI9925sAI7kxPlM7jpuHVJM"",""Validation!A:Z""),22,0)"),"Cluster - Sagar")</f>
        <v>Cluster - Sagar</v>
      </c>
      <c r="H163" s="4" t="str">
        <f>IFERROR(__xludf.DUMMYFUNCTION("vlookup(C163,importrange(""1kw74ismGU34AsZ5x-W4x7F3Zt2xc8NSYcCVMrCJBmdQ"",""DRP for 8 products!B:C""),2,0)"),"ONIAKEFJ0")</f>
        <v>ONIAKEFJ0</v>
      </c>
      <c r="I163" s="7">
        <f>IFERROR(__xludf.DUMMYFUNCTION("vlookup(C163,importrange(""1kw74ismGU34AsZ5x-W4x7F3Zt2xc8NSYcCVMrCJBmdQ"",""DRP for 8 products!B:E""),4,0)"),32.0)</f>
        <v>32</v>
      </c>
      <c r="J163" s="8" t="str">
        <f t="shared" si="1"/>
        <v>Tier 3</v>
      </c>
      <c r="K163" s="9" t="str">
        <f t="shared" si="2"/>
        <v>Active</v>
      </c>
      <c r="L163" s="4" t="str">
        <f>IFERROR(__xludf.DUMMYFUNCTION("vlookup(C163,importrange(""1kw74ismGU34AsZ5x-W4x7F3Zt2xc8NSYcCVMrCJBmdQ"",""DRP for 8 products!B:H""),6,0)"),"BigQuery")</f>
        <v>BigQuery</v>
      </c>
      <c r="M163" s="10" t="str">
        <f t="shared" si="3"/>
        <v>Yes</v>
      </c>
    </row>
    <row r="164">
      <c r="A164" s="4" t="str">
        <f>IFERROR(__xludf.DUMMYFUNCTION("vlookup(C164,IMPORTRANGE(""1Kgoo8qyo6zMtf_5B03ksZz228jg0XpZ4_KXsdHQ4Vks"",""14 Sept!A:B""),2,0)"),"DME2713")</f>
        <v>DME2713</v>
      </c>
      <c r="B164" s="5" t="str">
        <f>IFERROR(__xludf.DUMMYFUNCTION("""COMPUTED_VALUE"""),"Atharv Shrigadi")</f>
        <v>Atharv Shrigadi</v>
      </c>
      <c r="C164" s="5" t="str">
        <f>IFERROR(__xludf.DUMMYFUNCTION("""COMPUTED_VALUE"""),"atharv.shrigadi@onixnet.com")</f>
        <v>atharv.shrigadi@onixnet.com</v>
      </c>
      <c r="D164" s="4" t="s">
        <v>11</v>
      </c>
      <c r="E164" s="6" t="str">
        <f>IFERROR(__xludf.DUMMYFUNCTION("vlookup($A164,importrange(""1fyGnaViAX9kns28pvsfPvI9925sAI7kxPlM7jpuHVJM"",""Validation!A:Z""),11,0)"),"Delivery Services")</f>
        <v>Delivery Services</v>
      </c>
      <c r="F164" s="6" t="str">
        <f>IFERROR(__xludf.DUMMYFUNCTION("vlookup($A164,importrange(""1fyGnaViAX9kns28pvsfPvI9925sAI7kxPlM7jpuHVJM"",""Validation!A:Z""),23,0)"),"Sushant Patil")</f>
        <v>Sushant Patil</v>
      </c>
      <c r="G164" s="6" t="str">
        <f>IFERROR(__xludf.DUMMYFUNCTION("vlookup(A164,importrange(""1fyGnaViAX9kns28pvsfPvI9925sAI7kxPlM7jpuHVJM"",""Validation!A:Z""),22,0)"),"Cluster - Gaurav")</f>
        <v>Cluster - Gaurav</v>
      </c>
      <c r="H164" s="4" t="str">
        <f>IFERROR(__xludf.DUMMYFUNCTION("vlookup(C164,importrange(""1kw74ismGU34AsZ5x-W4x7F3Zt2xc8NSYcCVMrCJBmdQ"",""DRP for 8 products!B:C""),2,0)"),"ONIASYRB0")</f>
        <v>ONIASYRB0</v>
      </c>
      <c r="I164" s="7">
        <f>IFERROR(__xludf.DUMMYFUNCTION("vlookup(C164,importrange(""1kw74ismGU34AsZ5x-W4x7F3Zt2xc8NSYcCVMrCJBmdQ"",""DRP for 8 products!B:E""),4,0)"),42.0)</f>
        <v>42</v>
      </c>
      <c r="J164" s="8" t="str">
        <f t="shared" si="1"/>
        <v>Tier 2</v>
      </c>
      <c r="K164" s="9" t="str">
        <f t="shared" si="2"/>
        <v>Active</v>
      </c>
      <c r="L164" s="4" t="str">
        <f>IFERROR(__xludf.DUMMYFUNCTION("vlookup(C164,importrange(""1kw74ismGU34AsZ5x-W4x7F3Zt2xc8NSYcCVMrCJBmdQ"",""DRP for 8 products!B:H""),6,0)"),"BigQuery")</f>
        <v>BigQuery</v>
      </c>
      <c r="M164" s="10" t="str">
        <f t="shared" si="3"/>
        <v>Yes</v>
      </c>
    </row>
    <row r="165">
      <c r="A165" s="4" t="str">
        <f>IFERROR(__xludf.DUMMYFUNCTION("vlookup(C165,IMPORTRANGE(""1Kgoo8qyo6zMtf_5B03ksZz228jg0XpZ4_KXsdHQ4Vks"",""14 Sept!A:B""),2,0)"),"DME2795")</f>
        <v>DME2795</v>
      </c>
      <c r="B165" s="5" t="str">
        <f>IFERROR(__xludf.DUMMYFUNCTION("""COMPUTED_VALUE"""),"Shubham Rokade")</f>
        <v>Shubham Rokade</v>
      </c>
      <c r="C165" s="5" t="str">
        <f>IFERROR(__xludf.DUMMYFUNCTION("""COMPUTED_VALUE"""),"shubham.rokade@onixnet.com")</f>
        <v>shubham.rokade@onixnet.com</v>
      </c>
      <c r="D165" s="4" t="s">
        <v>11</v>
      </c>
      <c r="E165" s="6" t="str">
        <f>IFERROR(__xludf.DUMMYFUNCTION("vlookup($A165,importrange(""1fyGnaViAX9kns28pvsfPvI9925sAI7kxPlM7jpuHVJM"",""Validation!A:Z""),11,0)"),"Delivery Services")</f>
        <v>Delivery Services</v>
      </c>
      <c r="F165" s="6" t="str">
        <f>IFERROR(__xludf.DUMMYFUNCTION("vlookup($A165,importrange(""1fyGnaViAX9kns28pvsfPvI9925sAI7kxPlM7jpuHVJM"",""Validation!A:Z""),23,0)"),"Sushant Patil")</f>
        <v>Sushant Patil</v>
      </c>
      <c r="G165" s="6" t="str">
        <f>IFERROR(__xludf.DUMMYFUNCTION("vlookup(A165,importrange(""1fyGnaViAX9kns28pvsfPvI9925sAI7kxPlM7jpuHVJM"",""Validation!A:Z""),22,0)"),"Cluster - Gaurav")</f>
        <v>Cluster - Gaurav</v>
      </c>
      <c r="H165" s="4" t="str">
        <f>IFERROR(__xludf.DUMMYFUNCTION("vlookup(C165,importrange(""1kw74ismGU34AsZ5x-W4x7F3Zt2xc8NSYcCVMrCJBmdQ"",""DRP for 8 products!B:C""),2,0)"),"ONISRMKV3")</f>
        <v>ONISRMKV3</v>
      </c>
      <c r="I165" s="7">
        <f>IFERROR(__xludf.DUMMYFUNCTION("vlookup(C165,importrange(""1kw74ismGU34AsZ5x-W4x7F3Zt2xc8NSYcCVMrCJBmdQ"",""DRP for 8 products!B:E""),4,0)"),57.0)</f>
        <v>57</v>
      </c>
      <c r="J165" s="8" t="str">
        <f t="shared" si="1"/>
        <v>Tier 1</v>
      </c>
      <c r="K165" s="9" t="str">
        <f t="shared" si="2"/>
        <v>Active</v>
      </c>
      <c r="L165" s="4" t="str">
        <f>IFERROR(__xludf.DUMMYFUNCTION("vlookup(C165,importrange(""1kw74ismGU34AsZ5x-W4x7F3Zt2xc8NSYcCVMrCJBmdQ"",""DRP for 8 products!B:H""),6,0)"),"BigQuery")</f>
        <v>BigQuery</v>
      </c>
      <c r="M165" s="10" t="str">
        <f t="shared" si="3"/>
        <v>Yes</v>
      </c>
    </row>
    <row r="166">
      <c r="A166" s="4" t="str">
        <f>IFERROR(__xludf.DUMMYFUNCTION("vlookup(C166,IMPORTRANGE(""1Kgoo8qyo6zMtf_5B03ksZz228jg0XpZ4_KXsdHQ4Vks"",""14 Sept!A:B""),2,0)"),"DME2926")</f>
        <v>DME2926</v>
      </c>
      <c r="B166" s="5" t="str">
        <f>IFERROR(__xludf.DUMMYFUNCTION("""COMPUTED_VALUE"""),"Arpit Sable")</f>
        <v>Arpit Sable</v>
      </c>
      <c r="C166" s="5" t="str">
        <f>IFERROR(__xludf.DUMMYFUNCTION("""COMPUTED_VALUE"""),"arpit.sable@onixnet.com")</f>
        <v>arpit.sable@onixnet.com</v>
      </c>
      <c r="D166" s="4" t="s">
        <v>11</v>
      </c>
      <c r="E166" s="6" t="str">
        <f>IFERROR(__xludf.DUMMYFUNCTION("vlookup($A166,importrange(""1fyGnaViAX9kns28pvsfPvI9925sAI7kxPlM7jpuHVJM"",""Validation!A:Z""),11,0)"),"Delivery Services")</f>
        <v>Delivery Services</v>
      </c>
      <c r="F166" s="6" t="str">
        <f>IFERROR(__xludf.DUMMYFUNCTION("vlookup($A166,importrange(""1fyGnaViAX9kns28pvsfPvI9925sAI7kxPlM7jpuHVJM"",""Validation!A:Z""),23,0)"),"Hemanth Kolluru")</f>
        <v>Hemanth Kolluru</v>
      </c>
      <c r="G166" s="6" t="str">
        <f>IFERROR(__xludf.DUMMYFUNCTION("vlookup(A166,importrange(""1fyGnaViAX9kns28pvsfPvI9925sAI7kxPlM7jpuHVJM"",""Validation!A:Z""),22,0)"),"Cluster - Sachin")</f>
        <v>Cluster - Sachin</v>
      </c>
      <c r="H166" s="4" t="str">
        <f>IFERROR(__xludf.DUMMYFUNCTION("vlookup(C166,importrange(""1kw74ismGU34AsZ5x-W4x7F3Zt2xc8NSYcCVMrCJBmdQ"",""DRP for 8 products!B:C""),2,0)"),"ONIASJIU9")</f>
        <v>ONIASJIU9</v>
      </c>
      <c r="I166" s="7">
        <f>IFERROR(__xludf.DUMMYFUNCTION("vlookup(C166,importrange(""1kw74ismGU34AsZ5x-W4x7F3Zt2xc8NSYcCVMrCJBmdQ"",""DRP for 8 products!B:E""),4,0)"),57.0)</f>
        <v>57</v>
      </c>
      <c r="J166" s="8" t="str">
        <f t="shared" si="1"/>
        <v>Tier 1</v>
      </c>
      <c r="K166" s="9" t="str">
        <f t="shared" si="2"/>
        <v>Active</v>
      </c>
      <c r="L166" s="4" t="str">
        <f>IFERROR(__xludf.DUMMYFUNCTION("vlookup(C166,importrange(""1kw74ismGU34AsZ5x-W4x7F3Zt2xc8NSYcCVMrCJBmdQ"",""DRP for 8 products!B:H""),6,0)"),"BigQuery")</f>
        <v>BigQuery</v>
      </c>
      <c r="M166" s="10" t="str">
        <f t="shared" si="3"/>
        <v>Yes</v>
      </c>
    </row>
    <row r="167">
      <c r="A167" s="4" t="str">
        <f>IFERROR(__xludf.DUMMYFUNCTION("vlookup(C167,IMPORTRANGE(""1Kgoo8qyo6zMtf_5B03ksZz228jg0XpZ4_KXsdHQ4Vks"",""14 Sept!A:B""),2,0)"),"DME1578")</f>
        <v>DME1578</v>
      </c>
      <c r="B167" s="5" t="str">
        <f>IFERROR(__xludf.DUMMYFUNCTION("""COMPUTED_VALUE"""),"Prakash Sarakam")</f>
        <v>Prakash Sarakam</v>
      </c>
      <c r="C167" s="5" t="str">
        <f>IFERROR(__xludf.DUMMYFUNCTION("""COMPUTED_VALUE"""),"prakash.sarakam@onixnet.com")</f>
        <v>prakash.sarakam@onixnet.com</v>
      </c>
      <c r="D167" s="4" t="s">
        <v>11</v>
      </c>
      <c r="E167" s="6" t="str">
        <f>IFERROR(__xludf.DUMMYFUNCTION("vlookup($A167,importrange(""1fyGnaViAX9kns28pvsfPvI9925sAI7kxPlM7jpuHVJM"",""Validation!A:Z""),11,0)"),"Delivery Services")</f>
        <v>Delivery Services</v>
      </c>
      <c r="F167" s="6" t="str">
        <f>IFERROR(__xludf.DUMMYFUNCTION("vlookup($A167,importrange(""1fyGnaViAX9kns28pvsfPvI9925sAI7kxPlM7jpuHVJM"",""Validation!A:Z""),23,0)"),"Shreepad Dhok")</f>
        <v>Shreepad Dhok</v>
      </c>
      <c r="G167" s="6" t="str">
        <f>IFERROR(__xludf.DUMMYFUNCTION("vlookup(A167,importrange(""1fyGnaViAX9kns28pvsfPvI9925sAI7kxPlM7jpuHVJM"",""Validation!A:Z""),22,0)"),"Cluster - Shreepad")</f>
        <v>Cluster - Shreepad</v>
      </c>
      <c r="H167" s="4" t="str">
        <f>IFERROR(__xludf.DUMMYFUNCTION("vlookup(C167,importrange(""1kw74ismGU34AsZ5x-W4x7F3Zt2xc8NSYcCVMrCJBmdQ"",""DRP for 8 products!B:C""),2,0)"),"ONIPSBKH7")</f>
        <v>ONIPSBKH7</v>
      </c>
      <c r="I167" s="7">
        <f>IFERROR(__xludf.DUMMYFUNCTION("vlookup(C167,importrange(""1kw74ismGU34AsZ5x-W4x7F3Zt2xc8NSYcCVMrCJBmdQ"",""DRP for 8 products!B:E""),4,0)"),39.0)</f>
        <v>39</v>
      </c>
      <c r="J167" s="8" t="str">
        <f t="shared" si="1"/>
        <v>Tier 2</v>
      </c>
      <c r="K167" s="9" t="str">
        <f t="shared" si="2"/>
        <v>Active</v>
      </c>
      <c r="L167" s="4" t="str">
        <f>IFERROR(__xludf.DUMMYFUNCTION("vlookup(C167,importrange(""1kw74ismGU34AsZ5x-W4x7F3Zt2xc8NSYcCVMrCJBmdQ"",""DRP for 8 products!B:H""),6,0)"),"BigQuery")</f>
        <v>BigQuery</v>
      </c>
      <c r="M167" s="10" t="str">
        <f t="shared" si="3"/>
        <v>Yes</v>
      </c>
    </row>
    <row r="168">
      <c r="A168" s="4" t="str">
        <f>IFERROR(__xludf.DUMMYFUNCTION("vlookup(C168,IMPORTRANGE(""1Kgoo8qyo6zMtf_5B03ksZz228jg0XpZ4_KXsdHQ4Vks"",""14 Sept!A:B""),2,0)"),"DME1921")</f>
        <v>DME1921</v>
      </c>
      <c r="B168" s="5" t="str">
        <f>IFERROR(__xludf.DUMMYFUNCTION("""COMPUTED_VALUE"""),"Kiran Jagdale")</f>
        <v>Kiran Jagdale</v>
      </c>
      <c r="C168" s="5" t="str">
        <f>IFERROR(__xludf.DUMMYFUNCTION("""COMPUTED_VALUE"""),"kiran.jagdale@onixnet.com")</f>
        <v>kiran.jagdale@onixnet.com</v>
      </c>
      <c r="D168" s="4" t="s">
        <v>11</v>
      </c>
      <c r="E168" s="6" t="str">
        <f>IFERROR(__xludf.DUMMYFUNCTION("vlookup($A168,importrange(""1fyGnaViAX9kns28pvsfPvI9925sAI7kxPlM7jpuHVJM"",""Validation!A:Z""),11,0)"),"Delivery Services")</f>
        <v>Delivery Services</v>
      </c>
      <c r="F168" s="6" t="str">
        <f>IFERROR(__xludf.DUMMYFUNCTION("vlookup($A168,importrange(""1fyGnaViAX9kns28pvsfPvI9925sAI7kxPlM7jpuHVJM"",""Validation!A:Z""),23,0)"),"Sneha Bhatambrekar")</f>
        <v>Sneha Bhatambrekar</v>
      </c>
      <c r="G168" s="6" t="str">
        <f>IFERROR(__xludf.DUMMYFUNCTION("vlookup(A168,importrange(""1fyGnaViAX9kns28pvsfPvI9925sAI7kxPlM7jpuHVJM"",""Validation!A:Z""),22,0)"),"Cluster - Sandeep")</f>
        <v>Cluster - Sandeep</v>
      </c>
      <c r="H168" s="4" t="str">
        <f>IFERROR(__xludf.DUMMYFUNCTION("vlookup(C168,importrange(""1kw74ismGU34AsZ5x-W4x7F3Zt2xc8NSYcCVMrCJBmdQ"",""DRP for 8 products!B:C""),2,0)"),"ONIKJRGV8")</f>
        <v>ONIKJRGV8</v>
      </c>
      <c r="I168" s="7">
        <f>IFERROR(__xludf.DUMMYFUNCTION("vlookup(C168,importrange(""1kw74ismGU34AsZ5x-W4x7F3Zt2xc8NSYcCVMrCJBmdQ"",""DRP for 8 products!B:E""),4,0)"),34.0)</f>
        <v>34</v>
      </c>
      <c r="J168" s="8" t="str">
        <f t="shared" si="1"/>
        <v>Tier 3</v>
      </c>
      <c r="K168" s="9" t="str">
        <f t="shared" si="2"/>
        <v>Active</v>
      </c>
      <c r="L168" s="4" t="str">
        <f>IFERROR(__xludf.DUMMYFUNCTION("vlookup(C168,importrange(""1kw74ismGU34AsZ5x-W4x7F3Zt2xc8NSYcCVMrCJBmdQ"",""DRP for 8 products!B:H""),6,0)"),"BigQuery")</f>
        <v>BigQuery</v>
      </c>
      <c r="M168" s="10" t="str">
        <f t="shared" si="3"/>
        <v>Yes</v>
      </c>
    </row>
    <row r="169">
      <c r="A169" s="4" t="str">
        <f>IFERROR(__xludf.DUMMYFUNCTION("vlookup(C169,IMPORTRANGE(""1Kgoo8qyo6zMtf_5B03ksZz228jg0XpZ4_KXsdHQ4Vks"",""14 Sept!A:B""),2,0)"),"DME3076")</f>
        <v>DME3076</v>
      </c>
      <c r="B169" s="5" t="str">
        <f>IFERROR(__xludf.DUMMYFUNCTION("""COMPUTED_VALUE"""),"Shivaji Jadhav")</f>
        <v>Shivaji Jadhav</v>
      </c>
      <c r="C169" s="5" t="str">
        <f>IFERROR(__xludf.DUMMYFUNCTION("""COMPUTED_VALUE"""),"shivaji.jadhav@onixnet.com")</f>
        <v>shivaji.jadhav@onixnet.com</v>
      </c>
      <c r="D169" s="4" t="s">
        <v>11</v>
      </c>
      <c r="E169" s="6" t="str">
        <f>IFERROR(__xludf.DUMMYFUNCTION("vlookup($A169,importrange(""1fyGnaViAX9kns28pvsfPvI9925sAI7kxPlM7jpuHVJM"",""Validation!A:Z""),11,0)"),"Delivery Services")</f>
        <v>Delivery Services</v>
      </c>
      <c r="F169" s="6" t="str">
        <f>IFERROR(__xludf.DUMMYFUNCTION("vlookup($A169,importrange(""1fyGnaViAX9kns28pvsfPvI9925sAI7kxPlM7jpuHVJM"",""Validation!A:Z""),23,0)"),"Sneha Bhatambrekar")</f>
        <v>Sneha Bhatambrekar</v>
      </c>
      <c r="G169" s="6" t="str">
        <f>IFERROR(__xludf.DUMMYFUNCTION("vlookup(A169,importrange(""1fyGnaViAX9kns28pvsfPvI9925sAI7kxPlM7jpuHVJM"",""Validation!A:Z""),22,0)"),"Cluster - Sandeep")</f>
        <v>Cluster - Sandeep</v>
      </c>
      <c r="H169" s="4" t="str">
        <f>IFERROR(__xludf.DUMMYFUNCTION("vlookup(C169,importrange(""1kw74ismGU34AsZ5x-W4x7F3Zt2xc8NSYcCVMrCJBmdQ"",""DRP for 8 products!B:C""),2,0)"),"ONISJXRF7")</f>
        <v>ONISJXRF7</v>
      </c>
      <c r="I169" s="7">
        <f>IFERROR(__xludf.DUMMYFUNCTION("vlookup(C169,importrange(""1kw74ismGU34AsZ5x-W4x7F3Zt2xc8NSYcCVMrCJBmdQ"",""DRP for 8 products!B:E""),4,0)"),8.0)</f>
        <v>8</v>
      </c>
      <c r="J169" s="8" t="str">
        <f t="shared" si="1"/>
        <v>Tier 4</v>
      </c>
      <c r="K169" s="9" t="str">
        <f t="shared" si="2"/>
        <v>Active</v>
      </c>
      <c r="L169" s="4" t="str">
        <f>IFERROR(__xludf.DUMMYFUNCTION("vlookup(C169,importrange(""1kw74ismGU34AsZ5x-W4x7F3Zt2xc8NSYcCVMrCJBmdQ"",""DRP for 8 products!B:H""),6,0)"),"BigQuery")</f>
        <v>BigQuery</v>
      </c>
      <c r="M169" s="10" t="str">
        <f t="shared" si="3"/>
        <v>Yes</v>
      </c>
    </row>
    <row r="170">
      <c r="A170" s="4" t="str">
        <f>IFERROR(__xludf.DUMMYFUNCTION("vlookup(C170,IMPORTRANGE(""1Kgoo8qyo6zMtf_5B03ksZz228jg0XpZ4_KXsdHQ4Vks"",""14 Sept!A:B""),2,0)"),"DME3047")</f>
        <v>DME3047</v>
      </c>
      <c r="B170" s="5" t="str">
        <f>IFERROR(__xludf.DUMMYFUNCTION("""COMPUTED_VALUE"""),"Mariya Mushtaq")</f>
        <v>Mariya Mushtaq</v>
      </c>
      <c r="C170" s="5" t="str">
        <f>IFERROR(__xludf.DUMMYFUNCTION("""COMPUTED_VALUE"""),"mariya.mushtaq@onixnet.com")</f>
        <v>mariya.mushtaq@onixnet.com</v>
      </c>
      <c r="D170" s="4" t="s">
        <v>11</v>
      </c>
      <c r="E170" s="6" t="str">
        <f>IFERROR(__xludf.DUMMYFUNCTION("vlookup($A170,importrange(""1fyGnaViAX9kns28pvsfPvI9925sAI7kxPlM7jpuHVJM"",""Validation!A:Z""),11,0)"),"Delivery Services")</f>
        <v>Delivery Services</v>
      </c>
      <c r="F170" s="6" t="str">
        <f>IFERROR(__xludf.DUMMYFUNCTION("vlookup($A170,importrange(""1fyGnaViAX9kns28pvsfPvI9925sAI7kxPlM7jpuHVJM"",""Validation!A:Z""),23,0)"),"Mayur Kasar")</f>
        <v>Mayur Kasar</v>
      </c>
      <c r="G170" s="6" t="str">
        <f>IFERROR(__xludf.DUMMYFUNCTION("vlookup(A170,importrange(""1fyGnaViAX9kns28pvsfPvI9925sAI7kxPlM7jpuHVJM"",""Validation!A:Z""),22,0)"),"Cluster - Varun")</f>
        <v>Cluster - Varun</v>
      </c>
      <c r="H170" s="4" t="str">
        <f>IFERROR(__xludf.DUMMYFUNCTION("vlookup(C170,importrange(""1kw74ismGU34AsZ5x-W4x7F3Zt2xc8NSYcCVMrCJBmdQ"",""DRP for 8 products!B:C""),2,0)"),"ONIMMAVQ9")</f>
        <v>ONIMMAVQ9</v>
      </c>
      <c r="I170" s="7">
        <f>IFERROR(__xludf.DUMMYFUNCTION("vlookup(C170,importrange(""1kw74ismGU34AsZ5x-W4x7F3Zt2xc8NSYcCVMrCJBmdQ"",""DRP for 8 products!B:E""),4,0)"),14.0)</f>
        <v>14</v>
      </c>
      <c r="J170" s="8" t="str">
        <f t="shared" si="1"/>
        <v>Tier 4</v>
      </c>
      <c r="K170" s="9" t="str">
        <f t="shared" si="2"/>
        <v>Active</v>
      </c>
      <c r="L170" s="4" t="str">
        <f>IFERROR(__xludf.DUMMYFUNCTION("vlookup(C170,importrange(""1kw74ismGU34AsZ5x-W4x7F3Zt2xc8NSYcCVMrCJBmdQ"",""DRP for 8 products!B:H""),6,0)"),"BigQuery")</f>
        <v>BigQuery</v>
      </c>
      <c r="M170" s="10" t="str">
        <f t="shared" si="3"/>
        <v>Yes</v>
      </c>
    </row>
    <row r="171">
      <c r="A171" s="4" t="str">
        <f>IFERROR(__xludf.DUMMYFUNCTION("vlookup(C171,IMPORTRANGE(""1Kgoo8qyo6zMtf_5B03ksZz228jg0XpZ4_KXsdHQ4Vks"",""14 Sept!A:B""),2,0)"),"DME2621")</f>
        <v>DME2621</v>
      </c>
      <c r="B171" s="5" t="str">
        <f>IFERROR(__xludf.DUMMYFUNCTION("""COMPUTED_VALUE"""),"yash kumar")</f>
        <v>yash kumar</v>
      </c>
      <c r="C171" s="5" t="str">
        <f>IFERROR(__xludf.DUMMYFUNCTION("""COMPUTED_VALUE"""),"yash.kumar@onixnet.com")</f>
        <v>yash.kumar@onixnet.com</v>
      </c>
      <c r="D171" s="4" t="s">
        <v>11</v>
      </c>
      <c r="E171" s="6" t="str">
        <f>IFERROR(__xludf.DUMMYFUNCTION("vlookup($A171,importrange(""1fyGnaViAX9kns28pvsfPvI9925sAI7kxPlM7jpuHVJM"",""Validation!A:Z""),11,0)"),"Delivery Services")</f>
        <v>Delivery Services</v>
      </c>
      <c r="F171" s="6" t="str">
        <f>IFERROR(__xludf.DUMMYFUNCTION("vlookup($A171,importrange(""1fyGnaViAX9kns28pvsfPvI9925sAI7kxPlM7jpuHVJM"",""Validation!A:Z""),23,0)"),"Varun Katyal")</f>
        <v>Varun Katyal</v>
      </c>
      <c r="G171" s="6" t="str">
        <f>IFERROR(__xludf.DUMMYFUNCTION("vlookup(A171,importrange(""1fyGnaViAX9kns28pvsfPvI9925sAI7kxPlM7jpuHVJM"",""Validation!A:Z""),22,0)"),"Cluster - Varun")</f>
        <v>Cluster - Varun</v>
      </c>
      <c r="H171" s="4" t="str">
        <f>IFERROR(__xludf.DUMMYFUNCTION("vlookup(C171,importrange(""1kw74ismGU34AsZ5x-W4x7F3Zt2xc8NSYcCVMrCJBmdQ"",""DRP for 8 products!B:C""),2,0)"),"ONIYKGZY6")</f>
        <v>ONIYKGZY6</v>
      </c>
      <c r="I171" s="7">
        <f>IFERROR(__xludf.DUMMYFUNCTION("vlookup(C171,importrange(""1kw74ismGU34AsZ5x-W4x7F3Zt2xc8NSYcCVMrCJBmdQ"",""DRP for 8 products!B:E""),4,0)"),9.0)</f>
        <v>9</v>
      </c>
      <c r="J171" s="8" t="str">
        <f t="shared" si="1"/>
        <v>Tier 4</v>
      </c>
      <c r="K171" s="9" t="str">
        <f t="shared" si="2"/>
        <v>Active</v>
      </c>
      <c r="L171" s="4" t="str">
        <f>IFERROR(__xludf.DUMMYFUNCTION("vlookup(C171,importrange(""1kw74ismGU34AsZ5x-W4x7F3Zt2xc8NSYcCVMrCJBmdQ"",""DRP for 8 products!B:H""),6,0)"),"BigQuery")</f>
        <v>BigQuery</v>
      </c>
      <c r="M171" s="10" t="str">
        <f t="shared" si="3"/>
        <v>Yes</v>
      </c>
    </row>
    <row r="172">
      <c r="A172" s="4" t="str">
        <f>IFERROR(__xludf.DUMMYFUNCTION("vlookup(C172,IMPORTRANGE(""1Kgoo8qyo6zMtf_5B03ksZz228jg0XpZ4_KXsdHQ4Vks"",""14 Sept!A:B""),2,0)"),"DME1435")</f>
        <v>DME1435</v>
      </c>
      <c r="B172" s="5" t="str">
        <f>IFERROR(__xludf.DUMMYFUNCTION("""COMPUTED_VALUE"""),"Amit Malav")</f>
        <v>Amit Malav</v>
      </c>
      <c r="C172" s="5" t="str">
        <f>IFERROR(__xludf.DUMMYFUNCTION("""COMPUTED_VALUE"""),"amit.malav@onixnet.com")</f>
        <v>amit.malav@onixnet.com</v>
      </c>
      <c r="D172" s="4" t="s">
        <v>11</v>
      </c>
      <c r="E172" s="6" t="str">
        <f>IFERROR(__xludf.DUMMYFUNCTION("vlookup($A172,importrange(""1fyGnaViAX9kns28pvsfPvI9925sAI7kxPlM7jpuHVJM"",""Validation!A:Z""),11,0)"),"Delivery Services")</f>
        <v>Delivery Services</v>
      </c>
      <c r="F172" s="6" t="str">
        <f>IFERROR(__xludf.DUMMYFUNCTION("vlookup($A172,importrange(""1fyGnaViAX9kns28pvsfPvI9925sAI7kxPlM7jpuHVJM"",""Validation!A:Z""),23,0)"),"Raavi Ashok Reddy")</f>
        <v>Raavi Ashok Reddy</v>
      </c>
      <c r="G172" s="6" t="str">
        <f>IFERROR(__xludf.DUMMYFUNCTION("vlookup(A172,importrange(""1fyGnaViAX9kns28pvsfPvI9925sAI7kxPlM7jpuHVJM"",""Validation!A:Z""),22,0)"),"Cluster - Gaurav")</f>
        <v>Cluster - Gaurav</v>
      </c>
      <c r="H172" s="4" t="str">
        <f>IFERROR(__xludf.DUMMYFUNCTION("vlookup(C172,importrange(""1kw74ismGU34AsZ5x-W4x7F3Zt2xc8NSYcCVMrCJBmdQ"",""DRP for 8 products!B:C""),2,0)"),"ONIAMREM3")</f>
        <v>ONIAMREM3</v>
      </c>
      <c r="I172" s="7">
        <f>IFERROR(__xludf.DUMMYFUNCTION("vlookup(C172,importrange(""1kw74ismGU34AsZ5x-W4x7F3Zt2xc8NSYcCVMrCJBmdQ"",""DRP for 8 products!B:E""),4,0)"),54.0)</f>
        <v>54</v>
      </c>
      <c r="J172" s="8" t="str">
        <f t="shared" si="1"/>
        <v>Tier 1</v>
      </c>
      <c r="K172" s="9" t="str">
        <f t="shared" si="2"/>
        <v>Active</v>
      </c>
      <c r="L172" s="4" t="str">
        <f>IFERROR(__xludf.DUMMYFUNCTION("vlookup(C172,importrange(""1kw74ismGU34AsZ5x-W4x7F3Zt2xc8NSYcCVMrCJBmdQ"",""DRP for 8 products!B:H""),6,0)"),"BigQuery")</f>
        <v>BigQuery</v>
      </c>
      <c r="M172" s="10" t="str">
        <f t="shared" si="3"/>
        <v>Yes</v>
      </c>
    </row>
    <row r="173">
      <c r="A173" s="4" t="str">
        <f>IFERROR(__xludf.DUMMYFUNCTION("vlookup(C173,IMPORTRANGE(""1Kgoo8qyo6zMtf_5B03ksZz228jg0XpZ4_KXsdHQ4Vks"",""14 Sept!A:B""),2,0)"),"DME2602")</f>
        <v>DME2602</v>
      </c>
      <c r="B173" s="5" t="str">
        <f>IFERROR(__xludf.DUMMYFUNCTION("""COMPUTED_VALUE"""),"Deepanshu Garg")</f>
        <v>Deepanshu Garg</v>
      </c>
      <c r="C173" s="5" t="str">
        <f>IFERROR(__xludf.DUMMYFUNCTION("""COMPUTED_VALUE"""),"deepanshu.garg@onixnet.com")</f>
        <v>deepanshu.garg@onixnet.com</v>
      </c>
      <c r="D173" s="4" t="s">
        <v>11</v>
      </c>
      <c r="E173" s="6" t="str">
        <f>IFERROR(__xludf.DUMMYFUNCTION("vlookup($A173,importrange(""1fyGnaViAX9kns28pvsfPvI9925sAI7kxPlM7jpuHVJM"",""Validation!A:Z""),11,0)"),"Delivery Services")</f>
        <v>Delivery Services</v>
      </c>
      <c r="F173" s="6" t="str">
        <f>IFERROR(__xludf.DUMMYFUNCTION("vlookup($A173,importrange(""1fyGnaViAX9kns28pvsfPvI9925sAI7kxPlM7jpuHVJM"",""Validation!A:Z""),23,0)"),"Marut Misra")</f>
        <v>Marut Misra</v>
      </c>
      <c r="G173" s="6" t="str">
        <f>IFERROR(__xludf.DUMMYFUNCTION("vlookup(A173,importrange(""1fyGnaViAX9kns28pvsfPvI9925sAI7kxPlM7jpuHVJM"",""Validation!A:Z""),22,0)"),"Cluster - Sachin")</f>
        <v>Cluster - Sachin</v>
      </c>
      <c r="H173" s="4" t="str">
        <f>IFERROR(__xludf.DUMMYFUNCTION("vlookup(C173,importrange(""1kw74ismGU34AsZ5x-W4x7F3Zt2xc8NSYcCVMrCJBmdQ"",""DRP for 8 products!B:C""),2,0)"),"ONIDGRVY5")</f>
        <v>ONIDGRVY5</v>
      </c>
      <c r="I173" s="7">
        <f>IFERROR(__xludf.DUMMYFUNCTION("vlookup(C173,importrange(""1kw74ismGU34AsZ5x-W4x7F3Zt2xc8NSYcCVMrCJBmdQ"",""DRP for 8 products!B:E""),4,0)"),54.0)</f>
        <v>54</v>
      </c>
      <c r="J173" s="8" t="str">
        <f t="shared" si="1"/>
        <v>Tier 1</v>
      </c>
      <c r="K173" s="9" t="str">
        <f t="shared" si="2"/>
        <v>Active</v>
      </c>
      <c r="L173" s="4" t="str">
        <f>IFERROR(__xludf.DUMMYFUNCTION("vlookup(C173,importrange(""1kw74ismGU34AsZ5x-W4x7F3Zt2xc8NSYcCVMrCJBmdQ"",""DRP for 8 products!B:H""),6,0)"),"BigQuery")</f>
        <v>BigQuery</v>
      </c>
      <c r="M173" s="10" t="str">
        <f t="shared" si="3"/>
        <v>Yes</v>
      </c>
    </row>
    <row r="174">
      <c r="A174" s="4" t="str">
        <f>IFERROR(__xludf.DUMMYFUNCTION("vlookup(C174,IMPORTRANGE(""1Kgoo8qyo6zMtf_5B03ksZz228jg0XpZ4_KXsdHQ4Vks"",""14 Sept!A:B""),2,0)"),"DME1997")</f>
        <v>DME1997</v>
      </c>
      <c r="B174" s="5" t="str">
        <f>IFERROR(__xludf.DUMMYFUNCTION("""COMPUTED_VALUE"""),"Mangesh Narwade")</f>
        <v>Mangesh Narwade</v>
      </c>
      <c r="C174" s="5" t="str">
        <f>IFERROR(__xludf.DUMMYFUNCTION("""COMPUTED_VALUE"""),"mangesh.narwade@onixnet.com")</f>
        <v>mangesh.narwade@onixnet.com</v>
      </c>
      <c r="D174" s="4" t="s">
        <v>11</v>
      </c>
      <c r="E174" s="6" t="str">
        <f>IFERROR(__xludf.DUMMYFUNCTION("vlookup($A174,importrange(""1fyGnaViAX9kns28pvsfPvI9925sAI7kxPlM7jpuHVJM"",""Validation!A:Z""),11,0)"),"Delivery Services")</f>
        <v>Delivery Services</v>
      </c>
      <c r="F174" s="6" t="str">
        <f>IFERROR(__xludf.DUMMYFUNCTION("vlookup($A174,importrange(""1fyGnaViAX9kns28pvsfPvI9925sAI7kxPlM7jpuHVJM"",""Validation!A:Z""),23,0)"),"Amit Argade")</f>
        <v>Amit Argade</v>
      </c>
      <c r="G174" s="6" t="str">
        <f>IFERROR(__xludf.DUMMYFUNCTION("vlookup(A174,importrange(""1fyGnaViAX9kns28pvsfPvI9925sAI7kxPlM7jpuHVJM"",""Validation!A:Z""),22,0)"),"Cluster - Sagar")</f>
        <v>Cluster - Sagar</v>
      </c>
      <c r="H174" s="4" t="str">
        <f>IFERROR(__xludf.DUMMYFUNCTION("vlookup(C174,importrange(""1kw74ismGU34AsZ5x-W4x7F3Zt2xc8NSYcCVMrCJBmdQ"",""DRP for 8 products!B:C""),2,0)"),"ONIMNRYW6")</f>
        <v>ONIMNRYW6</v>
      </c>
      <c r="I174" s="7">
        <f>IFERROR(__xludf.DUMMYFUNCTION("vlookup(C174,importrange(""1kw74ismGU34AsZ5x-W4x7F3Zt2xc8NSYcCVMrCJBmdQ"",""DRP for 8 products!B:E""),4,0)"),14.0)</f>
        <v>14</v>
      </c>
      <c r="J174" s="8" t="str">
        <f t="shared" si="1"/>
        <v>Tier 4</v>
      </c>
      <c r="K174" s="9" t="str">
        <f t="shared" si="2"/>
        <v>Active</v>
      </c>
      <c r="L174" s="4" t="str">
        <f>IFERROR(__xludf.DUMMYFUNCTION("vlookup(C174,importrange(""1kw74ismGU34AsZ5x-W4x7F3Zt2xc8NSYcCVMrCJBmdQ"",""DRP for 8 products!B:H""),6,0)"),"BigQuery")</f>
        <v>BigQuery</v>
      </c>
      <c r="M174" s="10" t="str">
        <f t="shared" si="3"/>
        <v>Yes</v>
      </c>
    </row>
    <row r="175">
      <c r="A175" s="4" t="str">
        <f>IFERROR(__xludf.DUMMYFUNCTION("vlookup(C175,IMPORTRANGE(""1Kgoo8qyo6zMtf_5B03ksZz228jg0XpZ4_KXsdHQ4Vks"",""14 Sept!A:B""),2,0)"),"DME2110")</f>
        <v>DME2110</v>
      </c>
      <c r="B175" s="5" t="str">
        <f>IFERROR(__xludf.DUMMYFUNCTION("""COMPUTED_VALUE"""),"Ajay Andhale")</f>
        <v>Ajay Andhale</v>
      </c>
      <c r="C175" s="5" t="str">
        <f>IFERROR(__xludf.DUMMYFUNCTION("""COMPUTED_VALUE"""),"ajay.andhale@onixnet.com")</f>
        <v>ajay.andhale@onixnet.com</v>
      </c>
      <c r="D175" s="4" t="s">
        <v>11</v>
      </c>
      <c r="E175" s="6" t="str">
        <f>IFERROR(__xludf.DUMMYFUNCTION("vlookup($A175,importrange(""1fyGnaViAX9kns28pvsfPvI9925sAI7kxPlM7jpuHVJM"",""Validation!A:Z""),11,0)"),"Product Engineering")</f>
        <v>Product Engineering</v>
      </c>
      <c r="F175" s="6" t="str">
        <f>IFERROR(__xludf.DUMMYFUNCTION("vlookup($A175,importrange(""1fyGnaViAX9kns28pvsfPvI9925sAI7kxPlM7jpuHVJM"",""Validation!A:Z""),23,0)"),"Shantanu Charpe")</f>
        <v>Shantanu Charpe</v>
      </c>
      <c r="G175" s="6" t="str">
        <f>IFERROR(__xludf.DUMMYFUNCTION("vlookup(A175,importrange(""1fyGnaViAX9kns28pvsfPvI9925sAI7kxPlM7jpuHVJM"",""Validation!A:Z""),22,0)"),"Cluster - Mayur")</f>
        <v>Cluster - Mayur</v>
      </c>
      <c r="H175" s="4" t="str">
        <f>IFERROR(__xludf.DUMMYFUNCTION("vlookup(C175,importrange(""1kw74ismGU34AsZ5x-W4x7F3Zt2xc8NSYcCVMrCJBmdQ"",""DRP for 8 products!B:C""),2,0)"),"ONIAAVGH0")</f>
        <v>ONIAAVGH0</v>
      </c>
      <c r="I175" s="7">
        <f>IFERROR(__xludf.DUMMYFUNCTION("vlookup(C175,importrange(""1kw74ismGU34AsZ5x-W4x7F3Zt2xc8NSYcCVMrCJBmdQ"",""DRP for 8 products!B:E""),4,0)"),17.0)</f>
        <v>17</v>
      </c>
      <c r="J175" s="8" t="str">
        <f t="shared" si="1"/>
        <v>Tier 4</v>
      </c>
      <c r="K175" s="9" t="str">
        <f t="shared" si="2"/>
        <v>Active</v>
      </c>
      <c r="L175" s="4" t="str">
        <f>IFERROR(__xludf.DUMMYFUNCTION("vlookup(C175,importrange(""1kw74ismGU34AsZ5x-W4x7F3Zt2xc8NSYcCVMrCJBmdQ"",""DRP for 8 products!B:H""),6,0)"),"AlloyDB for PostgreSQL")</f>
        <v>AlloyDB for PostgreSQL</v>
      </c>
      <c r="M175" s="10" t="str">
        <f t="shared" si="3"/>
        <v>Yes</v>
      </c>
    </row>
    <row r="176">
      <c r="A176" s="4" t="str">
        <f>IFERROR(__xludf.DUMMYFUNCTION("vlookup(C176,IMPORTRANGE(""1Kgoo8qyo6zMtf_5B03ksZz228jg0XpZ4_KXsdHQ4Vks"",""14 Sept!A:B""),2,0)"),"DME2412")</f>
        <v>DME2412</v>
      </c>
      <c r="B176" s="5" t="str">
        <f>IFERROR(__xludf.DUMMYFUNCTION("""COMPUTED_VALUE"""),"Akash Pattipaka")</f>
        <v>Akash Pattipaka</v>
      </c>
      <c r="C176" s="5" t="str">
        <f>IFERROR(__xludf.DUMMYFUNCTION("""COMPUTED_VALUE"""),"akash.pattipaka@onixnet.com")</f>
        <v>akash.pattipaka@onixnet.com</v>
      </c>
      <c r="D176" s="4" t="s">
        <v>11</v>
      </c>
      <c r="E176" s="6" t="str">
        <f>IFERROR(__xludf.DUMMYFUNCTION("vlookup($A176,importrange(""1fyGnaViAX9kns28pvsfPvI9925sAI7kxPlM7jpuHVJM"",""Validation!A:Z""),11,0)"),"Delivery Services")</f>
        <v>Delivery Services</v>
      </c>
      <c r="F176" s="6" t="str">
        <f>IFERROR(__xludf.DUMMYFUNCTION("vlookup($A176,importrange(""1fyGnaViAX9kns28pvsfPvI9925sAI7kxPlM7jpuHVJM"",""Validation!A:Z""),23,0)"),"Sushant Patil")</f>
        <v>Sushant Patil</v>
      </c>
      <c r="G176" s="6" t="str">
        <f>IFERROR(__xludf.DUMMYFUNCTION("vlookup(A176,importrange(""1fyGnaViAX9kns28pvsfPvI9925sAI7kxPlM7jpuHVJM"",""Validation!A:Z""),22,0)"),"Cluster - Gaurav")</f>
        <v>Cluster - Gaurav</v>
      </c>
      <c r="H176" s="4" t="str">
        <f>IFERROR(__xludf.DUMMYFUNCTION("vlookup(C176,importrange(""1kw74ismGU34AsZ5x-W4x7F3Zt2xc8NSYcCVMrCJBmdQ"",""DRP for 8 products!B:C""),2,0)"),"ONIAPJGF3")</f>
        <v>ONIAPJGF3</v>
      </c>
      <c r="I176" s="7">
        <f>IFERROR(__xludf.DUMMYFUNCTION("vlookup(C176,importrange(""1kw74ismGU34AsZ5x-W4x7F3Zt2xc8NSYcCVMrCJBmdQ"",""DRP for 8 products!B:E""),4,0)"),10.0)</f>
        <v>10</v>
      </c>
      <c r="J176" s="8" t="str">
        <f t="shared" si="1"/>
        <v>Tier 4</v>
      </c>
      <c r="K176" s="9" t="str">
        <f t="shared" si="2"/>
        <v>Active</v>
      </c>
      <c r="L176" s="4" t="str">
        <f>IFERROR(__xludf.DUMMYFUNCTION("vlookup(C176,importrange(""1kw74ismGU34AsZ5x-W4x7F3Zt2xc8NSYcCVMrCJBmdQ"",""DRP for 8 products!B:H""),6,0)"),"BigQuery")</f>
        <v>BigQuery</v>
      </c>
      <c r="M176" s="10" t="str">
        <f t="shared" si="3"/>
        <v>Yes</v>
      </c>
    </row>
    <row r="177">
      <c r="A177" s="4" t="str">
        <f>IFERROR(__xludf.DUMMYFUNCTION("vlookup(C177,IMPORTRANGE(""1Kgoo8qyo6zMtf_5B03ksZz228jg0XpZ4_KXsdHQ4Vks"",""14 Sept!A:B""),2,0)"),"DME1156")</f>
        <v>DME1156</v>
      </c>
      <c r="B177" s="5" t="str">
        <f>IFERROR(__xludf.DUMMYFUNCTION("""COMPUTED_VALUE"""),"Manisha Jadhav")</f>
        <v>Manisha Jadhav</v>
      </c>
      <c r="C177" s="5" t="str">
        <f>IFERROR(__xludf.DUMMYFUNCTION("""COMPUTED_VALUE"""),"manisha.jadhav@onixnet.com")</f>
        <v>manisha.jadhav@onixnet.com</v>
      </c>
      <c r="D177" s="4" t="s">
        <v>11</v>
      </c>
      <c r="E177" s="6" t="str">
        <f>IFERROR(__xludf.DUMMYFUNCTION("vlookup($A177,importrange(""1fyGnaViAX9kns28pvsfPvI9925sAI7kxPlM7jpuHVJM"",""Validation!A:Z""),11,0)"),"Delivery Services")</f>
        <v>Delivery Services</v>
      </c>
      <c r="F177" s="6" t="str">
        <f>IFERROR(__xludf.DUMMYFUNCTION("vlookup($A177,importrange(""1fyGnaViAX9kns28pvsfPvI9925sAI7kxPlM7jpuHVJM"",""Validation!A:Z""),23,0)"),"Anand Saraf")</f>
        <v>Anand Saraf</v>
      </c>
      <c r="G177" s="6" t="str">
        <f>IFERROR(__xludf.DUMMYFUNCTION("vlookup(A177,importrange(""1fyGnaViAX9kns28pvsfPvI9925sAI7kxPlM7jpuHVJM"",""Validation!A:Z""),22,0)"),"Cluster - Sachin")</f>
        <v>Cluster - Sachin</v>
      </c>
      <c r="H177" s="4" t="str">
        <f>IFERROR(__xludf.DUMMYFUNCTION("vlookup(C177,importrange(""1kw74ismGU34AsZ5x-W4x7F3Zt2xc8NSYcCVMrCJBmdQ"",""DRP for 8 products!B:C""),2,0)"),"ONIMJOVW6")</f>
        <v>ONIMJOVW6</v>
      </c>
      <c r="I177" s="7">
        <f>IFERROR(__xludf.DUMMYFUNCTION("vlookup(C177,importrange(""1kw74ismGU34AsZ5x-W4x7F3Zt2xc8NSYcCVMrCJBmdQ"",""DRP for 8 products!B:E""),4,0)"),59.0)</f>
        <v>59</v>
      </c>
      <c r="J177" s="8" t="str">
        <f t="shared" si="1"/>
        <v>Tier 1</v>
      </c>
      <c r="K177" s="9" t="str">
        <f t="shared" si="2"/>
        <v>Active</v>
      </c>
      <c r="L177" s="4" t="str">
        <f>IFERROR(__xludf.DUMMYFUNCTION("vlookup(C177,importrange(""1kw74ismGU34AsZ5x-W4x7F3Zt2xc8NSYcCVMrCJBmdQ"",""DRP for 8 products!B:H""),6,0)"),"BigQuery")</f>
        <v>BigQuery</v>
      </c>
      <c r="M177" s="10" t="str">
        <f t="shared" si="3"/>
        <v>Yes</v>
      </c>
    </row>
    <row r="178">
      <c r="A178" s="4" t="str">
        <f>IFERROR(__xludf.DUMMYFUNCTION("vlookup(C178,IMPORTRANGE(""1Kgoo8qyo6zMtf_5B03ksZz228jg0XpZ4_KXsdHQ4Vks"",""14 Sept!A:B""),2,0)"),"DME2574")</f>
        <v>DME2574</v>
      </c>
      <c r="B178" s="5" t="str">
        <f>IFERROR(__xludf.DUMMYFUNCTION("""COMPUTED_VALUE"""),"Saurabh Gaikwad")</f>
        <v>Saurabh Gaikwad</v>
      </c>
      <c r="C178" s="5" t="str">
        <f>IFERROR(__xludf.DUMMYFUNCTION("""COMPUTED_VALUE"""),"saurabh.gaikwad@onixnet.com")</f>
        <v>saurabh.gaikwad@onixnet.com</v>
      </c>
      <c r="D178" s="4" t="s">
        <v>11</v>
      </c>
      <c r="E178" s="6" t="str">
        <f>IFERROR(__xludf.DUMMYFUNCTION("vlookup($A178,importrange(""1fyGnaViAX9kns28pvsfPvI9925sAI7kxPlM7jpuHVJM"",""Validation!A:Z""),11,0)"),"Delivery Services")</f>
        <v>Delivery Services</v>
      </c>
      <c r="F178" s="6" t="str">
        <f>IFERROR(__xludf.DUMMYFUNCTION("vlookup($A178,importrange(""1fyGnaViAX9kns28pvsfPvI9925sAI7kxPlM7jpuHVJM"",""Validation!A:Z""),23,0)"),"Vishal Khare")</f>
        <v>Vishal Khare</v>
      </c>
      <c r="G178" s="6" t="str">
        <f>IFERROR(__xludf.DUMMYFUNCTION("vlookup(A178,importrange(""1fyGnaViAX9kns28pvsfPvI9925sAI7kxPlM7jpuHVJM"",""Validation!A:Z""),22,0)"),"Cluster - Sagar")</f>
        <v>Cluster - Sagar</v>
      </c>
      <c r="H178" s="4" t="str">
        <f>IFERROR(__xludf.DUMMYFUNCTION("vlookup(C178,importrange(""1kw74ismGU34AsZ5x-W4x7F3Zt2xc8NSYcCVMrCJBmdQ"",""DRP for 8 products!B:C""),2,0)"),"ONISGFJE9")</f>
        <v>ONISGFJE9</v>
      </c>
      <c r="I178" s="7">
        <f>IFERROR(__xludf.DUMMYFUNCTION("vlookup(C178,importrange(""1kw74ismGU34AsZ5x-W4x7F3Zt2xc8NSYcCVMrCJBmdQ"",""DRP for 8 products!B:E""),4,0)"),54.0)</f>
        <v>54</v>
      </c>
      <c r="J178" s="8" t="str">
        <f t="shared" si="1"/>
        <v>Tier 1</v>
      </c>
      <c r="K178" s="9" t="str">
        <f t="shared" si="2"/>
        <v>Active</v>
      </c>
      <c r="L178" s="4" t="str">
        <f>IFERROR(__xludf.DUMMYFUNCTION("vlookup(C178,importrange(""1kw74ismGU34AsZ5x-W4x7F3Zt2xc8NSYcCVMrCJBmdQ"",""DRP for 8 products!B:H""),6,0)"),"BigQuery")</f>
        <v>BigQuery</v>
      </c>
      <c r="M178" s="10" t="str">
        <f t="shared" si="3"/>
        <v>Yes</v>
      </c>
    </row>
    <row r="179">
      <c r="A179" s="4" t="str">
        <f>IFERROR(__xludf.DUMMYFUNCTION("vlookup(C179,IMPORTRANGE(""1Kgoo8qyo6zMtf_5B03ksZz228jg0XpZ4_KXsdHQ4Vks"",""14 Sept!A:B""),2,0)"),"DME2687")</f>
        <v>DME2687</v>
      </c>
      <c r="B179" s="5" t="str">
        <f>IFERROR(__xludf.DUMMYFUNCTION("""COMPUTED_VALUE"""),"Shashank Shekhar")</f>
        <v>Shashank Shekhar</v>
      </c>
      <c r="C179" s="5" t="str">
        <f>IFERROR(__xludf.DUMMYFUNCTION("""COMPUTED_VALUE"""),"shashank.shekhar@onixnet.com")</f>
        <v>shashank.shekhar@onixnet.com</v>
      </c>
      <c r="D179" s="4" t="s">
        <v>11</v>
      </c>
      <c r="E179" s="6" t="str">
        <f>IFERROR(__xludf.DUMMYFUNCTION("vlookup($A179,importrange(""1fyGnaViAX9kns28pvsfPvI9925sAI7kxPlM7jpuHVJM"",""Validation!A:Z""),11,0)"),"Delivery Services")</f>
        <v>Delivery Services</v>
      </c>
      <c r="F179" s="6" t="str">
        <f>IFERROR(__xludf.DUMMYFUNCTION("vlookup($A179,importrange(""1fyGnaViAX9kns28pvsfPvI9925sAI7kxPlM7jpuHVJM"",""Validation!A:Z""),23,0)"),"Varun Katyal")</f>
        <v>Varun Katyal</v>
      </c>
      <c r="G179" s="6" t="str">
        <f>IFERROR(__xludf.DUMMYFUNCTION("vlookup(A179,importrange(""1fyGnaViAX9kns28pvsfPvI9925sAI7kxPlM7jpuHVJM"",""Validation!A:Z""),22,0)"),"Cluster - Varun")</f>
        <v>Cluster - Varun</v>
      </c>
      <c r="H179" s="4" t="str">
        <f>IFERROR(__xludf.DUMMYFUNCTION("vlookup(C179,importrange(""1kw74ismGU34AsZ5x-W4x7F3Zt2xc8NSYcCVMrCJBmdQ"",""DRP for 8 products!B:C""),2,0)"),"ONISSHMD1")</f>
        <v>ONISSHMD1</v>
      </c>
      <c r="I179" s="7">
        <f>IFERROR(__xludf.DUMMYFUNCTION("vlookup(C179,importrange(""1kw74ismGU34AsZ5x-W4x7F3Zt2xc8NSYcCVMrCJBmdQ"",""DRP for 8 products!B:E""),4,0)"),54.0)</f>
        <v>54</v>
      </c>
      <c r="J179" s="8" t="str">
        <f t="shared" si="1"/>
        <v>Tier 1</v>
      </c>
      <c r="K179" s="9" t="str">
        <f t="shared" si="2"/>
        <v>Active</v>
      </c>
      <c r="L179" s="4" t="str">
        <f>IFERROR(__xludf.DUMMYFUNCTION("vlookup(C179,importrange(""1kw74ismGU34AsZ5x-W4x7F3Zt2xc8NSYcCVMrCJBmdQ"",""DRP for 8 products!B:H""),6,0)"),"BigQuery")</f>
        <v>BigQuery</v>
      </c>
      <c r="M179" s="10" t="str">
        <f t="shared" si="3"/>
        <v>Yes</v>
      </c>
    </row>
    <row r="180">
      <c r="A180" s="4" t="str">
        <f>IFERROR(__xludf.DUMMYFUNCTION("vlookup(C180,IMPORTRANGE(""1Kgoo8qyo6zMtf_5B03ksZz228jg0XpZ4_KXsdHQ4Vks"",""14 Sept!A:B""),2,0)"),"DME2342")</f>
        <v>DME2342</v>
      </c>
      <c r="B180" s="5" t="str">
        <f>IFERROR(__xludf.DUMMYFUNCTION("""COMPUTED_VALUE"""),"Lavanya Nagururu")</f>
        <v>Lavanya Nagururu</v>
      </c>
      <c r="C180" s="5" t="str">
        <f>IFERROR(__xludf.DUMMYFUNCTION("""COMPUTED_VALUE"""),"lavanya.nagururu@onixnet.com")</f>
        <v>lavanya.nagururu@onixnet.com</v>
      </c>
      <c r="D180" s="4" t="s">
        <v>11</v>
      </c>
      <c r="E180" s="6" t="str">
        <f>IFERROR(__xludf.DUMMYFUNCTION("vlookup($A180,importrange(""1fyGnaViAX9kns28pvsfPvI9925sAI7kxPlM7jpuHVJM"",""Validation!A:Z""),11,0)"),"Delivery Services")</f>
        <v>Delivery Services</v>
      </c>
      <c r="F180" s="6" t="str">
        <f>IFERROR(__xludf.DUMMYFUNCTION("vlookup($A180,importrange(""1fyGnaViAX9kns28pvsfPvI9925sAI7kxPlM7jpuHVJM"",""Validation!A:Z""),23,0)"),"Sneha Bhatambrekar")</f>
        <v>Sneha Bhatambrekar</v>
      </c>
      <c r="G180" s="6" t="str">
        <f>IFERROR(__xludf.DUMMYFUNCTION("vlookup(A180,importrange(""1fyGnaViAX9kns28pvsfPvI9925sAI7kxPlM7jpuHVJM"",""Validation!A:Z""),22,0)"),"Cluster - Sandeep")</f>
        <v>Cluster - Sandeep</v>
      </c>
      <c r="H180" s="4" t="str">
        <f>IFERROR(__xludf.DUMMYFUNCTION("vlookup(C180,importrange(""1kw74ismGU34AsZ5x-W4x7F3Zt2xc8NSYcCVMrCJBmdQ"",""DRP for 8 products!B:C""),2,0)"),"ONILNYXF4")</f>
        <v>ONILNYXF4</v>
      </c>
      <c r="I180" s="7">
        <f>IFERROR(__xludf.DUMMYFUNCTION("vlookup(C180,importrange(""1kw74ismGU34AsZ5x-W4x7F3Zt2xc8NSYcCVMrCJBmdQ"",""DRP for 8 products!B:E""),4,0)"),12.0)</f>
        <v>12</v>
      </c>
      <c r="J180" s="8" t="str">
        <f t="shared" si="1"/>
        <v>Tier 4</v>
      </c>
      <c r="K180" s="9" t="str">
        <f t="shared" si="2"/>
        <v>Active</v>
      </c>
      <c r="L180" s="4" t="str">
        <f>IFERROR(__xludf.DUMMYFUNCTION("vlookup(C180,importrange(""1kw74ismGU34AsZ5x-W4x7F3Zt2xc8NSYcCVMrCJBmdQ"",""DRP for 8 products!B:H""),6,0)"),"BigQuery")</f>
        <v>BigQuery</v>
      </c>
      <c r="M180" s="10" t="str">
        <f t="shared" si="3"/>
        <v>Yes</v>
      </c>
    </row>
    <row r="181">
      <c r="A181" s="4" t="str">
        <f>IFERROR(__xludf.DUMMYFUNCTION("vlookup(C181,IMPORTRANGE(""1Kgoo8qyo6zMtf_5B03ksZz228jg0XpZ4_KXsdHQ4Vks"",""14 Sept!A:B""),2,0)"),"DME2709")</f>
        <v>DME2709</v>
      </c>
      <c r="B181" s="5" t="str">
        <f>IFERROR(__xludf.DUMMYFUNCTION("""COMPUTED_VALUE"""),"apeksha nawkar")</f>
        <v>apeksha nawkar</v>
      </c>
      <c r="C181" s="5" t="str">
        <f>IFERROR(__xludf.DUMMYFUNCTION("""COMPUTED_VALUE"""),"apeksha.nawkar@onixnet.com")</f>
        <v>apeksha.nawkar@onixnet.com</v>
      </c>
      <c r="D181" s="4" t="s">
        <v>11</v>
      </c>
      <c r="E181" s="6" t="str">
        <f>IFERROR(__xludf.DUMMYFUNCTION("vlookup($A181,importrange(""1fyGnaViAX9kns28pvsfPvI9925sAI7kxPlM7jpuHVJM"",""Validation!A:Z""),11,0)"),"Delivery Services")</f>
        <v>Delivery Services</v>
      </c>
      <c r="F181" s="6" t="str">
        <f>IFERROR(__xludf.DUMMYFUNCTION("vlookup($A181,importrange(""1fyGnaViAX9kns28pvsfPvI9925sAI7kxPlM7jpuHVJM"",""Validation!A:Z""),23,0)"),"Priyanka Parab")</f>
        <v>Priyanka Parab</v>
      </c>
      <c r="G181" s="6" t="str">
        <f>IFERROR(__xludf.DUMMYFUNCTION("vlookup(A181,importrange(""1fyGnaViAX9kns28pvsfPvI9925sAI7kxPlM7jpuHVJM"",""Validation!A:Z""),22,0)"),"Cluster - Sagar")</f>
        <v>Cluster - Sagar</v>
      </c>
      <c r="H181" s="4" t="str">
        <f>IFERROR(__xludf.DUMMYFUNCTION("vlookup(C181,importrange(""1kw74ismGU34AsZ5x-W4x7F3Zt2xc8NSYcCVMrCJBmdQ"",""DRP for 8 products!B:C""),2,0)"),"ONIANZFH3")</f>
        <v>ONIANZFH3</v>
      </c>
      <c r="I181" s="7">
        <f>IFERROR(__xludf.DUMMYFUNCTION("vlookup(C181,importrange(""1kw74ismGU34AsZ5x-W4x7F3Zt2xc8NSYcCVMrCJBmdQ"",""DRP for 8 products!B:E""),4,0)"),16.0)</f>
        <v>16</v>
      </c>
      <c r="J181" s="8" t="str">
        <f t="shared" si="1"/>
        <v>Tier 4</v>
      </c>
      <c r="K181" s="9" t="str">
        <f t="shared" si="2"/>
        <v>Active</v>
      </c>
      <c r="L181" s="4" t="str">
        <f>IFERROR(__xludf.DUMMYFUNCTION("vlookup(C181,importrange(""1kw74ismGU34AsZ5x-W4x7F3Zt2xc8NSYcCVMrCJBmdQ"",""DRP for 8 products!B:H""),6,0)"),"AlloyDB for PostgreSQL")</f>
        <v>AlloyDB for PostgreSQL</v>
      </c>
      <c r="M181" s="10" t="str">
        <f t="shared" si="3"/>
        <v>Yes</v>
      </c>
    </row>
    <row r="182">
      <c r="A182" s="4" t="str">
        <f>IFERROR(__xludf.DUMMYFUNCTION("vlookup(C182,IMPORTRANGE(""1Kgoo8qyo6zMtf_5B03ksZz228jg0XpZ4_KXsdHQ4Vks"",""14 Sept!A:B""),2,0)"),"DME3242")</f>
        <v>DME3242</v>
      </c>
      <c r="B182" s="5" t="str">
        <f>IFERROR(__xludf.DUMMYFUNCTION("""COMPUTED_VALUE"""),"Abhishek Mishra")</f>
        <v>Abhishek Mishra</v>
      </c>
      <c r="C182" s="5" t="str">
        <f>IFERROR(__xludf.DUMMYFUNCTION("""COMPUTED_VALUE"""),"abhishek.mishra@onixnet.com")</f>
        <v>abhishek.mishra@onixnet.com</v>
      </c>
      <c r="D182" s="4" t="s">
        <v>11</v>
      </c>
      <c r="E182" s="6" t="str">
        <f>IFERROR(__xludf.DUMMYFUNCTION("vlookup($A182,importrange(""1fyGnaViAX9kns28pvsfPvI9925sAI7kxPlM7jpuHVJM"",""Validation!A:Z""),11,0)"),"Delivery Services")</f>
        <v>Delivery Services</v>
      </c>
      <c r="F182" s="6" t="str">
        <f>IFERROR(__xludf.DUMMYFUNCTION("vlookup($A182,importrange(""1fyGnaViAX9kns28pvsfPvI9925sAI7kxPlM7jpuHVJM"",""Validation!A:Z""),23,0)"),"Mayur Kasar")</f>
        <v>Mayur Kasar</v>
      </c>
      <c r="G182" s="6" t="str">
        <f>IFERROR(__xludf.DUMMYFUNCTION("vlookup(A182,importrange(""1fyGnaViAX9kns28pvsfPvI9925sAI7kxPlM7jpuHVJM"",""Validation!A:Z""),22,0)"),"Cluster - Varun")</f>
        <v>Cluster - Varun</v>
      </c>
      <c r="H182" s="4" t="str">
        <f>IFERROR(__xludf.DUMMYFUNCTION("vlookup(C182,importrange(""1kw74ismGU34AsZ5x-W4x7F3Zt2xc8NSYcCVMrCJBmdQ"",""DRP for 8 products!B:C""),2,0)"),"ONIAMOXV4")</f>
        <v>ONIAMOXV4</v>
      </c>
      <c r="I182" s="7">
        <f>IFERROR(__xludf.DUMMYFUNCTION("vlookup(C182,importrange(""1kw74ismGU34AsZ5x-W4x7F3Zt2xc8NSYcCVMrCJBmdQ"",""DRP for 8 products!B:E""),4,0)"),29.0)</f>
        <v>29</v>
      </c>
      <c r="J182" s="8" t="str">
        <f t="shared" si="1"/>
        <v>Tier 3</v>
      </c>
      <c r="K182" s="9" t="str">
        <f t="shared" si="2"/>
        <v>Active</v>
      </c>
      <c r="L182" s="4" t="str">
        <f>IFERROR(__xludf.DUMMYFUNCTION("vlookup(C182,importrange(""1kw74ismGU34AsZ5x-W4x7F3Zt2xc8NSYcCVMrCJBmdQ"",""DRP for 8 products!B:H""),6,0)"),"BigQuery")</f>
        <v>BigQuery</v>
      </c>
      <c r="M182" s="10" t="str">
        <f t="shared" si="3"/>
        <v>Yes</v>
      </c>
    </row>
    <row r="183">
      <c r="A183" s="4" t="str">
        <f>IFERROR(__xludf.DUMMYFUNCTION("vlookup(C183,IMPORTRANGE(""1Kgoo8qyo6zMtf_5B03ksZz228jg0XpZ4_KXsdHQ4Vks"",""14 Sept!A:B""),2,0)"),"DME3183")</f>
        <v>DME3183</v>
      </c>
      <c r="B183" s="5" t="str">
        <f>IFERROR(__xludf.DUMMYFUNCTION("""COMPUTED_VALUE"""),"Nikita Gaikwad")</f>
        <v>Nikita Gaikwad</v>
      </c>
      <c r="C183" s="5" t="str">
        <f>IFERROR(__xludf.DUMMYFUNCTION("""COMPUTED_VALUE"""),"nikita.gaikwad@onixnet.com")</f>
        <v>nikita.gaikwad@onixnet.com</v>
      </c>
      <c r="D183" s="4" t="s">
        <v>11</v>
      </c>
      <c r="E183" s="6" t="str">
        <f>IFERROR(__xludf.DUMMYFUNCTION("vlookup($A183,importrange(""1fyGnaViAX9kns28pvsfPvI9925sAI7kxPlM7jpuHVJM"",""Validation!A:Z""),11,0)"),"Delivery Services")</f>
        <v>Delivery Services</v>
      </c>
      <c r="F183" s="6" t="str">
        <f>IFERROR(__xludf.DUMMYFUNCTION("vlookup($A183,importrange(""1fyGnaViAX9kns28pvsfPvI9925sAI7kxPlM7jpuHVJM"",""Validation!A:Z""),23,0)"),"Ashwini Kumar")</f>
        <v>Ashwini Kumar</v>
      </c>
      <c r="G183" s="6" t="str">
        <f>IFERROR(__xludf.DUMMYFUNCTION("vlookup(A183,importrange(""1fyGnaViAX9kns28pvsfPvI9925sAI7kxPlM7jpuHVJM"",""Validation!A:Z""),22,0)"),"Cluster - Kanhaiya")</f>
        <v>Cluster - Kanhaiya</v>
      </c>
      <c r="H183" s="4" t="str">
        <f>IFERROR(__xludf.DUMMYFUNCTION("vlookup(C183,importrange(""1kw74ismGU34AsZ5x-W4x7F3Zt2xc8NSYcCVMrCJBmdQ"",""DRP for 8 products!B:C""),2,0)"),"ONINGXID5")</f>
        <v>ONINGXID5</v>
      </c>
      <c r="I183" s="7">
        <f>IFERROR(__xludf.DUMMYFUNCTION("vlookup(C183,importrange(""1kw74ismGU34AsZ5x-W4x7F3Zt2xc8NSYcCVMrCJBmdQ"",""DRP for 8 products!B:E""),4,0)"),9.0)</f>
        <v>9</v>
      </c>
      <c r="J183" s="8" t="str">
        <f t="shared" si="1"/>
        <v>Tier 4</v>
      </c>
      <c r="K183" s="9" t="str">
        <f t="shared" si="2"/>
        <v>Active</v>
      </c>
      <c r="L183" s="4" t="str">
        <f>IFERROR(__xludf.DUMMYFUNCTION("vlookup(C183,importrange(""1kw74ismGU34AsZ5x-W4x7F3Zt2xc8NSYcCVMrCJBmdQ"",""DRP for 8 products!B:H""),6,0)"),"BigQuery")</f>
        <v>BigQuery</v>
      </c>
      <c r="M183" s="10" t="str">
        <f t="shared" si="3"/>
        <v>Yes</v>
      </c>
    </row>
    <row r="184">
      <c r="A184" s="4" t="str">
        <f>IFERROR(__xludf.DUMMYFUNCTION("vlookup(C184,IMPORTRANGE(""1Kgoo8qyo6zMtf_5B03ksZz228jg0XpZ4_KXsdHQ4Vks"",""14 Sept!A:B""),2,0)"),"DME2958")</f>
        <v>DME2958</v>
      </c>
      <c r="B184" s="5" t="str">
        <f>IFERROR(__xludf.DUMMYFUNCTION("""COMPUTED_VALUE"""),"Anjaneswar Maddala")</f>
        <v>Anjaneswar Maddala</v>
      </c>
      <c r="C184" s="5" t="str">
        <f>IFERROR(__xludf.DUMMYFUNCTION("""COMPUTED_VALUE"""),"anjaneswar.maddala@onixnet.com")</f>
        <v>anjaneswar.maddala@onixnet.com</v>
      </c>
      <c r="D184" s="4" t="s">
        <v>11</v>
      </c>
      <c r="E184" s="6" t="str">
        <f>IFERROR(__xludf.DUMMYFUNCTION("vlookup($A184,importrange(""1fyGnaViAX9kns28pvsfPvI9925sAI7kxPlM7jpuHVJM"",""Validation!A:Z""),11,0)"),"Delivery Services")</f>
        <v>Delivery Services</v>
      </c>
      <c r="F184" s="6" t="str">
        <f>IFERROR(__xludf.DUMMYFUNCTION("vlookup($A184,importrange(""1fyGnaViAX9kns28pvsfPvI9925sAI7kxPlM7jpuHVJM"",""Validation!A:Z""),23,0)"),"Haroon Azeem")</f>
        <v>Haroon Azeem</v>
      </c>
      <c r="G184" s="6" t="str">
        <f>IFERROR(__xludf.DUMMYFUNCTION("vlookup(A184,importrange(""1fyGnaViAX9kns28pvsfPvI9925sAI7kxPlM7jpuHVJM"",""Validation!A:Z""),22,0)"),"Cluster - Shreepad")</f>
        <v>Cluster - Shreepad</v>
      </c>
      <c r="H184" s="4" t="str">
        <f>IFERROR(__xludf.DUMMYFUNCTION("vlookup(C184,importrange(""1kw74ismGU34AsZ5x-W4x7F3Zt2xc8NSYcCVMrCJBmdQ"",""DRP for 8 products!B:C""),2,0)"),"ONIAMRBK3")</f>
        <v>ONIAMRBK3</v>
      </c>
      <c r="I184" s="7">
        <f>IFERROR(__xludf.DUMMYFUNCTION("vlookup(C184,importrange(""1kw74ismGU34AsZ5x-W4x7F3Zt2xc8NSYcCVMrCJBmdQ"",""DRP for 8 products!B:E""),4,0)"),49.0)</f>
        <v>49</v>
      </c>
      <c r="J184" s="8" t="str">
        <f t="shared" si="1"/>
        <v>Tier 2</v>
      </c>
      <c r="K184" s="9" t="str">
        <f t="shared" si="2"/>
        <v>Active</v>
      </c>
      <c r="L184" s="4" t="str">
        <f>IFERROR(__xludf.DUMMYFUNCTION("vlookup(C184,importrange(""1kw74ismGU34AsZ5x-W4x7F3Zt2xc8NSYcCVMrCJBmdQ"",""DRP for 8 products!B:H""),6,0)"),"BigQuery")</f>
        <v>BigQuery</v>
      </c>
      <c r="M184" s="10" t="str">
        <f t="shared" si="3"/>
        <v>Yes</v>
      </c>
    </row>
    <row r="185">
      <c r="A185" s="4" t="str">
        <f>IFERROR(__xludf.DUMMYFUNCTION("vlookup(C185,IMPORTRANGE(""1Kgoo8qyo6zMtf_5B03ksZz228jg0XpZ4_KXsdHQ4Vks"",""14 Sept!A:B""),2,0)"),"DME2523")</f>
        <v>DME2523</v>
      </c>
      <c r="B185" s="5" t="str">
        <f>IFERROR(__xludf.DUMMYFUNCTION("""COMPUTED_VALUE"""),"Neelam Kamble")</f>
        <v>Neelam Kamble</v>
      </c>
      <c r="C185" s="5" t="str">
        <f>IFERROR(__xludf.DUMMYFUNCTION("""COMPUTED_VALUE"""),"neelam.kamble@onixnet.com")</f>
        <v>neelam.kamble@onixnet.com</v>
      </c>
      <c r="D185" s="4" t="s">
        <v>11</v>
      </c>
      <c r="E185" s="6" t="str">
        <f>IFERROR(__xludf.DUMMYFUNCTION("vlookup($A185,importrange(""1fyGnaViAX9kns28pvsfPvI9925sAI7kxPlM7jpuHVJM"",""Validation!A:Z""),11,0)"),"Product Engineering")</f>
        <v>Product Engineering</v>
      </c>
      <c r="F185" s="6" t="str">
        <f>IFERROR(__xludf.DUMMYFUNCTION("vlookup($A185,importrange(""1fyGnaViAX9kns28pvsfPvI9925sAI7kxPlM7jpuHVJM"",""Validation!A:Z""),23,0)"),"Savan Tak")</f>
        <v>Savan Tak</v>
      </c>
      <c r="G185" s="6" t="str">
        <f>IFERROR(__xludf.DUMMYFUNCTION("vlookup(A185,importrange(""1fyGnaViAX9kns28pvsfPvI9925sAI7kxPlM7jpuHVJM"",""Validation!A:Z""),22,0)"),"Cluster - Mayur")</f>
        <v>Cluster - Mayur</v>
      </c>
      <c r="H185" s="4" t="str">
        <f>IFERROR(__xludf.DUMMYFUNCTION("vlookup(C185,importrange(""1kw74ismGU34AsZ5x-W4x7F3Zt2xc8NSYcCVMrCJBmdQ"",""DRP for 8 products!B:C""),2,0)"),"ONINKEST1")</f>
        <v>ONINKEST1</v>
      </c>
      <c r="I185" s="7">
        <f>IFERROR(__xludf.DUMMYFUNCTION("vlookup(C185,importrange(""1kw74ismGU34AsZ5x-W4x7F3Zt2xc8NSYcCVMrCJBmdQ"",""DRP for 8 products!B:E""),4,0)"),12.0)</f>
        <v>12</v>
      </c>
      <c r="J185" s="8" t="str">
        <f t="shared" si="1"/>
        <v>Tier 4</v>
      </c>
      <c r="K185" s="9" t="str">
        <f t="shared" si="2"/>
        <v>Active</v>
      </c>
      <c r="L185" s="4" t="str">
        <f>IFERROR(__xludf.DUMMYFUNCTION("vlookup(C185,importrange(""1kw74ismGU34AsZ5x-W4x7F3Zt2xc8NSYcCVMrCJBmdQ"",""DRP for 8 products!B:H""),6,0)"),"BigQuery")</f>
        <v>BigQuery</v>
      </c>
      <c r="M185" s="10" t="str">
        <f t="shared" si="3"/>
        <v>Yes</v>
      </c>
    </row>
    <row r="186">
      <c r="A186" s="4" t="str">
        <f>IFERROR(__xludf.DUMMYFUNCTION("vlookup(C186,IMPORTRANGE(""1Kgoo8qyo6zMtf_5B03ksZz228jg0XpZ4_KXsdHQ4Vks"",""14 Sept!A:B""),2,0)"),"DME2963")</f>
        <v>DME2963</v>
      </c>
      <c r="B186" s="5" t="str">
        <f>IFERROR(__xludf.DUMMYFUNCTION("""COMPUTED_VALUE"""),"Shreya Patil")</f>
        <v>Shreya Patil</v>
      </c>
      <c r="C186" s="5" t="str">
        <f>IFERROR(__xludf.DUMMYFUNCTION("""COMPUTED_VALUE"""),"shreya.patil@onixnet.com")</f>
        <v>shreya.patil@onixnet.com</v>
      </c>
      <c r="D186" s="4" t="s">
        <v>11</v>
      </c>
      <c r="E186" s="6" t="str">
        <f>IFERROR(__xludf.DUMMYFUNCTION("vlookup($A186,importrange(""1fyGnaViAX9kns28pvsfPvI9925sAI7kxPlM7jpuHVJM"",""Validation!A:Z""),11,0)"),"Delivery Services")</f>
        <v>Delivery Services</v>
      </c>
      <c r="F186" s="6" t="str">
        <f>IFERROR(__xludf.DUMMYFUNCTION("vlookup($A186,importrange(""1fyGnaViAX9kns28pvsfPvI9925sAI7kxPlM7jpuHVJM"",""Validation!A:Z""),23,0)"),"Bhagyashri Paralkar")</f>
        <v>Bhagyashri Paralkar</v>
      </c>
      <c r="G186" s="6" t="str">
        <f>IFERROR(__xludf.DUMMYFUNCTION("vlookup(A186,importrange(""1fyGnaViAX9kns28pvsfPvI9925sAI7kxPlM7jpuHVJM"",""Validation!A:Z""),22,0)"),"Cluster - Sagar")</f>
        <v>Cluster - Sagar</v>
      </c>
      <c r="H186" s="4" t="str">
        <f>IFERROR(__xludf.DUMMYFUNCTION("vlookup(C186,importrange(""1kw74ismGU34AsZ5x-W4x7F3Zt2xc8NSYcCVMrCJBmdQ"",""DRP for 8 products!B:C""),2,0)"),"ONISPOFE3")</f>
        <v>ONISPOFE3</v>
      </c>
      <c r="I186" s="7">
        <f>IFERROR(__xludf.DUMMYFUNCTION("vlookup(C186,importrange(""1kw74ismGU34AsZ5x-W4x7F3Zt2xc8NSYcCVMrCJBmdQ"",""DRP for 8 products!B:E""),4,0)"),27.0)</f>
        <v>27</v>
      </c>
      <c r="J186" s="8" t="str">
        <f t="shared" si="1"/>
        <v>Tier 3</v>
      </c>
      <c r="K186" s="9" t="str">
        <f t="shared" si="2"/>
        <v>Active</v>
      </c>
      <c r="L186" s="4" t="str">
        <f>IFERROR(__xludf.DUMMYFUNCTION("vlookup(C186,importrange(""1kw74ismGU34AsZ5x-W4x7F3Zt2xc8NSYcCVMrCJBmdQ"",""DRP for 8 products!B:H""),6,0)"),"BigQuery")</f>
        <v>BigQuery</v>
      </c>
      <c r="M186" s="10" t="str">
        <f t="shared" si="3"/>
        <v>Yes</v>
      </c>
    </row>
    <row r="187">
      <c r="A187" s="4" t="str">
        <f>IFERROR(__xludf.DUMMYFUNCTION("vlookup(C187,IMPORTRANGE(""1Kgoo8qyo6zMtf_5B03ksZz228jg0XpZ4_KXsdHQ4Vks"",""14 Sept!A:B""),2,0)"),"ONIX868")</f>
        <v>ONIX868</v>
      </c>
      <c r="B187" s="5" t="str">
        <f>IFERROR(__xludf.DUMMYFUNCTION("""COMPUTED_VALUE"""),"Srividya Mohan Murali")</f>
        <v>Srividya Mohan Murali</v>
      </c>
      <c r="C187" s="5" t="str">
        <f>IFERROR(__xludf.DUMMYFUNCTION("""COMPUTED_VALUE"""),"srividya.mohan.murali@onixnet.com")</f>
        <v>srividya.mohan.murali@onixnet.com</v>
      </c>
      <c r="D187" s="4" t="s">
        <v>11</v>
      </c>
      <c r="E187" s="6" t="str">
        <f>IFERROR(__xludf.DUMMYFUNCTION("vlookup($A187,importrange(""1fyGnaViAX9kns28pvsfPvI9925sAI7kxPlM7jpuHVJM"",""Validation!A:Z""),11,0)"),"Delivery")</f>
        <v>Delivery</v>
      </c>
      <c r="F187" s="6" t="str">
        <f>IFERROR(__xludf.DUMMYFUNCTION("vlookup($A187,importrange(""1fyGnaViAX9kns28pvsfPvI9925sAI7kxPlM7jpuHVJM"",""Validation!A:Z""),23,0)"),"Hemalatha Krishnan")</f>
        <v>Hemalatha Krishnan</v>
      </c>
      <c r="G187" s="6" t="str">
        <f>IFERROR(__xludf.DUMMYFUNCTION("vlookup(A187,importrange(""1fyGnaViAX9kns28pvsfPvI9925sAI7kxPlM7jpuHVJM"",""Validation!A:Z""),22,0)"),"Portfolio - Kanth")</f>
        <v>Portfolio - Kanth</v>
      </c>
      <c r="H187" s="4" t="str">
        <f>IFERROR(__xludf.DUMMYFUNCTION("vlookup(C187,importrange(""1kw74ismGU34AsZ5x-W4x7F3Zt2xc8NSYcCVMrCJBmdQ"",""DRP for 8 products!B:C""),2,0)"),"ONISMOUR0")</f>
        <v>ONISMOUR0</v>
      </c>
      <c r="I187" s="7">
        <f>IFERROR(__xludf.DUMMYFUNCTION("vlookup(C187,importrange(""1kw74ismGU34AsZ5x-W4x7F3Zt2xc8NSYcCVMrCJBmdQ"",""DRP for 8 products!B:E""),4,0)"),19.0)</f>
        <v>19</v>
      </c>
      <c r="J187" s="8" t="str">
        <f t="shared" si="1"/>
        <v>Tier 4</v>
      </c>
      <c r="K187" s="9" t="str">
        <f t="shared" si="2"/>
        <v>Active</v>
      </c>
      <c r="L187" s="4" t="str">
        <f>IFERROR(__xludf.DUMMYFUNCTION("vlookup(C187,importrange(""1kw74ismGU34AsZ5x-W4x7F3Zt2xc8NSYcCVMrCJBmdQ"",""DRP for 8 products!B:H""),6,0)"),"BigQuery")</f>
        <v>BigQuery</v>
      </c>
      <c r="M187" s="10" t="str">
        <f t="shared" si="3"/>
        <v>Yes</v>
      </c>
    </row>
    <row r="188">
      <c r="A188" s="4" t="str">
        <f>IFERROR(__xludf.DUMMYFUNCTION("vlookup(C188,IMPORTRANGE(""1Kgoo8qyo6zMtf_5B03ksZz228jg0XpZ4_KXsdHQ4Vks"",""14 Sept!A:B""),2,0)"),"DME2780")</f>
        <v>DME2780</v>
      </c>
      <c r="B188" s="5" t="str">
        <f>IFERROR(__xludf.DUMMYFUNCTION("""COMPUTED_VALUE"""),"Amol Chopade")</f>
        <v>Amol Chopade</v>
      </c>
      <c r="C188" s="5" t="str">
        <f>IFERROR(__xludf.DUMMYFUNCTION("""COMPUTED_VALUE"""),"amol.chopade@onixnet.com")</f>
        <v>amol.chopade@onixnet.com</v>
      </c>
      <c r="D188" s="4" t="s">
        <v>11</v>
      </c>
      <c r="E188" s="6" t="str">
        <f>IFERROR(__xludf.DUMMYFUNCTION("vlookup($A188,importrange(""1fyGnaViAX9kns28pvsfPvI9925sAI7kxPlM7jpuHVJM"",""Validation!A:Z""),11,0)"),"Delivery Services")</f>
        <v>Delivery Services</v>
      </c>
      <c r="F188" s="6" t="str">
        <f>IFERROR(__xludf.DUMMYFUNCTION("vlookup($A188,importrange(""1fyGnaViAX9kns28pvsfPvI9925sAI7kxPlM7jpuHVJM"",""Validation!A:Z""),23,0)"),"Jitender Singh")</f>
        <v>Jitender Singh</v>
      </c>
      <c r="G188" s="6" t="str">
        <f>IFERROR(__xludf.DUMMYFUNCTION("vlookup(A188,importrange(""1fyGnaViAX9kns28pvsfPvI9925sAI7kxPlM7jpuHVJM"",""Validation!A:Z""),22,0)"),"Cluster - Gaurav")</f>
        <v>Cluster - Gaurav</v>
      </c>
      <c r="H188" s="4" t="str">
        <f>IFERROR(__xludf.DUMMYFUNCTION("vlookup(C188,importrange(""1kw74ismGU34AsZ5x-W4x7F3Zt2xc8NSYcCVMrCJBmdQ"",""DRP for 8 products!B:C""),2,0)"),"ONIACMBE0")</f>
        <v>ONIACMBE0</v>
      </c>
      <c r="I188" s="7">
        <f>IFERROR(__xludf.DUMMYFUNCTION("vlookup(C188,importrange(""1kw74ismGU34AsZ5x-W4x7F3Zt2xc8NSYcCVMrCJBmdQ"",""DRP for 8 products!B:E""),4,0)"),54.0)</f>
        <v>54</v>
      </c>
      <c r="J188" s="8" t="str">
        <f t="shared" si="1"/>
        <v>Tier 1</v>
      </c>
      <c r="K188" s="9" t="str">
        <f t="shared" si="2"/>
        <v>Active</v>
      </c>
      <c r="L188" s="4" t="str">
        <f>IFERROR(__xludf.DUMMYFUNCTION("vlookup(C188,importrange(""1kw74ismGU34AsZ5x-W4x7F3Zt2xc8NSYcCVMrCJBmdQ"",""DRP for 8 products!B:H""),6,0)"),"BigQuery")</f>
        <v>BigQuery</v>
      </c>
      <c r="M188" s="10" t="str">
        <f t="shared" si="3"/>
        <v>Yes</v>
      </c>
    </row>
    <row r="189">
      <c r="A189" s="4" t="str">
        <f>IFERROR(__xludf.DUMMYFUNCTION("vlookup(C189,IMPORTRANGE(""1Kgoo8qyo6zMtf_5B03ksZz228jg0XpZ4_KXsdHQ4Vks"",""14 Sept!A:B""),2,0)"),"DMSI0111")</f>
        <v>DMSI0111</v>
      </c>
      <c r="B189" s="5" t="str">
        <f>IFERROR(__xludf.DUMMYFUNCTION("""COMPUTED_VALUE"""),"Pratap Das")</f>
        <v>Pratap Das</v>
      </c>
      <c r="C189" s="5" t="str">
        <f>IFERROR(__xludf.DUMMYFUNCTION("""COMPUTED_VALUE"""),"pratap.das@onixnet.com")</f>
        <v>pratap.das@onixnet.com</v>
      </c>
      <c r="D189" s="4" t="s">
        <v>11</v>
      </c>
      <c r="E189" s="6" t="str">
        <f>IFERROR(__xludf.DUMMYFUNCTION("vlookup($A189,importrange(""1fyGnaViAX9kns28pvsfPvI9925sAI7kxPlM7jpuHVJM"",""Validation!A:Z""),11,0)"),"Services")</f>
        <v>Services</v>
      </c>
      <c r="F189" s="6" t="str">
        <f>IFERROR(__xludf.DUMMYFUNCTION("vlookup($A189,importrange(""1fyGnaViAX9kns28pvsfPvI9925sAI7kxPlM7jpuHVJM"",""Validation!A:Z""),23,0)"),"Venkata Naresh Kajjayam")</f>
        <v>Venkata Naresh Kajjayam</v>
      </c>
      <c r="G189" s="6" t="str">
        <f>IFERROR(__xludf.DUMMYFUNCTION("vlookup(A189,importrange(""1fyGnaViAX9kns28pvsfPvI9925sAI7kxPlM7jpuHVJM"",""Validation!A:Z""),22,0)"),"Portfolio - Kanth")</f>
        <v>Portfolio - Kanth</v>
      </c>
      <c r="H189" s="4" t="str">
        <f>IFERROR(__xludf.DUMMYFUNCTION("vlookup(C189,importrange(""1kw74ismGU34AsZ5x-W4x7F3Zt2xc8NSYcCVMrCJBmdQ"",""DRP for 8 products!B:C""),2,0)"),"ONIPDZPH4")</f>
        <v>ONIPDZPH4</v>
      </c>
      <c r="I189" s="7">
        <f>IFERROR(__xludf.DUMMYFUNCTION("vlookup(C189,importrange(""1kw74ismGU34AsZ5x-W4x7F3Zt2xc8NSYcCVMrCJBmdQ"",""DRP for 8 products!B:E""),4,0)"),24.0)</f>
        <v>24</v>
      </c>
      <c r="J189" s="8" t="str">
        <f t="shared" si="1"/>
        <v>Tier 3</v>
      </c>
      <c r="K189" s="9" t="str">
        <f t="shared" si="2"/>
        <v>Active</v>
      </c>
      <c r="L189" s="4" t="str">
        <f>IFERROR(__xludf.DUMMYFUNCTION("vlookup(C189,importrange(""1kw74ismGU34AsZ5x-W4x7F3Zt2xc8NSYcCVMrCJBmdQ"",""DRP for 8 products!B:H""),6,0)"),"BigQuery")</f>
        <v>BigQuery</v>
      </c>
      <c r="M189" s="10" t="str">
        <f t="shared" si="3"/>
        <v>Yes</v>
      </c>
    </row>
    <row r="190">
      <c r="A190" s="4" t="str">
        <f>IFERROR(__xludf.DUMMYFUNCTION("vlookup(C190,IMPORTRANGE(""1Kgoo8qyo6zMtf_5B03ksZz228jg0XpZ4_KXsdHQ4Vks"",""14 Sept!A:B""),2,0)"),"DME2303")</f>
        <v>DME2303</v>
      </c>
      <c r="B190" s="5" t="str">
        <f>IFERROR(__xludf.DUMMYFUNCTION("""COMPUTED_VALUE"""),"ajit sinha")</f>
        <v>ajit sinha</v>
      </c>
      <c r="C190" s="5" t="str">
        <f>IFERROR(__xludf.DUMMYFUNCTION("""COMPUTED_VALUE"""),"ajitkumar.sinha@onixnet.com")</f>
        <v>ajitkumar.sinha@onixnet.com</v>
      </c>
      <c r="D190" s="4" t="s">
        <v>11</v>
      </c>
      <c r="E190" s="6" t="str">
        <f>IFERROR(__xludf.DUMMYFUNCTION("vlookup($A190,importrange(""1fyGnaViAX9kns28pvsfPvI9925sAI7kxPlM7jpuHVJM"",""Validation!A:Z""),11,0)"),"Delivery Services")</f>
        <v>Delivery Services</v>
      </c>
      <c r="F190" s="6" t="str">
        <f>IFERROR(__xludf.DUMMYFUNCTION("vlookup($A190,importrange(""1fyGnaViAX9kns28pvsfPvI9925sAI7kxPlM7jpuHVJM"",""Validation!A:Z""),23,0)"),"Jitender Singh")</f>
        <v>Jitender Singh</v>
      </c>
      <c r="G190" s="6" t="str">
        <f>IFERROR(__xludf.DUMMYFUNCTION("vlookup(A190,importrange(""1fyGnaViAX9kns28pvsfPvI9925sAI7kxPlM7jpuHVJM"",""Validation!A:Z""),22,0)"),"Cluster - Gaurav")</f>
        <v>Cluster - Gaurav</v>
      </c>
      <c r="H190" s="4" t="str">
        <f>IFERROR(__xludf.DUMMYFUNCTION("vlookup(C190,importrange(""1kw74ismGU34AsZ5x-W4x7F3Zt2xc8NSYcCVMrCJBmdQ"",""DRP for 8 products!B:C""),2,0)"),"ONIASVHN2")</f>
        <v>ONIASVHN2</v>
      </c>
      <c r="I190" s="7">
        <f>IFERROR(__xludf.DUMMYFUNCTION("vlookup(C190,importrange(""1kw74ismGU34AsZ5x-W4x7F3Zt2xc8NSYcCVMrCJBmdQ"",""DRP for 8 products!B:E""),4,0)"),8.0)</f>
        <v>8</v>
      </c>
      <c r="J190" s="8" t="str">
        <f t="shared" si="1"/>
        <v>Tier 4</v>
      </c>
      <c r="K190" s="9" t="str">
        <f t="shared" si="2"/>
        <v>Active</v>
      </c>
      <c r="L190" s="4" t="str">
        <f>IFERROR(__xludf.DUMMYFUNCTION("vlookup(C190,importrange(""1kw74ismGU34AsZ5x-W4x7F3Zt2xc8NSYcCVMrCJBmdQ"",""DRP for 8 products!B:H""),6,0)"),"Oracle")</f>
        <v>Oracle</v>
      </c>
      <c r="M190" s="10" t="str">
        <f t="shared" si="3"/>
        <v>Yes</v>
      </c>
    </row>
    <row r="191">
      <c r="A191" s="4" t="str">
        <f>IFERROR(__xludf.DUMMYFUNCTION("vlookup(C191,IMPORTRANGE(""1Kgoo8qyo6zMtf_5B03ksZz228jg0XpZ4_KXsdHQ4Vks"",""14 Sept!A:B""),2,0)"),"DME3162")</f>
        <v>DME3162</v>
      </c>
      <c r="B191" s="5" t="str">
        <f>IFERROR(__xludf.DUMMYFUNCTION("""COMPUTED_VALUE"""),"Jitendra Yadav")</f>
        <v>Jitendra Yadav</v>
      </c>
      <c r="C191" s="5" t="str">
        <f>IFERROR(__xludf.DUMMYFUNCTION("""COMPUTED_VALUE"""),"jitendra.yadav@onixnet.com")</f>
        <v>jitendra.yadav@onixnet.com</v>
      </c>
      <c r="D191" s="4" t="s">
        <v>11</v>
      </c>
      <c r="E191" s="6" t="str">
        <f>IFERROR(__xludf.DUMMYFUNCTION("vlookup($A191,importrange(""1fyGnaViAX9kns28pvsfPvI9925sAI7kxPlM7jpuHVJM"",""Validation!A:Z""),11,0)"),"Delivery Services")</f>
        <v>Delivery Services</v>
      </c>
      <c r="F191" s="6" t="str">
        <f>IFERROR(__xludf.DUMMYFUNCTION("vlookup($A191,importrange(""1fyGnaViAX9kns28pvsfPvI9925sAI7kxPlM7jpuHVJM"",""Validation!A:Z""),23,0)"),"Varun Katyal")</f>
        <v>Varun Katyal</v>
      </c>
      <c r="G191" s="6" t="str">
        <f>IFERROR(__xludf.DUMMYFUNCTION("vlookup(A191,importrange(""1fyGnaViAX9kns28pvsfPvI9925sAI7kxPlM7jpuHVJM"",""Validation!A:Z""),22,0)"),"Cluster - Varun")</f>
        <v>Cluster - Varun</v>
      </c>
      <c r="H191" s="4" t="str">
        <f>IFERROR(__xludf.DUMMYFUNCTION("vlookup(C191,importrange(""1kw74ismGU34AsZ5x-W4x7F3Zt2xc8NSYcCVMrCJBmdQ"",""DRP for 8 products!B:C""),2,0)"),"ONIJYALB3")</f>
        <v>ONIJYALB3</v>
      </c>
      <c r="I191" s="7">
        <f>IFERROR(__xludf.DUMMYFUNCTION("vlookup(C191,importrange(""1kw74ismGU34AsZ5x-W4x7F3Zt2xc8NSYcCVMrCJBmdQ"",""DRP for 8 products!B:E""),4,0)"),9.0)</f>
        <v>9</v>
      </c>
      <c r="J191" s="8" t="str">
        <f t="shared" si="1"/>
        <v>Tier 4</v>
      </c>
      <c r="K191" s="9" t="str">
        <f t="shared" si="2"/>
        <v>Active</v>
      </c>
      <c r="L191" s="4" t="str">
        <f>IFERROR(__xludf.DUMMYFUNCTION("vlookup(C191,importrange(""1kw74ismGU34AsZ5x-W4x7F3Zt2xc8NSYcCVMrCJBmdQ"",""DRP for 8 products!B:H""),6,0)"),"BigQuery")</f>
        <v>BigQuery</v>
      </c>
      <c r="M191" s="10" t="str">
        <f t="shared" si="3"/>
        <v>Yes</v>
      </c>
    </row>
    <row r="192">
      <c r="A192" s="4" t="str">
        <f>IFERROR(__xludf.DUMMYFUNCTION("vlookup(C192,IMPORTRANGE(""1Kgoo8qyo6zMtf_5B03ksZz228jg0XpZ4_KXsdHQ4Vks"",""14 Sept!A:B""),2,0)"),"DME2853")</f>
        <v>DME2853</v>
      </c>
      <c r="B192" s="5" t="str">
        <f>IFERROR(__xludf.DUMMYFUNCTION("""COMPUTED_VALUE"""),"Rashid Anwar")</f>
        <v>Rashid Anwar</v>
      </c>
      <c r="C192" s="5" t="str">
        <f>IFERROR(__xludf.DUMMYFUNCTION("""COMPUTED_VALUE"""),"rashid.anwar@onixnet.com")</f>
        <v>rashid.anwar@onixnet.com</v>
      </c>
      <c r="D192" s="4" t="s">
        <v>11</v>
      </c>
      <c r="E192" s="6" t="str">
        <f>IFERROR(__xludf.DUMMYFUNCTION("vlookup($A192,importrange(""1fyGnaViAX9kns28pvsfPvI9925sAI7kxPlM7jpuHVJM"",""Validation!A:Z""),11,0)"),"Delivery Services")</f>
        <v>Delivery Services</v>
      </c>
      <c r="F192" s="6" t="str">
        <f>IFERROR(__xludf.DUMMYFUNCTION("vlookup($A192,importrange(""1fyGnaViAX9kns28pvsfPvI9925sAI7kxPlM7jpuHVJM"",""Validation!A:Z""),23,0)"),"Sheela Sawant")</f>
        <v>Sheela Sawant</v>
      </c>
      <c r="G192" s="6" t="str">
        <f>IFERROR(__xludf.DUMMYFUNCTION("vlookup(A192,importrange(""1fyGnaViAX9kns28pvsfPvI9925sAI7kxPlM7jpuHVJM"",""Validation!A:Z""),22,0)"),"Cluster - Sagar")</f>
        <v>Cluster - Sagar</v>
      </c>
      <c r="H192" s="4" t="str">
        <f>IFERROR(__xludf.DUMMYFUNCTION("vlookup(C192,importrange(""1kw74ismGU34AsZ5x-W4x7F3Zt2xc8NSYcCVMrCJBmdQ"",""DRP for 8 products!B:C""),2,0)"),"ONIRAPZZ9")</f>
        <v>ONIRAPZZ9</v>
      </c>
      <c r="I192" s="7">
        <f>IFERROR(__xludf.DUMMYFUNCTION("vlookup(C192,importrange(""1kw74ismGU34AsZ5x-W4x7F3Zt2xc8NSYcCVMrCJBmdQ"",""DRP for 8 products!B:E""),4,0)"),61.0)</f>
        <v>61</v>
      </c>
      <c r="J192" s="8" t="str">
        <f t="shared" si="1"/>
        <v>Tier 1</v>
      </c>
      <c r="K192" s="9" t="str">
        <f t="shared" si="2"/>
        <v>Active</v>
      </c>
      <c r="L192" s="4" t="str">
        <f>IFERROR(__xludf.DUMMYFUNCTION("vlookup(C192,importrange(""1kw74ismGU34AsZ5x-W4x7F3Zt2xc8NSYcCVMrCJBmdQ"",""DRP for 8 products!B:H""),6,0)"),"BigQuery")</f>
        <v>BigQuery</v>
      </c>
      <c r="M192" s="10" t="str">
        <f t="shared" si="3"/>
        <v>Yes</v>
      </c>
    </row>
    <row r="193">
      <c r="A193" s="4" t="str">
        <f>IFERROR(__xludf.DUMMYFUNCTION("vlookup(C193,IMPORTRANGE(""1Kgoo8qyo6zMtf_5B03ksZz228jg0XpZ4_KXsdHQ4Vks"",""14 Sept!A:B""),2,0)"),"DME1428")</f>
        <v>DME1428</v>
      </c>
      <c r="B193" s="5" t="str">
        <f>IFERROR(__xludf.DUMMYFUNCTION("""COMPUTED_VALUE"""),"Somesh Daterao")</f>
        <v>Somesh Daterao</v>
      </c>
      <c r="C193" s="5" t="str">
        <f>IFERROR(__xludf.DUMMYFUNCTION("""COMPUTED_VALUE"""),"somesh.daterao@onixnet.com")</f>
        <v>somesh.daterao@onixnet.com</v>
      </c>
      <c r="D193" s="4" t="s">
        <v>11</v>
      </c>
      <c r="E193" s="6" t="str">
        <f>IFERROR(__xludf.DUMMYFUNCTION("vlookup($A193,importrange(""1fyGnaViAX9kns28pvsfPvI9925sAI7kxPlM7jpuHVJM"",""Validation!A:Z""),11,0)"),"Delivery Services")</f>
        <v>Delivery Services</v>
      </c>
      <c r="F193" s="6" t="str">
        <f>IFERROR(__xludf.DUMMYFUNCTION("vlookup($A193,importrange(""1fyGnaViAX9kns28pvsfPvI9925sAI7kxPlM7jpuHVJM"",""Validation!A:Z""),23,0)"),"Mithilesh Pardeshi")</f>
        <v>Mithilesh Pardeshi</v>
      </c>
      <c r="G193" s="6" t="str">
        <f>IFERROR(__xludf.DUMMYFUNCTION("vlookup(A193,importrange(""1fyGnaViAX9kns28pvsfPvI9925sAI7kxPlM7jpuHVJM"",""Validation!A:Z""),22,0)"),"Cluster - Gaurav")</f>
        <v>Cluster - Gaurav</v>
      </c>
      <c r="H193" s="4" t="str">
        <f>IFERROR(__xludf.DUMMYFUNCTION("vlookup(C193,importrange(""1kw74ismGU34AsZ5x-W4x7F3Zt2xc8NSYcCVMrCJBmdQ"",""DRP for 8 products!B:C""),2,0)"),"ONISDOOD8")</f>
        <v>ONISDOOD8</v>
      </c>
      <c r="I193" s="7">
        <f>IFERROR(__xludf.DUMMYFUNCTION("vlookup(C193,importrange(""1kw74ismGU34AsZ5x-W4x7F3Zt2xc8NSYcCVMrCJBmdQ"",""DRP for 8 products!B:E""),4,0)"),32.0)</f>
        <v>32</v>
      </c>
      <c r="J193" s="8" t="str">
        <f t="shared" si="1"/>
        <v>Tier 3</v>
      </c>
      <c r="K193" s="9" t="str">
        <f t="shared" si="2"/>
        <v>Active</v>
      </c>
      <c r="L193" s="4" t="str">
        <f>IFERROR(__xludf.DUMMYFUNCTION("vlookup(C193,importrange(""1kw74ismGU34AsZ5x-W4x7F3Zt2xc8NSYcCVMrCJBmdQ"",""DRP for 8 products!B:H""),6,0)"),"BigQuery")</f>
        <v>BigQuery</v>
      </c>
      <c r="M193" s="10" t="str">
        <f t="shared" si="3"/>
        <v>Yes</v>
      </c>
    </row>
    <row r="194">
      <c r="A194" s="4" t="str">
        <f>IFERROR(__xludf.DUMMYFUNCTION("vlookup(C194,IMPORTRANGE(""1Kgoo8qyo6zMtf_5B03ksZz228jg0XpZ4_KXsdHQ4Vks"",""14 Sept!A:B""),2,0)"),"DME3114")</f>
        <v>DME3114</v>
      </c>
      <c r="B194" s="5" t="str">
        <f>IFERROR(__xludf.DUMMYFUNCTION("""COMPUTED_VALUE"""),"pavan kumar reddy suram")</f>
        <v>pavan kumar reddy suram</v>
      </c>
      <c r="C194" s="5" t="str">
        <f>IFERROR(__xludf.DUMMYFUNCTION("""COMPUTED_VALUE"""),"pavan.reddy@onixnet.com")</f>
        <v>pavan.reddy@onixnet.com</v>
      </c>
      <c r="D194" s="4" t="s">
        <v>11</v>
      </c>
      <c r="E194" s="6" t="str">
        <f>IFERROR(__xludf.DUMMYFUNCTION("vlookup($A194,importrange(""1fyGnaViAX9kns28pvsfPvI9925sAI7kxPlM7jpuHVJM"",""Validation!A:Z""),11,0)"),"Delivery Services")</f>
        <v>Delivery Services</v>
      </c>
      <c r="F194" s="6" t="str">
        <f>IFERROR(__xludf.DUMMYFUNCTION("vlookup($A194,importrange(""1fyGnaViAX9kns28pvsfPvI9925sAI7kxPlM7jpuHVJM"",""Validation!A:Z""),23,0)"),"Vurimi Vamsi Krishna")</f>
        <v>Vurimi Vamsi Krishna</v>
      </c>
      <c r="G194" s="6" t="str">
        <f>IFERROR(__xludf.DUMMYFUNCTION("vlookup(A194,importrange(""1fyGnaViAX9kns28pvsfPvI9925sAI7kxPlM7jpuHVJM"",""Validation!A:Z""),22,0)"),"Cluster - Varun")</f>
        <v>Cluster - Varun</v>
      </c>
      <c r="H194" s="4" t="str">
        <f>IFERROR(__xludf.DUMMYFUNCTION("vlookup(C194,importrange(""1kw74ismGU34AsZ5x-W4x7F3Zt2xc8NSYcCVMrCJBmdQ"",""DRP for 8 products!B:C""),2,0)"),"ONIPSXTI8")</f>
        <v>ONIPSXTI8</v>
      </c>
      <c r="I194" s="7">
        <f>IFERROR(__xludf.DUMMYFUNCTION("vlookup(C194,importrange(""1kw74ismGU34AsZ5x-W4x7F3Zt2xc8NSYcCVMrCJBmdQ"",""DRP for 8 products!B:E""),4,0)"),13.0)</f>
        <v>13</v>
      </c>
      <c r="J194" s="8" t="str">
        <f t="shared" si="1"/>
        <v>Tier 4</v>
      </c>
      <c r="K194" s="9" t="str">
        <f t="shared" si="2"/>
        <v>Active</v>
      </c>
      <c r="L194" s="4" t="str">
        <f>IFERROR(__xludf.DUMMYFUNCTION("vlookup(C194,importrange(""1kw74ismGU34AsZ5x-W4x7F3Zt2xc8NSYcCVMrCJBmdQ"",""DRP for 8 products!B:H""),6,0)"),"BigQuery")</f>
        <v>BigQuery</v>
      </c>
      <c r="M194" s="10" t="str">
        <f t="shared" si="3"/>
        <v>Yes</v>
      </c>
    </row>
    <row r="195">
      <c r="A195" s="4" t="str">
        <f>IFERROR(__xludf.DUMMYFUNCTION("vlookup(C195,IMPORTRANGE(""1Kgoo8qyo6zMtf_5B03ksZz228jg0XpZ4_KXsdHQ4Vks"",""14 Sept!A:B""),2,0)"),"DME0039")</f>
        <v>DME0039</v>
      </c>
      <c r="B195" s="5" t="str">
        <f>IFERROR(__xludf.DUMMYFUNCTION("""COMPUTED_VALUE"""),"Pooja Chawda")</f>
        <v>Pooja Chawda</v>
      </c>
      <c r="C195" s="5" t="str">
        <f>IFERROR(__xludf.DUMMYFUNCTION("""COMPUTED_VALUE"""),"pooja.chawda@onixnet.com")</f>
        <v>pooja.chawda@onixnet.com</v>
      </c>
      <c r="D195" s="4" t="s">
        <v>11</v>
      </c>
      <c r="E195" s="6" t="str">
        <f>IFERROR(__xludf.DUMMYFUNCTION("vlookup($A195,importrange(""1fyGnaViAX9kns28pvsfPvI9925sAI7kxPlM7jpuHVJM"",""Validation!A:Z""),11,0)"),"Delivery Services")</f>
        <v>Delivery Services</v>
      </c>
      <c r="F195" s="6" t="str">
        <f>IFERROR(__xludf.DUMMYFUNCTION("vlookup($A195,importrange(""1fyGnaViAX9kns28pvsfPvI9925sAI7kxPlM7jpuHVJM"",""Validation!A:Z""),23,0)"),"Arabi Mohammed")</f>
        <v>Arabi Mohammed</v>
      </c>
      <c r="G195" s="6" t="str">
        <f>IFERROR(__xludf.DUMMYFUNCTION("vlookup(A195,importrange(""1fyGnaViAX9kns28pvsfPvI9925sAI7kxPlM7jpuHVJM"",""Validation!A:Z""),22,0)"),"Cluster - Sandeep")</f>
        <v>Cluster - Sandeep</v>
      </c>
      <c r="H195" s="4" t="str">
        <f>IFERROR(__xludf.DUMMYFUNCTION("vlookup(C195,importrange(""1kw74ismGU34AsZ5x-W4x7F3Zt2xc8NSYcCVMrCJBmdQ"",""DRP for 8 products!B:C""),2,0)"),"ONIPCGJC2")</f>
        <v>ONIPCGJC2</v>
      </c>
      <c r="I195" s="7">
        <f>IFERROR(__xludf.DUMMYFUNCTION("vlookup(C195,importrange(""1kw74ismGU34AsZ5x-W4x7F3Zt2xc8NSYcCVMrCJBmdQ"",""DRP for 8 products!B:E""),4,0)"),49.0)</f>
        <v>49</v>
      </c>
      <c r="J195" s="8" t="str">
        <f t="shared" si="1"/>
        <v>Tier 2</v>
      </c>
      <c r="K195" s="9" t="str">
        <f t="shared" si="2"/>
        <v>Active</v>
      </c>
      <c r="L195" s="4" t="str">
        <f>IFERROR(__xludf.DUMMYFUNCTION("vlookup(C195,importrange(""1kw74ismGU34AsZ5x-W4x7F3Zt2xc8NSYcCVMrCJBmdQ"",""DRP for 8 products!B:H""),6,0)"),"BigQuery")</f>
        <v>BigQuery</v>
      </c>
      <c r="M195" s="10" t="str">
        <f t="shared" si="3"/>
        <v>Yes</v>
      </c>
    </row>
    <row r="196">
      <c r="A196" s="4" t="str">
        <f>IFERROR(__xludf.DUMMYFUNCTION("vlookup(C196,IMPORTRANGE(""1Kgoo8qyo6zMtf_5B03ksZz228jg0XpZ4_KXsdHQ4Vks"",""14 Sept!A:B""),2,0)"),"DME3218")</f>
        <v>DME3218</v>
      </c>
      <c r="B196" s="5" t="str">
        <f>IFERROR(__xludf.DUMMYFUNCTION("""COMPUTED_VALUE"""),"Aditya Thorat")</f>
        <v>Aditya Thorat</v>
      </c>
      <c r="C196" s="5" t="str">
        <f>IFERROR(__xludf.DUMMYFUNCTION("""COMPUTED_VALUE"""),"aditya.thorat1@onixnet.com")</f>
        <v>aditya.thorat1@onixnet.com</v>
      </c>
      <c r="D196" s="4" t="s">
        <v>11</v>
      </c>
      <c r="E196" s="6" t="str">
        <f>IFERROR(__xludf.DUMMYFUNCTION("vlookup($A196,importrange(""1fyGnaViAX9kns28pvsfPvI9925sAI7kxPlM7jpuHVJM"",""Validation!A:Z""),11,0)"),"Delivery Services")</f>
        <v>Delivery Services</v>
      </c>
      <c r="F196" s="6" t="str">
        <f>IFERROR(__xludf.DUMMYFUNCTION("vlookup($A196,importrange(""1fyGnaViAX9kns28pvsfPvI9925sAI7kxPlM7jpuHVJM"",""Validation!A:Z""),23,0)"),"Anuj Chopra")</f>
        <v>Anuj Chopra</v>
      </c>
      <c r="G196" s="6" t="str">
        <f>IFERROR(__xludf.DUMMYFUNCTION("vlookup(A196,importrange(""1fyGnaViAX9kns28pvsfPvI9925sAI7kxPlM7jpuHVJM"",""Validation!A:Z""),22,0)"),"Cluster - Sagar")</f>
        <v>Cluster - Sagar</v>
      </c>
      <c r="H196" s="4" t="str">
        <f>IFERROR(__xludf.DUMMYFUNCTION("vlookup(C196,importrange(""1kw74ismGU34AsZ5x-W4x7F3Zt2xc8NSYcCVMrCJBmdQ"",""DRP for 8 products!B:C""),2,0)"),"ONIATNZX9")</f>
        <v>ONIATNZX9</v>
      </c>
      <c r="I196" s="7">
        <f>IFERROR(__xludf.DUMMYFUNCTION("vlookup(C196,importrange(""1kw74ismGU34AsZ5x-W4x7F3Zt2xc8NSYcCVMrCJBmdQ"",""DRP for 8 products!B:E""),4,0)"),13.0)</f>
        <v>13</v>
      </c>
      <c r="J196" s="8" t="str">
        <f t="shared" si="1"/>
        <v>Tier 4</v>
      </c>
      <c r="K196" s="9" t="str">
        <f t="shared" si="2"/>
        <v>Active</v>
      </c>
      <c r="L196" s="4" t="str">
        <f>IFERROR(__xludf.DUMMYFUNCTION("vlookup(C196,importrange(""1kw74ismGU34AsZ5x-W4x7F3Zt2xc8NSYcCVMrCJBmdQ"",""DRP for 8 products!B:H""),6,0)"),"BigQuery")</f>
        <v>BigQuery</v>
      </c>
      <c r="M196" s="10" t="str">
        <f t="shared" si="3"/>
        <v>Yes</v>
      </c>
    </row>
    <row r="197">
      <c r="A197" s="4" t="str">
        <f>IFERROR(__xludf.DUMMYFUNCTION("vlookup(C197,IMPORTRANGE(""1Kgoo8qyo6zMtf_5B03ksZz228jg0XpZ4_KXsdHQ4Vks"",""14 Sept!A:B""),2,0)"),"DME2471")</f>
        <v>DME2471</v>
      </c>
      <c r="B197" s="5" t="str">
        <f>IFERROR(__xludf.DUMMYFUNCTION("""COMPUTED_VALUE"""),"Tushar Shitole")</f>
        <v>Tushar Shitole</v>
      </c>
      <c r="C197" s="5" t="str">
        <f>IFERROR(__xludf.DUMMYFUNCTION("""COMPUTED_VALUE"""),"tushar.shitole@onixnet.com")</f>
        <v>tushar.shitole@onixnet.com</v>
      </c>
      <c r="D197" s="4" t="s">
        <v>11</v>
      </c>
      <c r="E197" s="6" t="str">
        <f>IFERROR(__xludf.DUMMYFUNCTION("vlookup($A197,importrange(""1fyGnaViAX9kns28pvsfPvI9925sAI7kxPlM7jpuHVJM"",""Validation!A:Z""),11,0)"),"Delivery Services")</f>
        <v>Delivery Services</v>
      </c>
      <c r="F197" s="6" t="str">
        <f>IFERROR(__xludf.DUMMYFUNCTION("vlookup($A197,importrange(""1fyGnaViAX9kns28pvsfPvI9925sAI7kxPlM7jpuHVJM"",""Validation!A:Z""),23,0)"),"Rabindra Nayak")</f>
        <v>Rabindra Nayak</v>
      </c>
      <c r="G197" s="6" t="str">
        <f>IFERROR(__xludf.DUMMYFUNCTION("vlookup(A197,importrange(""1fyGnaViAX9kns28pvsfPvI9925sAI7kxPlM7jpuHVJM"",""Validation!A:Z""),22,0)"),"Cluster - Sagar")</f>
        <v>Cluster - Sagar</v>
      </c>
      <c r="H197" s="4" t="str">
        <f>IFERROR(__xludf.DUMMYFUNCTION("vlookup(C197,importrange(""1kw74ismGU34AsZ5x-W4x7F3Zt2xc8NSYcCVMrCJBmdQ"",""DRP for 8 products!B:C""),2,0)"),"ONITSNBX4")</f>
        <v>ONITSNBX4</v>
      </c>
      <c r="I197" s="7">
        <f>IFERROR(__xludf.DUMMYFUNCTION("vlookup(C197,importrange(""1kw74ismGU34AsZ5x-W4x7F3Zt2xc8NSYcCVMrCJBmdQ"",""DRP for 8 products!B:E""),4,0)"),14.0)</f>
        <v>14</v>
      </c>
      <c r="J197" s="8" t="str">
        <f t="shared" si="1"/>
        <v>Tier 4</v>
      </c>
      <c r="K197" s="9" t="str">
        <f t="shared" si="2"/>
        <v>Active</v>
      </c>
      <c r="L197" s="4" t="str">
        <f>IFERROR(__xludf.DUMMYFUNCTION("vlookup(C197,importrange(""1kw74ismGU34AsZ5x-W4x7F3Zt2xc8NSYcCVMrCJBmdQ"",""DRP for 8 products!B:H""),6,0)"),"AlloyDB for PostgreSQL")</f>
        <v>AlloyDB for PostgreSQL</v>
      </c>
      <c r="M197" s="10" t="str">
        <f t="shared" si="3"/>
        <v>Yes</v>
      </c>
    </row>
    <row r="198">
      <c r="A198" s="4" t="str">
        <f>IFERROR(__xludf.DUMMYFUNCTION("vlookup(C198,IMPORTRANGE(""1Kgoo8qyo6zMtf_5B03ksZz228jg0XpZ4_KXsdHQ4Vks"",""14 Sept!A:B""),2,0)"),"DME1442")</f>
        <v>DME1442</v>
      </c>
      <c r="B198" s="5" t="str">
        <f>IFERROR(__xludf.DUMMYFUNCTION("""COMPUTED_VALUE"""),"Marut Misra")</f>
        <v>Marut Misra</v>
      </c>
      <c r="C198" s="5" t="str">
        <f>IFERROR(__xludf.DUMMYFUNCTION("""COMPUTED_VALUE"""),"marut.misra@onixnet.com")</f>
        <v>marut.misra@onixnet.com</v>
      </c>
      <c r="D198" s="4" t="s">
        <v>11</v>
      </c>
      <c r="E198" s="6" t="str">
        <f>IFERROR(__xludf.DUMMYFUNCTION("vlookup($A198,importrange(""1fyGnaViAX9kns28pvsfPvI9925sAI7kxPlM7jpuHVJM"",""Validation!A:Z""),11,0)"),"Delivery Services")</f>
        <v>Delivery Services</v>
      </c>
      <c r="F198" s="6" t="str">
        <f>IFERROR(__xludf.DUMMYFUNCTION("vlookup($A198,importrange(""1fyGnaViAX9kns28pvsfPvI9925sAI7kxPlM7jpuHVJM"",""Validation!A:Z""),23,0)"),"Neeta Gawrha")</f>
        <v>Neeta Gawrha</v>
      </c>
      <c r="G198" s="6" t="str">
        <f>IFERROR(__xludf.DUMMYFUNCTION("vlookup(A198,importrange(""1fyGnaViAX9kns28pvsfPvI9925sAI7kxPlM7jpuHVJM"",""Validation!A:Z""),22,0)"),"Cluster - Sachin")</f>
        <v>Cluster - Sachin</v>
      </c>
      <c r="H198" s="4" t="str">
        <f>IFERROR(__xludf.DUMMYFUNCTION("vlookup(C198,importrange(""1kw74ismGU34AsZ5x-W4x7F3Zt2xc8NSYcCVMrCJBmdQ"",""DRP for 8 products!B:C""),2,0)"),"ONIMMVAQ2")</f>
        <v>ONIMMVAQ2</v>
      </c>
      <c r="I198" s="7">
        <f>IFERROR(__xludf.DUMMYFUNCTION("vlookup(C198,importrange(""1kw74ismGU34AsZ5x-W4x7F3Zt2xc8NSYcCVMrCJBmdQ"",""DRP for 8 products!B:E""),4,0)"),59.0)</f>
        <v>59</v>
      </c>
      <c r="J198" s="8" t="str">
        <f t="shared" si="1"/>
        <v>Tier 1</v>
      </c>
      <c r="K198" s="9" t="str">
        <f t="shared" si="2"/>
        <v>Active</v>
      </c>
      <c r="L198" s="4" t="str">
        <f>IFERROR(__xludf.DUMMYFUNCTION("vlookup(C198,importrange(""1kw74ismGU34AsZ5x-W4x7F3Zt2xc8NSYcCVMrCJBmdQ"",""DRP for 8 products!B:H""),6,0)"),"BigQuery")</f>
        <v>BigQuery</v>
      </c>
      <c r="M198" s="10" t="str">
        <f t="shared" si="3"/>
        <v>Yes</v>
      </c>
    </row>
    <row r="199">
      <c r="A199" s="4" t="str">
        <f>IFERROR(__xludf.DUMMYFUNCTION("vlookup(C199,IMPORTRANGE(""1Kgoo8qyo6zMtf_5B03ksZz228jg0XpZ4_KXsdHQ4Vks"",""14 Sept!A:B""),2,0)"),"DME2788")</f>
        <v>DME2788</v>
      </c>
      <c r="B199" s="5" t="str">
        <f>IFERROR(__xludf.DUMMYFUNCTION("""COMPUTED_VALUE"""),"Jigardeep Bhatia")</f>
        <v>Jigardeep Bhatia</v>
      </c>
      <c r="C199" s="5" t="str">
        <f>IFERROR(__xludf.DUMMYFUNCTION("""COMPUTED_VALUE"""),"jigardeep.bhatia@onixnet.com")</f>
        <v>jigardeep.bhatia@onixnet.com</v>
      </c>
      <c r="D199" s="4" t="s">
        <v>11</v>
      </c>
      <c r="E199" s="6" t="str">
        <f>IFERROR(__xludf.DUMMYFUNCTION("vlookup($A199,importrange(""1fyGnaViAX9kns28pvsfPvI9925sAI7kxPlM7jpuHVJM"",""Validation!A:Z""),11,0)"),"Eagle Assessment")</f>
        <v>Eagle Assessment</v>
      </c>
      <c r="F199" s="6" t="str">
        <f>IFERROR(__xludf.DUMMYFUNCTION("vlookup($A199,importrange(""1fyGnaViAX9kns28pvsfPvI9925sAI7kxPlM7jpuHVJM"",""Validation!A:Z""),23,0)"),"Ankit Khandelwal")</f>
        <v>Ankit Khandelwal</v>
      </c>
      <c r="G199" s="6" t="str">
        <f>IFERROR(__xludf.DUMMYFUNCTION("vlookup(A199,importrange(""1fyGnaViAX9kns28pvsfPvI9925sAI7kxPlM7jpuHVJM"",""Validation!A:Z""),22,0)"),"Cluster - Kalpa")</f>
        <v>Cluster - Kalpa</v>
      </c>
      <c r="H199" s="4" t="str">
        <f>IFERROR(__xludf.DUMMYFUNCTION("vlookup(C199,importrange(""1kw74ismGU34AsZ5x-W4x7F3Zt2xc8NSYcCVMrCJBmdQ"",""DRP for 8 products!B:C""),2,0)"),"ONIJBBFP5")</f>
        <v>ONIJBBFP5</v>
      </c>
      <c r="I199" s="7">
        <f>IFERROR(__xludf.DUMMYFUNCTION("vlookup(C199,importrange(""1kw74ismGU34AsZ5x-W4x7F3Zt2xc8NSYcCVMrCJBmdQ"",""DRP for 8 products!B:E""),4,0)"),17.0)</f>
        <v>17</v>
      </c>
      <c r="J199" s="8" t="str">
        <f t="shared" si="1"/>
        <v>Tier 4</v>
      </c>
      <c r="K199" s="9" t="str">
        <f t="shared" si="2"/>
        <v>Active</v>
      </c>
      <c r="L199" s="4" t="str">
        <f>IFERROR(__xludf.DUMMYFUNCTION("vlookup(C199,importrange(""1kw74ismGU34AsZ5x-W4x7F3Zt2xc8NSYcCVMrCJBmdQ"",""DRP for 8 products!B:H""),6,0)"),"AlloyDB for PostgreSQL")</f>
        <v>AlloyDB for PostgreSQL</v>
      </c>
      <c r="M199" s="10" t="str">
        <f t="shared" si="3"/>
        <v>Yes</v>
      </c>
    </row>
    <row r="200">
      <c r="A200" s="4" t="str">
        <f>IFERROR(__xludf.DUMMYFUNCTION("vlookup(C200,IMPORTRANGE(""1Kgoo8qyo6zMtf_5B03ksZz228jg0XpZ4_KXsdHQ4Vks"",""14 Sept!A:B""),2,0)"),"DME1713")</f>
        <v>DME1713</v>
      </c>
      <c r="B200" s="5" t="str">
        <f>IFERROR(__xludf.DUMMYFUNCTION("""COMPUTED_VALUE"""),"Snehal Saraf")</f>
        <v>Snehal Saraf</v>
      </c>
      <c r="C200" s="5" t="str">
        <f>IFERROR(__xludf.DUMMYFUNCTION("""COMPUTED_VALUE"""),"snehal.saraf@onixnet.com")</f>
        <v>snehal.saraf@onixnet.com</v>
      </c>
      <c r="D200" s="4" t="s">
        <v>11</v>
      </c>
      <c r="E200" s="6" t="str">
        <f>IFERROR(__xludf.DUMMYFUNCTION("vlookup($A200,importrange(""1fyGnaViAX9kns28pvsfPvI9925sAI7kxPlM7jpuHVJM"",""Validation!A:Z""),11,0)"),"Delivery Services")</f>
        <v>Delivery Services</v>
      </c>
      <c r="F200" s="6" t="str">
        <f>IFERROR(__xludf.DUMMYFUNCTION("vlookup($A200,importrange(""1fyGnaViAX9kns28pvsfPvI9925sAI7kxPlM7jpuHVJM"",""Validation!A:Z""),23,0)"),"Shubhendu Shubhendu")</f>
        <v>Shubhendu Shubhendu</v>
      </c>
      <c r="G200" s="6" t="str">
        <f>IFERROR(__xludf.DUMMYFUNCTION("vlookup(A200,importrange(""1fyGnaViAX9kns28pvsfPvI9925sAI7kxPlM7jpuHVJM"",""Validation!A:Z""),22,0)"),"Cluster - Kanhaiya")</f>
        <v>Cluster - Kanhaiya</v>
      </c>
      <c r="H200" s="4" t="str">
        <f>IFERROR(__xludf.DUMMYFUNCTION("vlookup(C200,importrange(""1kw74ismGU34AsZ5x-W4x7F3Zt2xc8NSYcCVMrCJBmdQ"",""DRP for 8 products!B:C""),2,0)"),"ONISSSJF2")</f>
        <v>ONISSSJF2</v>
      </c>
      <c r="I200" s="7">
        <f>IFERROR(__xludf.DUMMYFUNCTION("vlookup(C200,importrange(""1kw74ismGU34AsZ5x-W4x7F3Zt2xc8NSYcCVMrCJBmdQ"",""DRP for 8 products!B:E""),4,0)"),11.0)</f>
        <v>11</v>
      </c>
      <c r="J200" s="8" t="str">
        <f t="shared" si="1"/>
        <v>Tier 4</v>
      </c>
      <c r="K200" s="9" t="str">
        <f t="shared" si="2"/>
        <v>Active</v>
      </c>
      <c r="L200" s="4" t="str">
        <f>IFERROR(__xludf.DUMMYFUNCTION("vlookup(C200,importrange(""1kw74ismGU34AsZ5x-W4x7F3Zt2xc8NSYcCVMrCJBmdQ"",""DRP for 8 products!B:H""),6,0)"),"BigQuery")</f>
        <v>BigQuery</v>
      </c>
      <c r="M200" s="10" t="str">
        <f t="shared" si="3"/>
        <v>Yes</v>
      </c>
    </row>
    <row r="201">
      <c r="A201" s="4" t="str">
        <f>IFERROR(__xludf.DUMMYFUNCTION("vlookup(C201,IMPORTRANGE(""1Kgoo8qyo6zMtf_5B03ksZz228jg0XpZ4_KXsdHQ4Vks"",""14 Sept!A:B""),2,0)"),"DME2793")</f>
        <v>DME2793</v>
      </c>
      <c r="B201" s="5" t="str">
        <f>IFERROR(__xludf.DUMMYFUNCTION("""COMPUTED_VALUE"""),"Sai Kakde")</f>
        <v>Sai Kakde</v>
      </c>
      <c r="C201" s="5" t="str">
        <f>IFERROR(__xludf.DUMMYFUNCTION("""COMPUTED_VALUE"""),"sai.kakde@onixnet.com")</f>
        <v>sai.kakde@onixnet.com</v>
      </c>
      <c r="D201" s="4" t="s">
        <v>11</v>
      </c>
      <c r="E201" s="6" t="str">
        <f>IFERROR(__xludf.DUMMYFUNCTION("vlookup($A201,importrange(""1fyGnaViAX9kns28pvsfPvI9925sAI7kxPlM7jpuHVJM"",""Validation!A:Z""),11,0)"),"Delivery Services")</f>
        <v>Delivery Services</v>
      </c>
      <c r="F201" s="6" t="str">
        <f>IFERROR(__xludf.DUMMYFUNCTION("vlookup($A201,importrange(""1fyGnaViAX9kns28pvsfPvI9925sAI7kxPlM7jpuHVJM"",""Validation!A:Z""),23,0)"),"Manoj Patil")</f>
        <v>Manoj Patil</v>
      </c>
      <c r="G201" s="6" t="str">
        <f>IFERROR(__xludf.DUMMYFUNCTION("vlookup(A201,importrange(""1fyGnaViAX9kns28pvsfPvI9925sAI7kxPlM7jpuHVJM"",""Validation!A:Z""),22,0)"),"Cluster - Shreepad")</f>
        <v>Cluster - Shreepad</v>
      </c>
      <c r="H201" s="4" t="str">
        <f>IFERROR(__xludf.DUMMYFUNCTION("vlookup(C201,importrange(""1kw74ismGU34AsZ5x-W4x7F3Zt2xc8NSYcCVMrCJBmdQ"",""DRP for 8 products!B:C""),2,0)"),"ONISKKIR2")</f>
        <v>ONISKKIR2</v>
      </c>
      <c r="I201" s="7">
        <f>IFERROR(__xludf.DUMMYFUNCTION("vlookup(C201,importrange(""1kw74ismGU34AsZ5x-W4x7F3Zt2xc8NSYcCVMrCJBmdQ"",""DRP for 8 products!B:E""),4,0)"),30.0)</f>
        <v>30</v>
      </c>
      <c r="J201" s="8" t="str">
        <f t="shared" si="1"/>
        <v>Tier 3</v>
      </c>
      <c r="K201" s="9" t="str">
        <f t="shared" si="2"/>
        <v>Active</v>
      </c>
      <c r="L201" s="4" t="str">
        <f>IFERROR(__xludf.DUMMYFUNCTION("vlookup(C201,importrange(""1kw74ismGU34AsZ5x-W4x7F3Zt2xc8NSYcCVMrCJBmdQ"",""DRP for 8 products!B:H""),6,0)"),"BigQuery")</f>
        <v>BigQuery</v>
      </c>
      <c r="M201" s="10" t="str">
        <f t="shared" si="3"/>
        <v>Yes</v>
      </c>
    </row>
    <row r="202">
      <c r="A202" s="4" t="str">
        <f>IFERROR(__xludf.DUMMYFUNCTION("vlookup(C202,IMPORTRANGE(""1Kgoo8qyo6zMtf_5B03ksZz228jg0XpZ4_KXsdHQ4Vks"",""14 Sept!A:B""),2,0)"),"DME3393")</f>
        <v>DME3393</v>
      </c>
      <c r="B202" s="5" t="str">
        <f>IFERROR(__xludf.DUMMYFUNCTION("""COMPUTED_VALUE"""),"Manav Kokne")</f>
        <v>Manav Kokne</v>
      </c>
      <c r="C202" s="5" t="str">
        <f>IFERROR(__xludf.DUMMYFUNCTION("""COMPUTED_VALUE"""),"manav.kokne@onixnet.com")</f>
        <v>manav.kokne@onixnet.com</v>
      </c>
      <c r="D202" s="4" t="s">
        <v>11</v>
      </c>
      <c r="E202" s="6" t="str">
        <f>IFERROR(__xludf.DUMMYFUNCTION("vlookup($A202,importrange(""1fyGnaViAX9kns28pvsfPvI9925sAI7kxPlM7jpuHVJM"",""Validation!A:Z""),11,0)"),"Delivery Services")</f>
        <v>Delivery Services</v>
      </c>
      <c r="F202" s="6" t="str">
        <f>IFERROR(__xludf.DUMMYFUNCTION("vlookup($A202,importrange(""1fyGnaViAX9kns28pvsfPvI9925sAI7kxPlM7jpuHVJM"",""Validation!A:Z""),23,0)"),"Akash Choudhari")</f>
        <v>Akash Choudhari</v>
      </c>
      <c r="G202" s="6" t="str">
        <f>IFERROR(__xludf.DUMMYFUNCTION("vlookup(A202,importrange(""1fyGnaViAX9kns28pvsfPvI9925sAI7kxPlM7jpuHVJM"",""Validation!A:Z""),22,0)"),"Cluster - Sandeep")</f>
        <v>Cluster - Sandeep</v>
      </c>
      <c r="H202" s="4" t="str">
        <f>IFERROR(__xludf.DUMMYFUNCTION("vlookup(C202,importrange(""1kw74ismGU34AsZ5x-W4x7F3Zt2xc8NSYcCVMrCJBmdQ"",""DRP for 8 products!B:C""),2,0)"),"ONIMKDOC0")</f>
        <v>ONIMKDOC0</v>
      </c>
      <c r="I202" s="7">
        <f>IFERROR(__xludf.DUMMYFUNCTION("vlookup(C202,importrange(""1kw74ismGU34AsZ5x-W4x7F3Zt2xc8NSYcCVMrCJBmdQ"",""DRP for 8 products!B:E""),4,0)"),31.0)</f>
        <v>31</v>
      </c>
      <c r="J202" s="8" t="str">
        <f t="shared" si="1"/>
        <v>Tier 3</v>
      </c>
      <c r="K202" s="9" t="str">
        <f t="shared" si="2"/>
        <v>Active</v>
      </c>
      <c r="L202" s="4" t="str">
        <f>IFERROR(__xludf.DUMMYFUNCTION("vlookup(C202,importrange(""1kw74ismGU34AsZ5x-W4x7F3Zt2xc8NSYcCVMrCJBmdQ"",""DRP for 8 products!B:H""),6,0)"),"BigQuery")</f>
        <v>BigQuery</v>
      </c>
      <c r="M202" s="10" t="str">
        <f t="shared" si="3"/>
        <v>Yes</v>
      </c>
    </row>
    <row r="203">
      <c r="A203" s="4" t="str">
        <f>IFERROR(__xludf.DUMMYFUNCTION("vlookup(C203,IMPORTRANGE(""1Kgoo8qyo6zMtf_5B03ksZz228jg0XpZ4_KXsdHQ4Vks"",""14 Sept!A:B""),2,0)"),"DMC1069")</f>
        <v>DMC1069</v>
      </c>
      <c r="B203" s="5" t="str">
        <f>IFERROR(__xludf.DUMMYFUNCTION("""COMPUTED_VALUE"""),"Yashverdhan Purohit")</f>
        <v>Yashverdhan Purohit</v>
      </c>
      <c r="C203" s="5" t="str">
        <f>IFERROR(__xludf.DUMMYFUNCTION("""COMPUTED_VALUE"""),"yashverdhan.purohit@onixnet.com")</f>
        <v>yashverdhan.purohit@onixnet.com</v>
      </c>
      <c r="D203" s="4" t="s">
        <v>11</v>
      </c>
      <c r="E203" s="6" t="str">
        <f>IFERROR(__xludf.DUMMYFUNCTION("vlookup($A203,importrange(""1fyGnaViAX9kns28pvsfPvI9925sAI7kxPlM7jpuHVJM"",""Validation!A:Z""),11,0)"),"Delivery Services")</f>
        <v>Delivery Services</v>
      </c>
      <c r="F203" s="6" t="str">
        <f>IFERROR(__xludf.DUMMYFUNCTION("vlookup($A203,importrange(""1fyGnaViAX9kns28pvsfPvI9925sAI7kxPlM7jpuHVJM"",""Validation!A:Z""),23,0)"),"Kirankumar Shetty")</f>
        <v>Kirankumar Shetty</v>
      </c>
      <c r="G203" s="6" t="str">
        <f>IFERROR(__xludf.DUMMYFUNCTION("vlookup(A203,importrange(""1fyGnaViAX9kns28pvsfPvI9925sAI7kxPlM7jpuHVJM"",""Validation!A:Z""),22,0)"),"Cluster - Varun")</f>
        <v>Cluster - Varun</v>
      </c>
      <c r="H203" s="4" t="str">
        <f>IFERROR(__xludf.DUMMYFUNCTION("vlookup(C203,importrange(""1kw74ismGU34AsZ5x-W4x7F3Zt2xc8NSYcCVMrCJBmdQ"",""DRP for 8 products!B:C""),2,0)"),"ONIYPDKK3")</f>
        <v>ONIYPDKK3</v>
      </c>
      <c r="I203" s="7">
        <f>IFERROR(__xludf.DUMMYFUNCTION("vlookup(C203,importrange(""1kw74ismGU34AsZ5x-W4x7F3Zt2xc8NSYcCVMrCJBmdQ"",""DRP for 8 products!B:E""),4,0)"),0.0)</f>
        <v>0</v>
      </c>
      <c r="J203" s="8" t="str">
        <f t="shared" si="1"/>
        <v>Tier 4</v>
      </c>
      <c r="K203" s="9" t="str">
        <f t="shared" si="2"/>
        <v>ID Created DRP score 0</v>
      </c>
      <c r="L203" s="4" t="str">
        <f>IFERROR(__xludf.DUMMYFUNCTION("vlookup(C203,importrange(""1kw74ismGU34AsZ5x-W4x7F3Zt2xc8NSYcCVMrCJBmdQ"",""DRP for 8 products!B:H""),6,0)"),"")</f>
        <v/>
      </c>
      <c r="M203" s="10" t="str">
        <f t="shared" si="3"/>
        <v>No</v>
      </c>
    </row>
    <row r="204">
      <c r="A204" s="4" t="str">
        <f>IFERROR(__xludf.DUMMYFUNCTION("vlookup(C204,IMPORTRANGE(""1Kgoo8qyo6zMtf_5B03ksZz228jg0XpZ4_KXsdHQ4Vks"",""14 Sept!A:B""),2,0)"),"DMC1066")</f>
        <v>DMC1066</v>
      </c>
      <c r="B204" s="5" t="str">
        <f>IFERROR(__xludf.DUMMYFUNCTION("""COMPUTED_VALUE"""),"kalpana soni")</f>
        <v>kalpana soni</v>
      </c>
      <c r="C204" s="5" t="str">
        <f>IFERROR(__xludf.DUMMYFUNCTION("""COMPUTED_VALUE"""),"kalpana.soni@onixnet.com")</f>
        <v>kalpana.soni@onixnet.com</v>
      </c>
      <c r="D204" s="4" t="s">
        <v>11</v>
      </c>
      <c r="E204" s="6" t="str">
        <f>IFERROR(__xludf.DUMMYFUNCTION("vlookup($A204,importrange(""1fyGnaViAX9kns28pvsfPvI9925sAI7kxPlM7jpuHVJM"",""Validation!A:Z""),11,0)"),"Delivery Services")</f>
        <v>Delivery Services</v>
      </c>
      <c r="F204" s="6" t="str">
        <f>IFERROR(__xludf.DUMMYFUNCTION("vlookup($A204,importrange(""1fyGnaViAX9kns28pvsfPvI9925sAI7kxPlM7jpuHVJM"",""Validation!A:Z""),23,0)"),"Mayur Tawhare")</f>
        <v>Mayur Tawhare</v>
      </c>
      <c r="G204" s="6" t="str">
        <f>IFERROR(__xludf.DUMMYFUNCTION("vlookup(A204,importrange(""1fyGnaViAX9kns28pvsfPvI9925sAI7kxPlM7jpuHVJM"",""Validation!A:Z""),22,0)"),"Cluster - Varun")</f>
        <v>Cluster - Varun</v>
      </c>
      <c r="H204" s="4" t="str">
        <f>IFERROR(__xludf.DUMMYFUNCTION("vlookup(C204,importrange(""1kw74ismGU34AsZ5x-W4x7F3Zt2xc8NSYcCVMrCJBmdQ"",""DRP for 8 products!B:C""),2,0)"),"ONIKSWUG3")</f>
        <v>ONIKSWUG3</v>
      </c>
      <c r="I204" s="7">
        <f>IFERROR(__xludf.DUMMYFUNCTION("vlookup(C204,importrange(""1kw74ismGU34AsZ5x-W4x7F3Zt2xc8NSYcCVMrCJBmdQ"",""DRP for 8 products!B:E""),4,0)"),25.0)</f>
        <v>25</v>
      </c>
      <c r="J204" s="8" t="str">
        <f t="shared" si="1"/>
        <v>Tier 3</v>
      </c>
      <c r="K204" s="9" t="str">
        <f t="shared" si="2"/>
        <v>Active</v>
      </c>
      <c r="L204" s="4" t="str">
        <f>IFERROR(__xludf.DUMMYFUNCTION("vlookup(C204,importrange(""1kw74ismGU34AsZ5x-W4x7F3Zt2xc8NSYcCVMrCJBmdQ"",""DRP for 8 products!B:H""),6,0)"),"Cloud SQL")</f>
        <v>Cloud SQL</v>
      </c>
      <c r="M204" s="10" t="str">
        <f t="shared" si="3"/>
        <v>Yes</v>
      </c>
    </row>
    <row r="205">
      <c r="A205" s="4" t="str">
        <f>IFERROR(__xludf.DUMMYFUNCTION("vlookup(C205,IMPORTRANGE(""1Kgoo8qyo6zMtf_5B03ksZz228jg0XpZ4_KXsdHQ4Vks"",""14 Sept!A:B""),2,0)"),"DME3275")</f>
        <v>DME3275</v>
      </c>
      <c r="B205" s="5" t="str">
        <f>IFERROR(__xludf.DUMMYFUNCTION("""COMPUTED_VALUE"""),"Rahul Pathinti")</f>
        <v>Rahul Pathinti</v>
      </c>
      <c r="C205" s="5" t="str">
        <f>IFERROR(__xludf.DUMMYFUNCTION("""COMPUTED_VALUE"""),"rahul.pathinti@onixnet.com")</f>
        <v>rahul.pathinti@onixnet.com</v>
      </c>
      <c r="D205" s="4" t="s">
        <v>11</v>
      </c>
      <c r="E205" s="6" t="str">
        <f>IFERROR(__xludf.DUMMYFUNCTION("vlookup($A205,importrange(""1fyGnaViAX9kns28pvsfPvI9925sAI7kxPlM7jpuHVJM"",""Validation!A:Z""),11,0)"),"Delivery Services")</f>
        <v>Delivery Services</v>
      </c>
      <c r="F205" s="6" t="str">
        <f>IFERROR(__xludf.DUMMYFUNCTION("vlookup($A205,importrange(""1fyGnaViAX9kns28pvsfPvI9925sAI7kxPlM7jpuHVJM"",""Validation!A:Z""),23,0)"),"Manoj Patil")</f>
        <v>Manoj Patil</v>
      </c>
      <c r="G205" s="6" t="str">
        <f>IFERROR(__xludf.DUMMYFUNCTION("vlookup(A205,importrange(""1fyGnaViAX9kns28pvsfPvI9925sAI7kxPlM7jpuHVJM"",""Validation!A:Z""),22,0)"),"Cluster - Shreepad")</f>
        <v>Cluster - Shreepad</v>
      </c>
      <c r="H205" s="4" t="str">
        <f>IFERROR(__xludf.DUMMYFUNCTION("vlookup(C205,importrange(""1kw74ismGU34AsZ5x-W4x7F3Zt2xc8NSYcCVMrCJBmdQ"",""DRP for 8 products!B:C""),2,0)"),"ONIRPOEB2")</f>
        <v>ONIRPOEB2</v>
      </c>
      <c r="I205" s="7">
        <f>IFERROR(__xludf.DUMMYFUNCTION("vlookup(C205,importrange(""1kw74ismGU34AsZ5x-W4x7F3Zt2xc8NSYcCVMrCJBmdQ"",""DRP for 8 products!B:E""),4,0)"),28.0)</f>
        <v>28</v>
      </c>
      <c r="J205" s="8" t="str">
        <f t="shared" si="1"/>
        <v>Tier 3</v>
      </c>
      <c r="K205" s="9" t="str">
        <f t="shared" si="2"/>
        <v>Active</v>
      </c>
      <c r="L205" s="4" t="str">
        <f>IFERROR(__xludf.DUMMYFUNCTION("vlookup(C205,importrange(""1kw74ismGU34AsZ5x-W4x7F3Zt2xc8NSYcCVMrCJBmdQ"",""DRP for 8 products!B:H""),6,0)"),"BigQuery")</f>
        <v>BigQuery</v>
      </c>
      <c r="M205" s="10" t="str">
        <f t="shared" si="3"/>
        <v>Yes</v>
      </c>
    </row>
    <row r="206">
      <c r="A206" s="4" t="str">
        <f>IFERROR(__xludf.DUMMYFUNCTION("vlookup(C206,IMPORTRANGE(""1Kgoo8qyo6zMtf_5B03ksZz228jg0XpZ4_KXsdHQ4Vks"",""14 Sept!A:B""),2,0)"),"DME1897")</f>
        <v>DME1897</v>
      </c>
      <c r="B206" s="5" t="str">
        <f>IFERROR(__xludf.DUMMYFUNCTION("""COMPUTED_VALUE"""),"Kishore Kotagiri")</f>
        <v>Kishore Kotagiri</v>
      </c>
      <c r="C206" s="5" t="str">
        <f>IFERROR(__xludf.DUMMYFUNCTION("""COMPUTED_VALUE"""),"kishore.kotagiri@onixnet.com")</f>
        <v>kishore.kotagiri@onixnet.com</v>
      </c>
      <c r="D206" s="4" t="s">
        <v>11</v>
      </c>
      <c r="E206" s="6" t="str">
        <f>IFERROR(__xludf.DUMMYFUNCTION("vlookup($A206,importrange(""1fyGnaViAX9kns28pvsfPvI9925sAI7kxPlM7jpuHVJM"",""Validation!A:Z""),11,0)"),"Delivery Services")</f>
        <v>Delivery Services</v>
      </c>
      <c r="F206" s="6" t="str">
        <f>IFERROR(__xludf.DUMMYFUNCTION("vlookup($A206,importrange(""1fyGnaViAX9kns28pvsfPvI9925sAI7kxPlM7jpuHVJM"",""Validation!A:Z""),23,0)"),"Kanhaiya Jha")</f>
        <v>Kanhaiya Jha</v>
      </c>
      <c r="G206" s="6" t="str">
        <f>IFERROR(__xludf.DUMMYFUNCTION("vlookup(A206,importrange(""1fyGnaViAX9kns28pvsfPvI9925sAI7kxPlM7jpuHVJM"",""Validation!A:Z""),22,0)"),"Cluster - Kanhaiya")</f>
        <v>Cluster - Kanhaiya</v>
      </c>
      <c r="H206" s="4" t="str">
        <f>IFERROR(__xludf.DUMMYFUNCTION("vlookup(C206,importrange(""1kw74ismGU34AsZ5x-W4x7F3Zt2xc8NSYcCVMrCJBmdQ"",""DRP for 8 products!B:C""),2,0)"),"ONIKKSCA8")</f>
        <v>ONIKKSCA8</v>
      </c>
      <c r="I206" s="7">
        <f>IFERROR(__xludf.DUMMYFUNCTION("vlookup(C206,importrange(""1kw74ismGU34AsZ5x-W4x7F3Zt2xc8NSYcCVMrCJBmdQ"",""DRP for 8 products!B:E""),4,0)"),19.0)</f>
        <v>19</v>
      </c>
      <c r="J206" s="8" t="str">
        <f t="shared" si="1"/>
        <v>Tier 4</v>
      </c>
      <c r="K206" s="9" t="str">
        <f t="shared" si="2"/>
        <v>Active</v>
      </c>
      <c r="L206" s="4" t="str">
        <f>IFERROR(__xludf.DUMMYFUNCTION("vlookup(C206,importrange(""1kw74ismGU34AsZ5x-W4x7F3Zt2xc8NSYcCVMrCJBmdQ"",""DRP for 8 products!B:H""),6,0)"),"BigQuery")</f>
        <v>BigQuery</v>
      </c>
      <c r="M206" s="10" t="str">
        <f t="shared" si="3"/>
        <v>Yes</v>
      </c>
    </row>
    <row r="207">
      <c r="A207" s="4" t="str">
        <f>IFERROR(__xludf.DUMMYFUNCTION("vlookup(C207,IMPORTRANGE(""1Kgoo8qyo6zMtf_5B03ksZz228jg0XpZ4_KXsdHQ4Vks"",""14 Sept!A:B""),2,0)"),"DME2361")</f>
        <v>DME2361</v>
      </c>
      <c r="B207" s="5" t="str">
        <f>IFERROR(__xludf.DUMMYFUNCTION("""COMPUTED_VALUE"""),"Neelankshi Singh")</f>
        <v>Neelankshi Singh</v>
      </c>
      <c r="C207" s="5" t="str">
        <f>IFERROR(__xludf.DUMMYFUNCTION("""COMPUTED_VALUE"""),"neelankshi.singh@onixnet.com")</f>
        <v>neelankshi.singh@onixnet.com</v>
      </c>
      <c r="D207" s="4" t="s">
        <v>11</v>
      </c>
      <c r="E207" s="6" t="str">
        <f>IFERROR(__xludf.DUMMYFUNCTION("vlookup($A207,importrange(""1fyGnaViAX9kns28pvsfPvI9925sAI7kxPlM7jpuHVJM"",""Validation!A:Z""),11,0)"),"Delivery Services")</f>
        <v>Delivery Services</v>
      </c>
      <c r="F207" s="6" t="str">
        <f>IFERROR(__xludf.DUMMYFUNCTION("vlookup($A207,importrange(""1fyGnaViAX9kns28pvsfPvI9925sAI7kxPlM7jpuHVJM"",""Validation!A:Z""),23,0)"),"Ashwini Kumar")</f>
        <v>Ashwini Kumar</v>
      </c>
      <c r="G207" s="6" t="str">
        <f>IFERROR(__xludf.DUMMYFUNCTION("vlookup(A207,importrange(""1fyGnaViAX9kns28pvsfPvI9925sAI7kxPlM7jpuHVJM"",""Validation!A:Z""),22,0)"),"Cluster - Kanhaiya")</f>
        <v>Cluster - Kanhaiya</v>
      </c>
      <c r="H207" s="4" t="str">
        <f>IFERROR(__xludf.DUMMYFUNCTION("vlookup(C207,importrange(""1kw74ismGU34AsZ5x-W4x7F3Zt2xc8NSYcCVMrCJBmdQ"",""DRP for 8 products!B:C""),2,0)"),"ONINSOOY9")</f>
        <v>ONINSOOY9</v>
      </c>
      <c r="I207" s="7">
        <f>IFERROR(__xludf.DUMMYFUNCTION("vlookup(C207,importrange(""1kw74ismGU34AsZ5x-W4x7F3Zt2xc8NSYcCVMrCJBmdQ"",""DRP for 8 products!B:E""),4,0)"),8.0)</f>
        <v>8</v>
      </c>
      <c r="J207" s="8" t="str">
        <f t="shared" si="1"/>
        <v>Tier 4</v>
      </c>
      <c r="K207" s="9" t="str">
        <f t="shared" si="2"/>
        <v>Active</v>
      </c>
      <c r="L207" s="4" t="str">
        <f>IFERROR(__xludf.DUMMYFUNCTION("vlookup(C207,importrange(""1kw74ismGU34AsZ5x-W4x7F3Zt2xc8NSYcCVMrCJBmdQ"",""DRP for 8 products!B:H""),6,0)"),"Dataflow")</f>
        <v>Dataflow</v>
      </c>
      <c r="M207" s="10" t="str">
        <f t="shared" si="3"/>
        <v>Yes</v>
      </c>
    </row>
    <row r="208">
      <c r="A208" s="4" t="str">
        <f>IFERROR(__xludf.DUMMYFUNCTION("vlookup(C208,IMPORTRANGE(""1Kgoo8qyo6zMtf_5B03ksZz228jg0XpZ4_KXsdHQ4Vks"",""14 Sept!A:B""),2,0)"),"DME3107")</f>
        <v>DME3107</v>
      </c>
      <c r="B208" s="5" t="str">
        <f>IFERROR(__xludf.DUMMYFUNCTION("""COMPUTED_VALUE"""),"Parameshwari S")</f>
        <v>Parameshwari S</v>
      </c>
      <c r="C208" s="5" t="str">
        <f>IFERROR(__xludf.DUMMYFUNCTION("""COMPUTED_VALUE"""),"parameshwari.s@onixnet.com")</f>
        <v>parameshwari.s@onixnet.com</v>
      </c>
      <c r="D208" s="4" t="s">
        <v>11</v>
      </c>
      <c r="E208" s="6" t="str">
        <f>IFERROR(__xludf.DUMMYFUNCTION("vlookup($A208,importrange(""1fyGnaViAX9kns28pvsfPvI9925sAI7kxPlM7jpuHVJM"",""Validation!A:Z""),11,0)"),"Delivery Services")</f>
        <v>Delivery Services</v>
      </c>
      <c r="F208" s="6" t="str">
        <f>IFERROR(__xludf.DUMMYFUNCTION("vlookup($A208,importrange(""1fyGnaViAX9kns28pvsfPvI9925sAI7kxPlM7jpuHVJM"",""Validation!A:Z""),23,0)"),"Akash Choudhari")</f>
        <v>Akash Choudhari</v>
      </c>
      <c r="G208" s="6" t="str">
        <f>IFERROR(__xludf.DUMMYFUNCTION("vlookup(A208,importrange(""1fyGnaViAX9kns28pvsfPvI9925sAI7kxPlM7jpuHVJM"",""Validation!A:Z""),22,0)"),"Cluster - Sandeep")</f>
        <v>Cluster - Sandeep</v>
      </c>
      <c r="H208" s="4" t="str">
        <f>IFERROR(__xludf.DUMMYFUNCTION("vlookup(C208,importrange(""1kw74ismGU34AsZ5x-W4x7F3Zt2xc8NSYcCVMrCJBmdQ"",""DRP for 8 products!B:C""),2,0)"),"ONIPSVEO6")</f>
        <v>ONIPSVEO6</v>
      </c>
      <c r="I208" s="7">
        <f>IFERROR(__xludf.DUMMYFUNCTION("vlookup(C208,importrange(""1kw74ismGU34AsZ5x-W4x7F3Zt2xc8NSYcCVMrCJBmdQ"",""DRP for 8 products!B:E""),4,0)"),29.0)</f>
        <v>29</v>
      </c>
      <c r="J208" s="8" t="str">
        <f t="shared" si="1"/>
        <v>Tier 3</v>
      </c>
      <c r="K208" s="9" t="str">
        <f t="shared" si="2"/>
        <v>Active</v>
      </c>
      <c r="L208" s="4" t="str">
        <f>IFERROR(__xludf.DUMMYFUNCTION("vlookup(C208,importrange(""1kw74ismGU34AsZ5x-W4x7F3Zt2xc8NSYcCVMrCJBmdQ"",""DRP for 8 products!B:H""),6,0)"),"BigQuery")</f>
        <v>BigQuery</v>
      </c>
      <c r="M208" s="10" t="str">
        <f t="shared" si="3"/>
        <v>Yes</v>
      </c>
    </row>
    <row r="209">
      <c r="A209" s="4" t="str">
        <f>IFERROR(__xludf.DUMMYFUNCTION("vlookup(C209,IMPORTRANGE(""1Kgoo8qyo6zMtf_5B03ksZz228jg0XpZ4_KXsdHQ4Vks"",""14 Sept!A:B""),2,0)"),"DME3264")</f>
        <v>DME3264</v>
      </c>
      <c r="B209" s="5" t="str">
        <f>IFERROR(__xludf.DUMMYFUNCTION("""COMPUTED_VALUE"""),"Yogesh Tarte")</f>
        <v>Yogesh Tarte</v>
      </c>
      <c r="C209" s="5" t="str">
        <f>IFERROR(__xludf.DUMMYFUNCTION("""COMPUTED_VALUE"""),"yogesh.tarte@onixnet.com")</f>
        <v>yogesh.tarte@onixnet.com</v>
      </c>
      <c r="D209" s="4" t="s">
        <v>11</v>
      </c>
      <c r="E209" s="6" t="str">
        <f>IFERROR(__xludf.DUMMYFUNCTION("vlookup($A209,importrange(""1fyGnaViAX9kns28pvsfPvI9925sAI7kxPlM7jpuHVJM"",""Validation!A:Z""),11,0)"),"Delivery Services")</f>
        <v>Delivery Services</v>
      </c>
      <c r="F209" s="6" t="str">
        <f>IFERROR(__xludf.DUMMYFUNCTION("vlookup($A209,importrange(""1fyGnaViAX9kns28pvsfPvI9925sAI7kxPlM7jpuHVJM"",""Validation!A:Z""),23,0)"),"Aakash Vinod Tolani")</f>
        <v>Aakash Vinod Tolani</v>
      </c>
      <c r="G209" s="6" t="str">
        <f>IFERROR(__xludf.DUMMYFUNCTION("vlookup(A209,importrange(""1fyGnaViAX9kns28pvsfPvI9925sAI7kxPlM7jpuHVJM"",""Validation!A:Z""),22,0)"),"Cluster - Shreepad")</f>
        <v>Cluster - Shreepad</v>
      </c>
      <c r="H209" s="4" t="str">
        <f>IFERROR(__xludf.DUMMYFUNCTION("vlookup(C209,importrange(""1kw74ismGU34AsZ5x-W4x7F3Zt2xc8NSYcCVMrCJBmdQ"",""DRP for 8 products!B:C""),2,0)"),"ONIYTFWM8")</f>
        <v>ONIYTFWM8</v>
      </c>
      <c r="I209" s="7">
        <f>IFERROR(__xludf.DUMMYFUNCTION("vlookup(C209,importrange(""1kw74ismGU34AsZ5x-W4x7F3Zt2xc8NSYcCVMrCJBmdQ"",""DRP for 8 products!B:E""),4,0)"),9.0)</f>
        <v>9</v>
      </c>
      <c r="J209" s="8" t="str">
        <f t="shared" si="1"/>
        <v>Tier 4</v>
      </c>
      <c r="K209" s="9" t="str">
        <f t="shared" si="2"/>
        <v>Active</v>
      </c>
      <c r="L209" s="4" t="str">
        <f>IFERROR(__xludf.DUMMYFUNCTION("vlookup(C209,importrange(""1kw74ismGU34AsZ5x-W4x7F3Zt2xc8NSYcCVMrCJBmdQ"",""DRP for 8 products!B:H""),6,0)"),"BigQuery")</f>
        <v>BigQuery</v>
      </c>
      <c r="M209" s="10" t="str">
        <f t="shared" si="3"/>
        <v>Yes</v>
      </c>
    </row>
    <row r="210">
      <c r="A210" s="4" t="str">
        <f>IFERROR(__xludf.DUMMYFUNCTION("vlookup(C210,IMPORTRANGE(""1Kgoo8qyo6zMtf_5B03ksZz228jg0XpZ4_KXsdHQ4Vks"",""14 Sept!A:B""),2,0)"),"DME2645")</f>
        <v>DME2645</v>
      </c>
      <c r="B210" s="5" t="str">
        <f>IFERROR(__xludf.DUMMYFUNCTION("""COMPUTED_VALUE"""),"Ayush .")</f>
        <v>Ayush .</v>
      </c>
      <c r="C210" s="5" t="str">
        <f>IFERROR(__xludf.DUMMYFUNCTION("""COMPUTED_VALUE"""),"ayush.sinha@onixnet.com")</f>
        <v>ayush.sinha@onixnet.com</v>
      </c>
      <c r="D210" s="4" t="s">
        <v>11</v>
      </c>
      <c r="E210" s="6" t="str">
        <f>IFERROR(__xludf.DUMMYFUNCTION("vlookup($A210,importrange(""1fyGnaViAX9kns28pvsfPvI9925sAI7kxPlM7jpuHVJM"",""Validation!A:Z""),11,0)"),"Delivery Services")</f>
        <v>Delivery Services</v>
      </c>
      <c r="F210" s="6" t="str">
        <f>IFERROR(__xludf.DUMMYFUNCTION("vlookup($A210,importrange(""1fyGnaViAX9kns28pvsfPvI9925sAI7kxPlM7jpuHVJM"",""Validation!A:Z""),23,0)"),"Hemanth Kolluru")</f>
        <v>Hemanth Kolluru</v>
      </c>
      <c r="G210" s="6" t="str">
        <f>IFERROR(__xludf.DUMMYFUNCTION("vlookup(A210,importrange(""1fyGnaViAX9kns28pvsfPvI9925sAI7kxPlM7jpuHVJM"",""Validation!A:Z""),22,0)"),"Cluster - Sachin")</f>
        <v>Cluster - Sachin</v>
      </c>
      <c r="H210" s="4" t="str">
        <f>IFERROR(__xludf.DUMMYFUNCTION("vlookup(C210,importrange(""1kw74ismGU34AsZ5x-W4x7F3Zt2xc8NSYcCVMrCJBmdQ"",""DRP for 8 products!B:C""),2,0)"),"ONIAUKYX7")</f>
        <v>ONIAUKYX7</v>
      </c>
      <c r="I210" s="7">
        <f>IFERROR(__xludf.DUMMYFUNCTION("vlookup(C210,importrange(""1kw74ismGU34AsZ5x-W4x7F3Zt2xc8NSYcCVMrCJBmdQ"",""DRP for 8 products!B:E""),4,0)"),9.0)</f>
        <v>9</v>
      </c>
      <c r="J210" s="8" t="str">
        <f t="shared" si="1"/>
        <v>Tier 4</v>
      </c>
      <c r="K210" s="9" t="str">
        <f t="shared" si="2"/>
        <v>Active</v>
      </c>
      <c r="L210" s="4" t="str">
        <f>IFERROR(__xludf.DUMMYFUNCTION("vlookup(C210,importrange(""1kw74ismGU34AsZ5x-W4x7F3Zt2xc8NSYcCVMrCJBmdQ"",""DRP for 8 products!B:H""),6,0)"),"BigQuery")</f>
        <v>BigQuery</v>
      </c>
      <c r="M210" s="10" t="str">
        <f t="shared" si="3"/>
        <v>Yes</v>
      </c>
    </row>
    <row r="211">
      <c r="A211" s="4" t="str">
        <f>IFERROR(__xludf.DUMMYFUNCTION("vlookup(C211,IMPORTRANGE(""1Kgoo8qyo6zMtf_5B03ksZz228jg0XpZ4_KXsdHQ4Vks"",""14 Sept!A:B""),2,0)"),"DME3171")</f>
        <v>DME3171</v>
      </c>
      <c r="B211" s="5" t="str">
        <f>IFERROR(__xludf.DUMMYFUNCTION("""COMPUTED_VALUE"""),"Chandni Ahuja")</f>
        <v>Chandni Ahuja</v>
      </c>
      <c r="C211" s="5" t="str">
        <f>IFERROR(__xludf.DUMMYFUNCTION("""COMPUTED_VALUE"""),"chandni.ahuja@onixnet.com")</f>
        <v>chandni.ahuja@onixnet.com</v>
      </c>
      <c r="D211" s="4" t="s">
        <v>11</v>
      </c>
      <c r="E211" s="6" t="str">
        <f>IFERROR(__xludf.DUMMYFUNCTION("vlookup($A211,importrange(""1fyGnaViAX9kns28pvsfPvI9925sAI7kxPlM7jpuHVJM"",""Validation!A:Z""),11,0)"),"Delivery Services")</f>
        <v>Delivery Services</v>
      </c>
      <c r="F211" s="6" t="str">
        <f>IFERROR(__xludf.DUMMYFUNCTION("vlookup($A211,importrange(""1fyGnaViAX9kns28pvsfPvI9925sAI7kxPlM7jpuHVJM"",""Validation!A:Z""),23,0)"),"Vedant Bhogawade")</f>
        <v>Vedant Bhogawade</v>
      </c>
      <c r="G211" s="6" t="str">
        <f>IFERROR(__xludf.DUMMYFUNCTION("vlookup(A211,importrange(""1fyGnaViAX9kns28pvsfPvI9925sAI7kxPlM7jpuHVJM"",""Validation!A:Z""),22,0)"),"Cluster - Varun")</f>
        <v>Cluster - Varun</v>
      </c>
      <c r="H211" s="4" t="str">
        <f>IFERROR(__xludf.DUMMYFUNCTION("vlookup(C211,importrange(""1kw74ismGU34AsZ5x-W4x7F3Zt2xc8NSYcCVMrCJBmdQ"",""DRP for 8 products!B:C""),2,0)"),"ONICAGCF2")</f>
        <v>ONICAGCF2</v>
      </c>
      <c r="I211" s="7">
        <f>IFERROR(__xludf.DUMMYFUNCTION("vlookup(C211,importrange(""1kw74ismGU34AsZ5x-W4x7F3Zt2xc8NSYcCVMrCJBmdQ"",""DRP for 8 products!B:E""),4,0)"),8.0)</f>
        <v>8</v>
      </c>
      <c r="J211" s="8" t="str">
        <f t="shared" si="1"/>
        <v>Tier 4</v>
      </c>
      <c r="K211" s="9" t="str">
        <f t="shared" si="2"/>
        <v>Active</v>
      </c>
      <c r="L211" s="4" t="str">
        <f>IFERROR(__xludf.DUMMYFUNCTION("vlookup(C211,importrange(""1kw74ismGU34AsZ5x-W4x7F3Zt2xc8NSYcCVMrCJBmdQ"",""DRP for 8 products!B:H""),6,0)"),"BigQuery")</f>
        <v>BigQuery</v>
      </c>
      <c r="M211" s="10" t="str">
        <f t="shared" si="3"/>
        <v>Yes</v>
      </c>
    </row>
    <row r="212">
      <c r="A212" s="4" t="str">
        <f>IFERROR(__xludf.DUMMYFUNCTION("vlookup(C212,IMPORTRANGE(""1Kgoo8qyo6zMtf_5B03ksZz228jg0XpZ4_KXsdHQ4Vks"",""14 Sept!A:B""),2,0)"),"DME2184")</f>
        <v>DME2184</v>
      </c>
      <c r="B212" s="5" t="str">
        <f>IFERROR(__xludf.DUMMYFUNCTION("""COMPUTED_VALUE"""),"Satish Kumar")</f>
        <v>Satish Kumar</v>
      </c>
      <c r="C212" s="5" t="str">
        <f>IFERROR(__xludf.DUMMYFUNCTION("""COMPUTED_VALUE"""),"satish.kumar@onixnet.com")</f>
        <v>satish.kumar@onixnet.com</v>
      </c>
      <c r="D212" s="4" t="s">
        <v>11</v>
      </c>
      <c r="E212" s="6" t="str">
        <f>IFERROR(__xludf.DUMMYFUNCTION("vlookup($A212,importrange(""1fyGnaViAX9kns28pvsfPvI9925sAI7kxPlM7jpuHVJM"",""Validation!A:Z""),11,0)"),"Delivery Services")</f>
        <v>Delivery Services</v>
      </c>
      <c r="F212" s="6" t="str">
        <f>IFERROR(__xludf.DUMMYFUNCTION("vlookup($A212,importrange(""1fyGnaViAX9kns28pvsfPvI9925sAI7kxPlM7jpuHVJM"",""Validation!A:Z""),23,0)"),"Sheela Sawant")</f>
        <v>Sheela Sawant</v>
      </c>
      <c r="G212" s="6" t="str">
        <f>IFERROR(__xludf.DUMMYFUNCTION("vlookup(A212,importrange(""1fyGnaViAX9kns28pvsfPvI9925sAI7kxPlM7jpuHVJM"",""Validation!A:Z""),22,0)"),"Cluster - Gaurav")</f>
        <v>Cluster - Gaurav</v>
      </c>
      <c r="H212" s="4" t="str">
        <f>IFERROR(__xludf.DUMMYFUNCTION("vlookup(C212,importrange(""1kw74ismGU34AsZ5x-W4x7F3Zt2xc8NSYcCVMrCJBmdQ"",""DRP for 8 products!B:C""),2,0)"),"ONISKOYQ8")</f>
        <v>ONISKOYQ8</v>
      </c>
      <c r="I212" s="7">
        <f>IFERROR(__xludf.DUMMYFUNCTION("vlookup(C212,importrange(""1kw74ismGU34AsZ5x-W4x7F3Zt2xc8NSYcCVMrCJBmdQ"",""DRP for 8 products!B:E""),4,0)"),34.0)</f>
        <v>34</v>
      </c>
      <c r="J212" s="8" t="str">
        <f t="shared" si="1"/>
        <v>Tier 3</v>
      </c>
      <c r="K212" s="9" t="str">
        <f t="shared" si="2"/>
        <v>Active</v>
      </c>
      <c r="L212" s="4" t="str">
        <f>IFERROR(__xludf.DUMMYFUNCTION("vlookup(C212,importrange(""1kw74ismGU34AsZ5x-W4x7F3Zt2xc8NSYcCVMrCJBmdQ"",""DRP for 8 products!B:H""),6,0)"),"BigQuery")</f>
        <v>BigQuery</v>
      </c>
      <c r="M212" s="10" t="str">
        <f t="shared" si="3"/>
        <v>Yes</v>
      </c>
    </row>
    <row r="213">
      <c r="A213" s="4" t="str">
        <f>IFERROR(__xludf.DUMMYFUNCTION("vlookup(C213,IMPORTRANGE(""1Kgoo8qyo6zMtf_5B03ksZz228jg0XpZ4_KXsdHQ4Vks"",""14 Sept!A:B""),2,0)"),"DME1925")</f>
        <v>DME1925</v>
      </c>
      <c r="B213" s="5" t="str">
        <f>IFERROR(__xludf.DUMMYFUNCTION("""COMPUTED_VALUE"""),"Sameer Mulani")</f>
        <v>Sameer Mulani</v>
      </c>
      <c r="C213" s="5" t="str">
        <f>IFERROR(__xludf.DUMMYFUNCTION("""COMPUTED_VALUE"""),"sameer.mulani@onixnet.com")</f>
        <v>sameer.mulani@onixnet.com</v>
      </c>
      <c r="D213" s="4" t="s">
        <v>11</v>
      </c>
      <c r="E213" s="6" t="str">
        <f>IFERROR(__xludf.DUMMYFUNCTION("vlookup($A213,importrange(""1fyGnaViAX9kns28pvsfPvI9925sAI7kxPlM7jpuHVJM"",""Validation!A:Z""),11,0)"),"Product Engineering")</f>
        <v>Product Engineering</v>
      </c>
      <c r="F213" s="6" t="str">
        <f>IFERROR(__xludf.DUMMYFUNCTION("vlookup($A213,importrange(""1fyGnaViAX9kns28pvsfPvI9925sAI7kxPlM7jpuHVJM"",""Validation!A:Z""),23,0)"),"Venkat Shivkumar")</f>
        <v>Venkat Shivkumar</v>
      </c>
      <c r="G213" s="6" t="str">
        <f>IFERROR(__xludf.DUMMYFUNCTION("vlookup(A213,importrange(""1fyGnaViAX9kns28pvsfPvI9925sAI7kxPlM7jpuHVJM"",""Validation!A:Z""),22,0)"),"Cluster - Mayur")</f>
        <v>Cluster - Mayur</v>
      </c>
      <c r="H213" s="4" t="str">
        <f>IFERROR(__xludf.DUMMYFUNCTION("vlookup(C213,importrange(""1kw74ismGU34AsZ5x-W4x7F3Zt2xc8NSYcCVMrCJBmdQ"",""DRP for 8 products!B:C""),2,0)"),"ONISMRXG3")</f>
        <v>ONISMRXG3</v>
      </c>
      <c r="I213" s="7">
        <f>IFERROR(__xludf.DUMMYFUNCTION("vlookup(C213,importrange(""1kw74ismGU34AsZ5x-W4x7F3Zt2xc8NSYcCVMrCJBmdQ"",""DRP for 8 products!B:E""),4,0)"),34.0)</f>
        <v>34</v>
      </c>
      <c r="J213" s="8" t="str">
        <f t="shared" si="1"/>
        <v>Tier 3</v>
      </c>
      <c r="K213" s="9" t="str">
        <f t="shared" si="2"/>
        <v>Active</v>
      </c>
      <c r="L213" s="4" t="str">
        <f>IFERROR(__xludf.DUMMYFUNCTION("vlookup(C213,importrange(""1kw74ismGU34AsZ5x-W4x7F3Zt2xc8NSYcCVMrCJBmdQ"",""DRP for 8 products!B:H""),6,0)"),"BigQuery")</f>
        <v>BigQuery</v>
      </c>
      <c r="M213" s="10" t="str">
        <f t="shared" si="3"/>
        <v>Yes</v>
      </c>
    </row>
    <row r="214">
      <c r="A214" s="4" t="str">
        <f>IFERROR(__xludf.DUMMYFUNCTION("vlookup(C214,IMPORTRANGE(""1Kgoo8qyo6zMtf_5B03ksZz228jg0XpZ4_KXsdHQ4Vks"",""14 Sept!A:B""),2,0)"),"DMC1144")</f>
        <v>DMC1144</v>
      </c>
      <c r="B214" s="5" t="str">
        <f>IFERROR(__xludf.DUMMYFUNCTION("""COMPUTED_VALUE"""),"Kajal Ojha")</f>
        <v>Kajal Ojha</v>
      </c>
      <c r="C214" s="5" t="str">
        <f>IFERROR(__xludf.DUMMYFUNCTION("""COMPUTED_VALUE"""),"kajal.ojha@onixnet.us")</f>
        <v>kajal.ojha@onixnet.us</v>
      </c>
      <c r="D214" s="4" t="s">
        <v>11</v>
      </c>
      <c r="E214" s="6" t="str">
        <f>IFERROR(__xludf.DUMMYFUNCTION("vlookup($A214,importrange(""1fyGnaViAX9kns28pvsfPvI9925sAI7kxPlM7jpuHVJM"",""Validation!A:Z""),11,0)"),"Delivery Services")</f>
        <v>Delivery Services</v>
      </c>
      <c r="F214" s="6" t="str">
        <f>IFERROR(__xludf.DUMMYFUNCTION("vlookup($A214,importrange(""1fyGnaViAX9kns28pvsfPvI9925sAI7kxPlM7jpuHVJM"",""Validation!A:Z""),23,0)"),"Ajitkumar Sinha")</f>
        <v>Ajitkumar Sinha</v>
      </c>
      <c r="G214" s="6" t="str">
        <f>IFERROR(__xludf.DUMMYFUNCTION("vlookup(A214,importrange(""1fyGnaViAX9kns28pvsfPvI9925sAI7kxPlM7jpuHVJM"",""Validation!A:Z""),22,0)"),"Cluster - Shreepad")</f>
        <v>Cluster - Shreepad</v>
      </c>
      <c r="H214" s="4" t="str">
        <f>IFERROR(__xludf.DUMMYFUNCTION("vlookup(C214,importrange(""1kw74ismGU34AsZ5x-W4x7F3Zt2xc8NSYcCVMrCJBmdQ"",""DRP for 8 products!B:C""),2,0)"),"ONIKOKRE3")</f>
        <v>ONIKOKRE3</v>
      </c>
      <c r="I214" s="7">
        <f>IFERROR(__xludf.DUMMYFUNCTION("vlookup(C214,importrange(""1kw74ismGU34AsZ5x-W4x7F3Zt2xc8NSYcCVMrCJBmdQ"",""DRP for 8 products!B:E""),4,0)"),10.0)</f>
        <v>10</v>
      </c>
      <c r="J214" s="8" t="str">
        <f t="shared" si="1"/>
        <v>Tier 4</v>
      </c>
      <c r="K214" s="9" t="str">
        <f t="shared" si="2"/>
        <v>Active</v>
      </c>
      <c r="L214" s="4" t="str">
        <f>IFERROR(__xludf.DUMMYFUNCTION("vlookup(C214,importrange(""1kw74ismGU34AsZ5x-W4x7F3Zt2xc8NSYcCVMrCJBmdQ"",""DRP for 8 products!B:H""),6,0)"),"BigQuery")</f>
        <v>BigQuery</v>
      </c>
      <c r="M214" s="10" t="str">
        <f t="shared" si="3"/>
        <v>Yes</v>
      </c>
    </row>
    <row r="215">
      <c r="A215" s="4" t="str">
        <f>IFERROR(__xludf.DUMMYFUNCTION("vlookup(C215,IMPORTRANGE(""1Kgoo8qyo6zMtf_5B03ksZz228jg0XpZ4_KXsdHQ4Vks"",""14 Sept!A:B""),2,0)"),"DME2294")</f>
        <v>DME2294</v>
      </c>
      <c r="B215" s="5" t="str">
        <f>IFERROR(__xludf.DUMMYFUNCTION("""COMPUTED_VALUE"""),"Tushar Bhutte")</f>
        <v>Tushar Bhutte</v>
      </c>
      <c r="C215" s="5" t="str">
        <f>IFERROR(__xludf.DUMMYFUNCTION("""COMPUTED_VALUE"""),"tushar.bhutte@onixnet.com")</f>
        <v>tushar.bhutte@onixnet.com</v>
      </c>
      <c r="D215" s="4" t="s">
        <v>11</v>
      </c>
      <c r="E215" s="6" t="str">
        <f>IFERROR(__xludf.DUMMYFUNCTION("vlookup($A215,importrange(""1fyGnaViAX9kns28pvsfPvI9925sAI7kxPlM7jpuHVJM"",""Validation!A:Z""),11,0)"),"Delivery Services")</f>
        <v>Delivery Services</v>
      </c>
      <c r="F215" s="6" t="str">
        <f>IFERROR(__xludf.DUMMYFUNCTION("vlookup($A215,importrange(""1fyGnaViAX9kns28pvsfPvI9925sAI7kxPlM7jpuHVJM"",""Validation!A:Z""),23,0)"),"Akash Morey")</f>
        <v>Akash Morey</v>
      </c>
      <c r="G215" s="6" t="str">
        <f>IFERROR(__xludf.DUMMYFUNCTION("vlookup(A215,importrange(""1fyGnaViAX9kns28pvsfPvI9925sAI7kxPlM7jpuHVJM"",""Validation!A:Z""),22,0)"),"Cluster - Sandeep")</f>
        <v>Cluster - Sandeep</v>
      </c>
      <c r="H215" s="4" t="str">
        <f>IFERROR(__xludf.DUMMYFUNCTION("vlookup(C215,importrange(""1kw74ismGU34AsZ5x-W4x7F3Zt2xc8NSYcCVMrCJBmdQ"",""DRP for 8 products!B:C""),2,0)"),"ONITBZYZ9")</f>
        <v>ONITBZYZ9</v>
      </c>
      <c r="I215" s="7">
        <f>IFERROR(__xludf.DUMMYFUNCTION("vlookup(C215,importrange(""1kw74ismGU34AsZ5x-W4x7F3Zt2xc8NSYcCVMrCJBmdQ"",""DRP for 8 products!B:E""),4,0)"),9.0)</f>
        <v>9</v>
      </c>
      <c r="J215" s="8" t="str">
        <f t="shared" si="1"/>
        <v>Tier 4</v>
      </c>
      <c r="K215" s="9" t="str">
        <f t="shared" si="2"/>
        <v>Active</v>
      </c>
      <c r="L215" s="4" t="str">
        <f>IFERROR(__xludf.DUMMYFUNCTION("vlookup(C215,importrange(""1kw74ismGU34AsZ5x-W4x7F3Zt2xc8NSYcCVMrCJBmdQ"",""DRP for 8 products!B:H""),6,0)"),"BigQuery")</f>
        <v>BigQuery</v>
      </c>
      <c r="M215" s="10" t="str">
        <f t="shared" si="3"/>
        <v>Yes</v>
      </c>
    </row>
    <row r="216">
      <c r="A216" s="4" t="str">
        <f>IFERROR(__xludf.DUMMYFUNCTION("vlookup(C216,IMPORTRANGE(""1Kgoo8qyo6zMtf_5B03ksZz228jg0XpZ4_KXsdHQ4Vks"",""14 Sept!A:B""),2,0)"),"DME3110")</f>
        <v>DME3110</v>
      </c>
      <c r="B216" s="5" t="str">
        <f>IFERROR(__xludf.DUMMYFUNCTION("""COMPUTED_VALUE"""),"Sarthak Lohani")</f>
        <v>Sarthak Lohani</v>
      </c>
      <c r="C216" s="5" t="str">
        <f>IFERROR(__xludf.DUMMYFUNCTION("""COMPUTED_VALUE"""),"sarthak.lohani@onixnet.com")</f>
        <v>sarthak.lohani@onixnet.com</v>
      </c>
      <c r="D216" s="4" t="s">
        <v>11</v>
      </c>
      <c r="E216" s="6" t="str">
        <f>IFERROR(__xludf.DUMMYFUNCTION("vlookup($A216,importrange(""1fyGnaViAX9kns28pvsfPvI9925sAI7kxPlM7jpuHVJM"",""Validation!A:Z""),11,0)"),"Delivery Services")</f>
        <v>Delivery Services</v>
      </c>
      <c r="F216" s="6" t="str">
        <f>IFERROR(__xludf.DUMMYFUNCTION("vlookup($A216,importrange(""1fyGnaViAX9kns28pvsfPvI9925sAI7kxPlM7jpuHVJM"",""Validation!A:Z""),23,0)"),"Mangesh Borade")</f>
        <v>Mangesh Borade</v>
      </c>
      <c r="G216" s="6" t="str">
        <f>IFERROR(__xludf.DUMMYFUNCTION("vlookup(A216,importrange(""1fyGnaViAX9kns28pvsfPvI9925sAI7kxPlM7jpuHVJM"",""Validation!A:Z""),22,0)"),"Cluster - Devayani")</f>
        <v>Cluster - Devayani</v>
      </c>
      <c r="H216" s="4" t="str">
        <f>IFERROR(__xludf.DUMMYFUNCTION("vlookup(C216,importrange(""1kw74ismGU34AsZ5x-W4x7F3Zt2xc8NSYcCVMrCJBmdQ"",""DRP for 8 products!B:C""),2,0)"),"ONISLRPE9")</f>
        <v>ONISLRPE9</v>
      </c>
      <c r="I216" s="7">
        <f>IFERROR(__xludf.DUMMYFUNCTION("vlookup(C216,importrange(""1kw74ismGU34AsZ5x-W4x7F3Zt2xc8NSYcCVMrCJBmdQ"",""DRP for 8 products!B:E""),4,0)"),23.0)</f>
        <v>23</v>
      </c>
      <c r="J216" s="8" t="str">
        <f t="shared" si="1"/>
        <v>Tier 3</v>
      </c>
      <c r="K216" s="9" t="str">
        <f t="shared" si="2"/>
        <v>Active</v>
      </c>
      <c r="L216" s="4" t="str">
        <f>IFERROR(__xludf.DUMMYFUNCTION("vlookup(C216,importrange(""1kw74ismGU34AsZ5x-W4x7F3Zt2xc8NSYcCVMrCJBmdQ"",""DRP for 8 products!B:H""),6,0)"),"BigQuery")</f>
        <v>BigQuery</v>
      </c>
      <c r="M216" s="10" t="str">
        <f t="shared" si="3"/>
        <v>Yes</v>
      </c>
    </row>
    <row r="217">
      <c r="A217" s="4" t="str">
        <f>IFERROR(__xludf.DUMMYFUNCTION("vlookup(C217,IMPORTRANGE(""1Kgoo8qyo6zMtf_5B03ksZz228jg0XpZ4_KXsdHQ4Vks"",""14 Sept!A:B""),2,0)"),"DME1365")</f>
        <v>DME1365</v>
      </c>
      <c r="B217" s="5" t="str">
        <f>IFERROR(__xludf.DUMMYFUNCTION("""COMPUTED_VALUE"""),"Gaurav Rajukar")</f>
        <v>Gaurav Rajukar</v>
      </c>
      <c r="C217" s="5" t="str">
        <f>IFERROR(__xludf.DUMMYFUNCTION("""COMPUTED_VALUE"""),"gaurav.rajukar@onixnet.com")</f>
        <v>gaurav.rajukar@onixnet.com</v>
      </c>
      <c r="D217" s="4" t="s">
        <v>11</v>
      </c>
      <c r="E217" s="6" t="str">
        <f>IFERROR(__xludf.DUMMYFUNCTION("vlookup($A217,importrange(""1fyGnaViAX9kns28pvsfPvI9925sAI7kxPlM7jpuHVJM"",""Validation!A:Z""),11,0)"),"Product Engineering")</f>
        <v>Product Engineering</v>
      </c>
      <c r="F217" s="6" t="str">
        <f>IFERROR(__xludf.DUMMYFUNCTION("vlookup($A217,importrange(""1fyGnaViAX9kns28pvsfPvI9925sAI7kxPlM7jpuHVJM"",""Validation!A:Z""),23,0)"),"Nishant Tiwary")</f>
        <v>Nishant Tiwary</v>
      </c>
      <c r="G217" s="6" t="str">
        <f>IFERROR(__xludf.DUMMYFUNCTION("vlookup(A217,importrange(""1fyGnaViAX9kns28pvsfPvI9925sAI7kxPlM7jpuHVJM"",""Validation!A:Z""),22,0)"),"Cluster - Mayur")</f>
        <v>Cluster - Mayur</v>
      </c>
      <c r="H217" s="4" t="str">
        <f>IFERROR(__xludf.DUMMYFUNCTION("vlookup(C217,importrange(""1kw74ismGU34AsZ5x-W4x7F3Zt2xc8NSYcCVMrCJBmdQ"",""DRP for 8 products!B:C""),2,0)"),"ONIGRSPQ7")</f>
        <v>ONIGRSPQ7</v>
      </c>
      <c r="I217" s="7">
        <f>IFERROR(__xludf.DUMMYFUNCTION("vlookup(C217,importrange(""1kw74ismGU34AsZ5x-W4x7F3Zt2xc8NSYcCVMrCJBmdQ"",""DRP for 8 products!B:E""),4,0)"),29.0)</f>
        <v>29</v>
      </c>
      <c r="J217" s="8" t="str">
        <f t="shared" si="1"/>
        <v>Tier 3</v>
      </c>
      <c r="K217" s="9" t="str">
        <f t="shared" si="2"/>
        <v>Active</v>
      </c>
      <c r="L217" s="4" t="str">
        <f>IFERROR(__xludf.DUMMYFUNCTION("vlookup(C217,importrange(""1kw74ismGU34AsZ5x-W4x7F3Zt2xc8NSYcCVMrCJBmdQ"",""DRP for 8 products!B:H""),6,0)"),"BigQuery")</f>
        <v>BigQuery</v>
      </c>
      <c r="M217" s="10" t="str">
        <f t="shared" si="3"/>
        <v>Yes</v>
      </c>
    </row>
    <row r="218">
      <c r="A218" s="4" t="str">
        <f>IFERROR(__xludf.DUMMYFUNCTION("vlookup(C218,IMPORTRANGE(""1Kgoo8qyo6zMtf_5B03ksZz228jg0XpZ4_KXsdHQ4Vks"",""14 Sept!A:B""),2,0)"),"DME3101")</f>
        <v>DME3101</v>
      </c>
      <c r="B218" s="5" t="str">
        <f>IFERROR(__xludf.DUMMYFUNCTION("""COMPUTED_VALUE"""),"Meghana B")</f>
        <v>Meghana B</v>
      </c>
      <c r="C218" s="5" t="str">
        <f>IFERROR(__xludf.DUMMYFUNCTION("""COMPUTED_VALUE"""),"meghana.b@onixnet.com")</f>
        <v>meghana.b@onixnet.com</v>
      </c>
      <c r="D218" s="4" t="s">
        <v>11</v>
      </c>
      <c r="E218" s="6" t="str">
        <f>IFERROR(__xludf.DUMMYFUNCTION("vlookup($A218,importrange(""1fyGnaViAX9kns28pvsfPvI9925sAI7kxPlM7jpuHVJM"",""Validation!A:Z""),11,0)"),"Delivery Services")</f>
        <v>Delivery Services</v>
      </c>
      <c r="F218" s="6" t="str">
        <f>IFERROR(__xludf.DUMMYFUNCTION("vlookup($A218,importrange(""1fyGnaViAX9kns28pvsfPvI9925sAI7kxPlM7jpuHVJM"",""Validation!A:Z""),23,0)"),"Vurimi Vamsi Krishna")</f>
        <v>Vurimi Vamsi Krishna</v>
      </c>
      <c r="G218" s="6" t="str">
        <f>IFERROR(__xludf.DUMMYFUNCTION("vlookup(A218,importrange(""1fyGnaViAX9kns28pvsfPvI9925sAI7kxPlM7jpuHVJM"",""Validation!A:Z""),22,0)"),"Cluster - Varun")</f>
        <v>Cluster - Varun</v>
      </c>
      <c r="H218" s="4" t="str">
        <f>IFERROR(__xludf.DUMMYFUNCTION("vlookup(C218,importrange(""1kw74ismGU34AsZ5x-W4x7F3Zt2xc8NSYcCVMrCJBmdQ"",""DRP for 8 products!B:C""),2,0)"),"ONIMBEQT0")</f>
        <v>ONIMBEQT0</v>
      </c>
      <c r="I218" s="7">
        <f>IFERROR(__xludf.DUMMYFUNCTION("vlookup(C218,importrange(""1kw74ismGU34AsZ5x-W4x7F3Zt2xc8NSYcCVMrCJBmdQ"",""DRP for 8 products!B:E""),4,0)"),29.0)</f>
        <v>29</v>
      </c>
      <c r="J218" s="8" t="str">
        <f t="shared" si="1"/>
        <v>Tier 3</v>
      </c>
      <c r="K218" s="9" t="str">
        <f t="shared" si="2"/>
        <v>Active</v>
      </c>
      <c r="L218" s="4" t="str">
        <f>IFERROR(__xludf.DUMMYFUNCTION("vlookup(C218,importrange(""1kw74ismGU34AsZ5x-W4x7F3Zt2xc8NSYcCVMrCJBmdQ"",""DRP for 8 products!B:H""),6,0)"),"BigQuery")</f>
        <v>BigQuery</v>
      </c>
      <c r="M218" s="10" t="str">
        <f t="shared" si="3"/>
        <v>Yes</v>
      </c>
    </row>
    <row r="219">
      <c r="A219" s="4" t="str">
        <f>IFERROR(__xludf.DUMMYFUNCTION("vlookup(C219,IMPORTRANGE(""1Kgoo8qyo6zMtf_5B03ksZz228jg0XpZ4_KXsdHQ4Vks"",""14 Sept!A:B""),2,0)"),"DME3246")</f>
        <v>DME3246</v>
      </c>
      <c r="B219" s="5" t="str">
        <f>IFERROR(__xludf.DUMMYFUNCTION("""COMPUTED_VALUE"""),"Hritik Giri")</f>
        <v>Hritik Giri</v>
      </c>
      <c r="C219" s="5" t="str">
        <f>IFERROR(__xludf.DUMMYFUNCTION("""COMPUTED_VALUE"""),"hritik.giri@onixnet.com")</f>
        <v>hritik.giri@onixnet.com</v>
      </c>
      <c r="D219" s="4" t="s">
        <v>11</v>
      </c>
      <c r="E219" s="6" t="str">
        <f>IFERROR(__xludf.DUMMYFUNCTION("vlookup($A219,importrange(""1fyGnaViAX9kns28pvsfPvI9925sAI7kxPlM7jpuHVJM"",""Validation!A:Z""),11,0)"),"Delivery Services")</f>
        <v>Delivery Services</v>
      </c>
      <c r="F219" s="6" t="str">
        <f>IFERROR(__xludf.DUMMYFUNCTION("vlookup($A219,importrange(""1fyGnaViAX9kns28pvsfPvI9925sAI7kxPlM7jpuHVJM"",""Validation!A:Z""),23,0)"),"Lanyo Francis")</f>
        <v>Lanyo Francis</v>
      </c>
      <c r="G219" s="6" t="str">
        <f>IFERROR(__xludf.DUMMYFUNCTION("vlookup(A219,importrange(""1fyGnaViAX9kns28pvsfPvI9925sAI7kxPlM7jpuHVJM"",""Validation!A:Z""),22,0)"),"Cluster - Devayani")</f>
        <v>Cluster - Devayani</v>
      </c>
      <c r="H219" s="4" t="str">
        <f>IFERROR(__xludf.DUMMYFUNCTION("vlookup(C219,importrange(""1kw74ismGU34AsZ5x-W4x7F3Zt2xc8NSYcCVMrCJBmdQ"",""DRP for 8 products!B:C""),2,0)"),"ONIHGOOT4")</f>
        <v>ONIHGOOT4</v>
      </c>
      <c r="I219" s="7">
        <f>IFERROR(__xludf.DUMMYFUNCTION("vlookup(C219,importrange(""1kw74ismGU34AsZ5x-W4x7F3Zt2xc8NSYcCVMrCJBmdQ"",""DRP for 8 products!B:E""),4,0)"),14.0)</f>
        <v>14</v>
      </c>
      <c r="J219" s="8" t="str">
        <f t="shared" si="1"/>
        <v>Tier 4</v>
      </c>
      <c r="K219" s="9" t="str">
        <f t="shared" si="2"/>
        <v>Active</v>
      </c>
      <c r="L219" s="4" t="str">
        <f>IFERROR(__xludf.DUMMYFUNCTION("vlookup(C219,importrange(""1kw74ismGU34AsZ5x-W4x7F3Zt2xc8NSYcCVMrCJBmdQ"",""DRP for 8 products!B:H""),6,0)"),"BigQuery")</f>
        <v>BigQuery</v>
      </c>
      <c r="M219" s="10" t="str">
        <f t="shared" si="3"/>
        <v>Yes</v>
      </c>
    </row>
    <row r="220">
      <c r="A220" s="4" t="str">
        <f>IFERROR(__xludf.DUMMYFUNCTION("vlookup(C220,IMPORTRANGE(""1Kgoo8qyo6zMtf_5B03ksZz228jg0XpZ4_KXsdHQ4Vks"",""14 Sept!A:B""),2,0)"),"DME2141")</f>
        <v>DME2141</v>
      </c>
      <c r="B220" s="5" t="str">
        <f>IFERROR(__xludf.DUMMYFUNCTION("""COMPUTED_VALUE"""),"Revati Suryawanshi")</f>
        <v>Revati Suryawanshi</v>
      </c>
      <c r="C220" s="5" t="str">
        <f>IFERROR(__xludf.DUMMYFUNCTION("""COMPUTED_VALUE"""),"revati.s@onixnet.com")</f>
        <v>revati.s@onixnet.com</v>
      </c>
      <c r="D220" s="4" t="s">
        <v>11</v>
      </c>
      <c r="E220" s="6" t="str">
        <f>IFERROR(__xludf.DUMMYFUNCTION("vlookup($A220,importrange(""1fyGnaViAX9kns28pvsfPvI9925sAI7kxPlM7jpuHVJM"",""Validation!A:Z""),11,0)"),"Delivery Services")</f>
        <v>Delivery Services</v>
      </c>
      <c r="F220" s="6" t="str">
        <f>IFERROR(__xludf.DUMMYFUNCTION("vlookup($A220,importrange(""1fyGnaViAX9kns28pvsfPvI9925sAI7kxPlM7jpuHVJM"",""Validation!A:Z""),23,0)"),"Kiran Shinde")</f>
        <v>Kiran Shinde</v>
      </c>
      <c r="G220" s="6" t="str">
        <f>IFERROR(__xludf.DUMMYFUNCTION("vlookup(A220,importrange(""1fyGnaViAX9kns28pvsfPvI9925sAI7kxPlM7jpuHVJM"",""Validation!A:Z""),22,0)"),"Cluster - Gaurav")</f>
        <v>Cluster - Gaurav</v>
      </c>
      <c r="H220" s="4" t="str">
        <f>IFERROR(__xludf.DUMMYFUNCTION("vlookup(C220,importrange(""1kw74ismGU34AsZ5x-W4x7F3Zt2xc8NSYcCVMrCJBmdQ"",""DRP for 8 products!B:C""),2,0)"),"ONIRSGME2")</f>
        <v>ONIRSGME2</v>
      </c>
      <c r="I220" s="7">
        <f>IFERROR(__xludf.DUMMYFUNCTION("vlookup(C220,importrange(""1kw74ismGU34AsZ5x-W4x7F3Zt2xc8NSYcCVMrCJBmdQ"",""DRP for 8 products!B:E""),4,0)"),17.0)</f>
        <v>17</v>
      </c>
      <c r="J220" s="8" t="str">
        <f t="shared" si="1"/>
        <v>Tier 4</v>
      </c>
      <c r="K220" s="9" t="str">
        <f t="shared" si="2"/>
        <v>Active</v>
      </c>
      <c r="L220" s="4" t="str">
        <f>IFERROR(__xludf.DUMMYFUNCTION("vlookup(C220,importrange(""1kw74ismGU34AsZ5x-W4x7F3Zt2xc8NSYcCVMrCJBmdQ"",""DRP for 8 products!B:H""),6,0)"),"BigQuery")</f>
        <v>BigQuery</v>
      </c>
      <c r="M220" s="10" t="str">
        <f t="shared" si="3"/>
        <v>Yes</v>
      </c>
    </row>
    <row r="221">
      <c r="A221" s="4" t="str">
        <f>IFERROR(__xludf.DUMMYFUNCTION("vlookup(C221,IMPORTRANGE(""1Kgoo8qyo6zMtf_5B03ksZz228jg0XpZ4_KXsdHQ4Vks"",""14 Sept!A:B""),2,0)"),"ONIX738")</f>
        <v>ONIX738</v>
      </c>
      <c r="B221" s="5" t="str">
        <f>IFERROR(__xludf.DUMMYFUNCTION("""COMPUTED_VALUE"""),"Bimal Mehta")</f>
        <v>Bimal Mehta</v>
      </c>
      <c r="C221" s="5" t="str">
        <f>IFERROR(__xludf.DUMMYFUNCTION("""COMPUTED_VALUE"""),"bimal.mehta@onixnet.com")</f>
        <v>bimal.mehta@onixnet.com</v>
      </c>
      <c r="D221" s="4" t="s">
        <v>11</v>
      </c>
      <c r="E221" s="6" t="str">
        <f>IFERROR(__xludf.DUMMYFUNCTION("vlookup($A221,importrange(""1fyGnaViAX9kns28pvsfPvI9925sAI7kxPlM7jpuHVJM"",""Validation!A:Z""),11,0)"),"Services")</f>
        <v>Services</v>
      </c>
      <c r="F221" s="6" t="str">
        <f>IFERROR(__xludf.DUMMYFUNCTION("vlookup($A221,importrange(""1fyGnaViAX9kns28pvsfPvI9925sAI7kxPlM7jpuHVJM"",""Validation!A:Z""),23,0)"),"Namrata Mehta")</f>
        <v>Namrata Mehta</v>
      </c>
      <c r="G221" s="6" t="str">
        <f>IFERROR(__xludf.DUMMYFUNCTION("vlookup(A221,importrange(""1fyGnaViAX9kns28pvsfPvI9925sAI7kxPlM7jpuHVJM"",""Validation!A:Z""),22,0)"),"Portfolio - Thomas (AI)")</f>
        <v>Portfolio - Thomas (AI)</v>
      </c>
      <c r="H221" s="4" t="str">
        <f>IFERROR(__xludf.DUMMYFUNCTION("vlookup(C221,importrange(""1kw74ismGU34AsZ5x-W4x7F3Zt2xc8NSYcCVMrCJBmdQ"",""DRP for 8 products!B:C""),2,0)"),"ONIBMPEJ5")</f>
        <v>ONIBMPEJ5</v>
      </c>
      <c r="I221" s="7">
        <f>IFERROR(__xludf.DUMMYFUNCTION("vlookup(C221,importrange(""1kw74ismGU34AsZ5x-W4x7F3Zt2xc8NSYcCVMrCJBmdQ"",""DRP for 8 products!B:E""),4,0)"),6.0)</f>
        <v>6</v>
      </c>
      <c r="J221" s="8" t="str">
        <f t="shared" si="1"/>
        <v>Tier 4</v>
      </c>
      <c r="K221" s="9" t="str">
        <f t="shared" si="2"/>
        <v>Active</v>
      </c>
      <c r="L221" s="4" t="str">
        <f>IFERROR(__xludf.DUMMYFUNCTION("vlookup(C221,importrange(""1kw74ismGU34AsZ5x-W4x7F3Zt2xc8NSYcCVMrCJBmdQ"",""DRP for 8 products!B:H""),6,0)"),"AlloyDB for PostgreSQL")</f>
        <v>AlloyDB for PostgreSQL</v>
      </c>
      <c r="M221" s="10" t="str">
        <f t="shared" si="3"/>
        <v>Yes</v>
      </c>
    </row>
    <row r="222">
      <c r="A222" s="4" t="str">
        <f>IFERROR(__xludf.DUMMYFUNCTION("vlookup(C222,IMPORTRANGE(""1Kgoo8qyo6zMtf_5B03ksZz228jg0XpZ4_KXsdHQ4Vks"",""14 Sept!A:B""),2,0)"),"DME1879")</f>
        <v>DME1879</v>
      </c>
      <c r="B222" s="5" t="str">
        <f>IFERROR(__xludf.DUMMYFUNCTION("""COMPUTED_VALUE"""),"Shivam kumar")</f>
        <v>Shivam kumar</v>
      </c>
      <c r="C222" s="5" t="str">
        <f>IFERROR(__xludf.DUMMYFUNCTION("""COMPUTED_VALUE"""),"shivam.kumar@onixnet.com")</f>
        <v>shivam.kumar@onixnet.com</v>
      </c>
      <c r="D222" s="4" t="s">
        <v>11</v>
      </c>
      <c r="E222" s="6" t="str">
        <f>IFERROR(__xludf.DUMMYFUNCTION("vlookup($A222,importrange(""1fyGnaViAX9kns28pvsfPvI9925sAI7kxPlM7jpuHVJM"",""Validation!A:Z""),11,0)"),"Delivery Services")</f>
        <v>Delivery Services</v>
      </c>
      <c r="F222" s="6" t="str">
        <f>IFERROR(__xludf.DUMMYFUNCTION("vlookup($A222,importrange(""1fyGnaViAX9kns28pvsfPvI9925sAI7kxPlM7jpuHVJM"",""Validation!A:Z""),23,0)"),"Vipul Nilapwar")</f>
        <v>Vipul Nilapwar</v>
      </c>
      <c r="G222" s="6" t="str">
        <f>IFERROR(__xludf.DUMMYFUNCTION("vlookup(A222,importrange(""1fyGnaViAX9kns28pvsfPvI9925sAI7kxPlM7jpuHVJM"",""Validation!A:Z""),22,0)"),"Cluster - Sachin")</f>
        <v>Cluster - Sachin</v>
      </c>
      <c r="H222" s="4" t="str">
        <f>IFERROR(__xludf.DUMMYFUNCTION("vlookup(C222,importrange(""1kw74ismGU34AsZ5x-W4x7F3Zt2xc8NSYcCVMrCJBmdQ"",""DRP for 8 products!B:C""),2,0)"),"ONISKYOQ2")</f>
        <v>ONISKYOQ2</v>
      </c>
      <c r="I222" s="7">
        <f>IFERROR(__xludf.DUMMYFUNCTION("vlookup(C222,importrange(""1kw74ismGU34AsZ5x-W4x7F3Zt2xc8NSYcCVMrCJBmdQ"",""DRP for 8 products!B:E""),4,0)"),29.0)</f>
        <v>29</v>
      </c>
      <c r="J222" s="8" t="str">
        <f t="shared" si="1"/>
        <v>Tier 3</v>
      </c>
      <c r="K222" s="9" t="str">
        <f t="shared" si="2"/>
        <v>Active</v>
      </c>
      <c r="L222" s="4" t="str">
        <f>IFERROR(__xludf.DUMMYFUNCTION("vlookup(C222,importrange(""1kw74ismGU34AsZ5x-W4x7F3Zt2xc8NSYcCVMrCJBmdQ"",""DRP for 8 products!B:H""),6,0)"),"BigQuery")</f>
        <v>BigQuery</v>
      </c>
      <c r="M222" s="10" t="str">
        <f t="shared" si="3"/>
        <v>Yes</v>
      </c>
    </row>
    <row r="223">
      <c r="A223" s="4" t="str">
        <f>IFERROR(__xludf.DUMMYFUNCTION("vlookup(C223,IMPORTRANGE(""1Kgoo8qyo6zMtf_5B03ksZz228jg0XpZ4_KXsdHQ4Vks"",""14 Sept!A:B""),2,0)"),"DME3179")</f>
        <v>DME3179</v>
      </c>
      <c r="B223" s="5" t="str">
        <f>IFERROR(__xludf.DUMMYFUNCTION("""COMPUTED_VALUE"""),"Mahesh Hundekar")</f>
        <v>Mahesh Hundekar</v>
      </c>
      <c r="C223" s="5" t="str">
        <f>IFERROR(__xludf.DUMMYFUNCTION("""COMPUTED_VALUE"""),"mahesh.hundekar@onixnet.com")</f>
        <v>mahesh.hundekar@onixnet.com</v>
      </c>
      <c r="D223" s="4" t="s">
        <v>11</v>
      </c>
      <c r="E223" s="6" t="str">
        <f>IFERROR(__xludf.DUMMYFUNCTION("vlookup($A223,importrange(""1fyGnaViAX9kns28pvsfPvI9925sAI7kxPlM7jpuHVJM"",""Validation!A:Z""),11,0)"),"Delivery Services")</f>
        <v>Delivery Services</v>
      </c>
      <c r="F223" s="6" t="str">
        <f>IFERROR(__xludf.DUMMYFUNCTION("vlookup($A223,importrange(""1fyGnaViAX9kns28pvsfPvI9925sAI7kxPlM7jpuHVJM"",""Validation!A:Z""),23,0)"),"Anubhav Sharma")</f>
        <v>Anubhav Sharma</v>
      </c>
      <c r="G223" s="6" t="str">
        <f>IFERROR(__xludf.DUMMYFUNCTION("vlookup(A223,importrange(""1fyGnaViAX9kns28pvsfPvI9925sAI7kxPlM7jpuHVJM"",""Validation!A:Z""),22,0)"),"Cluster - Varun")</f>
        <v>Cluster - Varun</v>
      </c>
      <c r="H223" s="4" t="str">
        <f>IFERROR(__xludf.DUMMYFUNCTION("vlookup(C223,importrange(""1kw74ismGU34AsZ5x-W4x7F3Zt2xc8NSYcCVMrCJBmdQ"",""DRP for 8 products!B:C""),2,0)"),"ONIMHNWM7")</f>
        <v>ONIMHNWM7</v>
      </c>
      <c r="I223" s="7">
        <f>IFERROR(__xludf.DUMMYFUNCTION("vlookup(C223,importrange(""1kw74ismGU34AsZ5x-W4x7F3Zt2xc8NSYcCVMrCJBmdQ"",""DRP for 8 products!B:E""),4,0)"),5.0)</f>
        <v>5</v>
      </c>
      <c r="J223" s="8" t="str">
        <f t="shared" si="1"/>
        <v>Tier 4</v>
      </c>
      <c r="K223" s="9" t="str">
        <f t="shared" si="2"/>
        <v>Active</v>
      </c>
      <c r="L223" s="4" t="str">
        <f>IFERROR(__xludf.DUMMYFUNCTION("vlookup(C223,importrange(""1kw74ismGU34AsZ5x-W4x7F3Zt2xc8NSYcCVMrCJBmdQ"",""DRP for 8 products!B:H""),6,0)"),"BigQuery")</f>
        <v>BigQuery</v>
      </c>
      <c r="M223" s="10" t="str">
        <f t="shared" si="3"/>
        <v>Yes</v>
      </c>
    </row>
    <row r="224">
      <c r="A224" s="4" t="str">
        <f>IFERROR(__xludf.DUMMYFUNCTION("vlookup(C224,IMPORTRANGE(""1Kgoo8qyo6zMtf_5B03ksZz228jg0XpZ4_KXsdHQ4Vks"",""14 Sept!A:B""),2,0)"),"DME3000")</f>
        <v>DME3000</v>
      </c>
      <c r="B224" s="5" t="str">
        <f>IFERROR(__xludf.DUMMYFUNCTION("""COMPUTED_VALUE"""),"Vishal Jeshnani")</f>
        <v>Vishal Jeshnani</v>
      </c>
      <c r="C224" s="5" t="str">
        <f>IFERROR(__xludf.DUMMYFUNCTION("""COMPUTED_VALUE"""),"vishal.jeshnani@onixnet.com")</f>
        <v>vishal.jeshnani@onixnet.com</v>
      </c>
      <c r="D224" s="4" t="s">
        <v>11</v>
      </c>
      <c r="E224" s="6" t="str">
        <f>IFERROR(__xludf.DUMMYFUNCTION("vlookup($A224,importrange(""1fyGnaViAX9kns28pvsfPvI9925sAI7kxPlM7jpuHVJM"",""Validation!A:Z""),11,0)"),"Product Engineering")</f>
        <v>Product Engineering</v>
      </c>
      <c r="F224" s="6" t="str">
        <f>IFERROR(__xludf.DUMMYFUNCTION("vlookup($A224,importrange(""1fyGnaViAX9kns28pvsfPvI9925sAI7kxPlM7jpuHVJM"",""Validation!A:Z""),23,0)"),"Abhishek Pravinkmar Jagtap")</f>
        <v>Abhishek Pravinkmar Jagtap</v>
      </c>
      <c r="G224" s="6" t="str">
        <f>IFERROR(__xludf.DUMMYFUNCTION("vlookup(A224,importrange(""1fyGnaViAX9kns28pvsfPvI9925sAI7kxPlM7jpuHVJM"",""Validation!A:Z""),22,0)"),"Cluster - Mayur")</f>
        <v>Cluster - Mayur</v>
      </c>
      <c r="H224" s="4" t="str">
        <f>IFERROR(__xludf.DUMMYFUNCTION("vlookup(C224,importrange(""1kw74ismGU34AsZ5x-W4x7F3Zt2xc8NSYcCVMrCJBmdQ"",""DRP for 8 products!B:C""),2,0)"),"ONIVJOQY9")</f>
        <v>ONIVJOQY9</v>
      </c>
      <c r="I224" s="7">
        <f>IFERROR(__xludf.DUMMYFUNCTION("vlookup(C224,importrange(""1kw74ismGU34AsZ5x-W4x7F3Zt2xc8NSYcCVMrCJBmdQ"",""DRP for 8 products!B:E""),4,0)"),10.0)</f>
        <v>10</v>
      </c>
      <c r="J224" s="8" t="str">
        <f t="shared" si="1"/>
        <v>Tier 4</v>
      </c>
      <c r="K224" s="9" t="str">
        <f t="shared" si="2"/>
        <v>Active</v>
      </c>
      <c r="L224" s="4" t="str">
        <f>IFERROR(__xludf.DUMMYFUNCTION("vlookup(C224,importrange(""1kw74ismGU34AsZ5x-W4x7F3Zt2xc8NSYcCVMrCJBmdQ"",""DRP for 8 products!B:H""),6,0)"),"AlloyDB for PostgreSQL")</f>
        <v>AlloyDB for PostgreSQL</v>
      </c>
      <c r="M224" s="10" t="str">
        <f t="shared" si="3"/>
        <v>Yes</v>
      </c>
    </row>
    <row r="225">
      <c r="A225" s="4" t="str">
        <f>IFERROR(__xludf.DUMMYFUNCTION("vlookup(C225,IMPORTRANGE(""1Kgoo8qyo6zMtf_5B03ksZz228jg0XpZ4_KXsdHQ4Vks"",""14 Sept!A:B""),2,0)"),"ONIX874")</f>
        <v>ONIX874</v>
      </c>
      <c r="B225" s="5" t="str">
        <f>IFERROR(__xludf.DUMMYFUNCTION("""COMPUTED_VALUE"""),"Sandeep Deorukhakar")</f>
        <v>Sandeep Deorukhakar</v>
      </c>
      <c r="C225" s="5" t="str">
        <f>IFERROR(__xludf.DUMMYFUNCTION("""COMPUTED_VALUE"""),"sandeep.deorukhakar@onixnet.com")</f>
        <v>sandeep.deorukhakar@onixnet.com</v>
      </c>
      <c r="D225" s="4" t="s">
        <v>11</v>
      </c>
      <c r="E225" s="6" t="str">
        <f>IFERROR(__xludf.DUMMYFUNCTION("vlookup($A225,importrange(""1fyGnaViAX9kns28pvsfPvI9925sAI7kxPlM7jpuHVJM"",""Validation!A:Z""),11,0)"),"Delivery Services")</f>
        <v>Delivery Services</v>
      </c>
      <c r="F225" s="6" t="str">
        <f>IFERROR(__xludf.DUMMYFUNCTION("vlookup($A225,importrange(""1fyGnaViAX9kns28pvsfPvI9925sAI7kxPlM7jpuHVJM"",""Validation!A:Z""),23,0)"),"Pawan Kamat")</f>
        <v>Pawan Kamat</v>
      </c>
      <c r="G225" s="6" t="str">
        <f>IFERROR(__xludf.DUMMYFUNCTION("vlookup(A225,importrange(""1fyGnaViAX9kns28pvsfPvI9925sAI7kxPlM7jpuHVJM"",""Validation!A:Z""),22,0)"),"Portfolio - Kanth")</f>
        <v>Portfolio - Kanth</v>
      </c>
      <c r="H225" s="4" t="str">
        <f>IFERROR(__xludf.DUMMYFUNCTION("vlookup(C225,importrange(""1kw74ismGU34AsZ5x-W4x7F3Zt2xc8NSYcCVMrCJBmdQ"",""DRP for 8 products!B:C""),2,0)"),"ONISDLHZ7")</f>
        <v>ONISDLHZ7</v>
      </c>
      <c r="I225" s="7">
        <f>IFERROR(__xludf.DUMMYFUNCTION("vlookup(C225,importrange(""1kw74ismGU34AsZ5x-W4x7F3Zt2xc8NSYcCVMrCJBmdQ"",""DRP for 8 products!B:E""),4,0)"),5.0)</f>
        <v>5</v>
      </c>
      <c r="J225" s="8" t="str">
        <f t="shared" si="1"/>
        <v>Tier 4</v>
      </c>
      <c r="K225" s="9" t="str">
        <f t="shared" si="2"/>
        <v>Active</v>
      </c>
      <c r="L225" s="4" t="str">
        <f>IFERROR(__xludf.DUMMYFUNCTION("vlookup(C225,importrange(""1kw74ismGU34AsZ5x-W4x7F3Zt2xc8NSYcCVMrCJBmdQ"",""DRP for 8 products!B:H""),6,0)"),"BigQuery")</f>
        <v>BigQuery</v>
      </c>
      <c r="M225" s="10" t="str">
        <f t="shared" si="3"/>
        <v>Yes</v>
      </c>
    </row>
    <row r="226">
      <c r="A226" s="4" t="str">
        <f>IFERROR(__xludf.DUMMYFUNCTION("vlookup(C226,IMPORTRANGE(""1Kgoo8qyo6zMtf_5B03ksZz228jg0XpZ4_KXsdHQ4Vks"",""14 Sept!A:B""),2,0)"),"DME2918")</f>
        <v>DME2918</v>
      </c>
      <c r="B226" s="5" t="str">
        <f>IFERROR(__xludf.DUMMYFUNCTION("""COMPUTED_VALUE"""),"Arpita Dwivedi")</f>
        <v>Arpita Dwivedi</v>
      </c>
      <c r="C226" s="5" t="str">
        <f>IFERROR(__xludf.DUMMYFUNCTION("""COMPUTED_VALUE"""),"arpita.dwivedi@onixnet.com")</f>
        <v>arpita.dwivedi@onixnet.com</v>
      </c>
      <c r="D226" s="4" t="s">
        <v>11</v>
      </c>
      <c r="E226" s="6" t="str">
        <f>IFERROR(__xludf.DUMMYFUNCTION("vlookup($A226,importrange(""1fyGnaViAX9kns28pvsfPvI9925sAI7kxPlM7jpuHVJM"",""Validation!A:Z""),11,0)"),"Delivery Services")</f>
        <v>Delivery Services</v>
      </c>
      <c r="F226" s="6" t="str">
        <f>IFERROR(__xludf.DUMMYFUNCTION("vlookup($A226,importrange(""1fyGnaViAX9kns28pvsfPvI9925sAI7kxPlM7jpuHVJM"",""Validation!A:Z""),23,0)"),"Priyanka Jain")</f>
        <v>Priyanka Jain</v>
      </c>
      <c r="G226" s="6" t="str">
        <f>IFERROR(__xludf.DUMMYFUNCTION("vlookup(A226,importrange(""1fyGnaViAX9kns28pvsfPvI9925sAI7kxPlM7jpuHVJM"",""Validation!A:Z""),22,0)"),"Cluster - Sagar")</f>
        <v>Cluster - Sagar</v>
      </c>
      <c r="H226" s="4" t="str">
        <f>IFERROR(__xludf.DUMMYFUNCTION("vlookup(C226,importrange(""1kw74ismGU34AsZ5x-W4x7F3Zt2xc8NSYcCVMrCJBmdQ"",""DRP for 8 products!B:C""),2,0)"),"ONIADXNQ7")</f>
        <v>ONIADXNQ7</v>
      </c>
      <c r="I226" s="7">
        <f>IFERROR(__xludf.DUMMYFUNCTION("vlookup(C226,importrange(""1kw74ismGU34AsZ5x-W4x7F3Zt2xc8NSYcCVMrCJBmdQ"",""DRP for 8 products!B:E""),4,0)"),14.0)</f>
        <v>14</v>
      </c>
      <c r="J226" s="8" t="str">
        <f t="shared" si="1"/>
        <v>Tier 4</v>
      </c>
      <c r="K226" s="9" t="str">
        <f t="shared" si="2"/>
        <v>Active</v>
      </c>
      <c r="L226" s="4" t="str">
        <f>IFERROR(__xludf.DUMMYFUNCTION("vlookup(C226,importrange(""1kw74ismGU34AsZ5x-W4x7F3Zt2xc8NSYcCVMrCJBmdQ"",""DRP for 8 products!B:H""),6,0)"),"BigQuery")</f>
        <v>BigQuery</v>
      </c>
      <c r="M226" s="10" t="str">
        <f t="shared" si="3"/>
        <v>Yes</v>
      </c>
    </row>
    <row r="227">
      <c r="A227" s="4" t="str">
        <f>IFERROR(__xludf.DUMMYFUNCTION("vlookup(C227,IMPORTRANGE(""1Kgoo8qyo6zMtf_5B03ksZz228jg0XpZ4_KXsdHQ4Vks"",""14 Sept!A:B""),2,0)"),"DME3256")</f>
        <v>DME3256</v>
      </c>
      <c r="B227" s="5" t="str">
        <f>IFERROR(__xludf.DUMMYFUNCTION("""COMPUTED_VALUE"""),"Atharva Deshpande")</f>
        <v>Atharva Deshpande</v>
      </c>
      <c r="C227" s="5" t="str">
        <f>IFERROR(__xludf.DUMMYFUNCTION("""COMPUTED_VALUE"""),"atharva.deshpande@onixnet.com")</f>
        <v>atharva.deshpande@onixnet.com</v>
      </c>
      <c r="D227" s="4" t="s">
        <v>11</v>
      </c>
      <c r="E227" s="6" t="str">
        <f>IFERROR(__xludf.DUMMYFUNCTION("vlookup($A227,importrange(""1fyGnaViAX9kns28pvsfPvI9925sAI7kxPlM7jpuHVJM"",""Validation!A:Z""),11,0)"),"Product Engineering")</f>
        <v>Product Engineering</v>
      </c>
      <c r="F227" s="6" t="str">
        <f>IFERROR(__xludf.DUMMYFUNCTION("vlookup($A227,importrange(""1fyGnaViAX9kns28pvsfPvI9925sAI7kxPlM7jpuHVJM"",""Validation!A:Z""),23,0)"),"Kamlesh Kumar")</f>
        <v>Kamlesh Kumar</v>
      </c>
      <c r="G227" s="6" t="str">
        <f>IFERROR(__xludf.DUMMYFUNCTION("vlookup(A227,importrange(""1fyGnaViAX9kns28pvsfPvI9925sAI7kxPlM7jpuHVJM"",""Validation!A:Z""),22,0)"),"Cluster - Mayur")</f>
        <v>Cluster - Mayur</v>
      </c>
      <c r="H227" s="4" t="str">
        <f>IFERROR(__xludf.DUMMYFUNCTION("vlookup(C227,importrange(""1kw74ismGU34AsZ5x-W4x7F3Zt2xc8NSYcCVMrCJBmdQ"",""DRP for 8 products!B:C""),2,0)"),"ONIADOAC6")</f>
        <v>ONIADOAC6</v>
      </c>
      <c r="I227" s="7">
        <f>IFERROR(__xludf.DUMMYFUNCTION("vlookup(C227,importrange(""1kw74ismGU34AsZ5x-W4x7F3Zt2xc8NSYcCVMrCJBmdQ"",""DRP for 8 products!B:E""),4,0)"),10.0)</f>
        <v>10</v>
      </c>
      <c r="J227" s="8" t="str">
        <f t="shared" si="1"/>
        <v>Tier 4</v>
      </c>
      <c r="K227" s="9" t="str">
        <f t="shared" si="2"/>
        <v>Active</v>
      </c>
      <c r="L227" s="4" t="str">
        <f>IFERROR(__xludf.DUMMYFUNCTION("vlookup(C227,importrange(""1kw74ismGU34AsZ5x-W4x7F3Zt2xc8NSYcCVMrCJBmdQ"",""DRP for 8 products!B:H""),6,0)"),"BigQuery")</f>
        <v>BigQuery</v>
      </c>
      <c r="M227" s="10" t="str">
        <f t="shared" si="3"/>
        <v>Yes</v>
      </c>
    </row>
    <row r="228">
      <c r="A228" s="4" t="str">
        <f>IFERROR(__xludf.DUMMYFUNCTION("vlookup(C228,IMPORTRANGE(""1Kgoo8qyo6zMtf_5B03ksZz228jg0XpZ4_KXsdHQ4Vks"",""14 Sept!A:B""),2,0)"),"DME2633")</f>
        <v>DME2633</v>
      </c>
      <c r="B228" s="5" t="str">
        <f>IFERROR(__xludf.DUMMYFUNCTION("""COMPUTED_VALUE"""),"Aditya Chavan")</f>
        <v>Aditya Chavan</v>
      </c>
      <c r="C228" s="5" t="str">
        <f>IFERROR(__xludf.DUMMYFUNCTION("""COMPUTED_VALUE"""),"aditya.chavan@onixnet.com")</f>
        <v>aditya.chavan@onixnet.com</v>
      </c>
      <c r="D228" s="4" t="s">
        <v>11</v>
      </c>
      <c r="E228" s="6" t="str">
        <f>IFERROR(__xludf.DUMMYFUNCTION("vlookup($A228,importrange(""1fyGnaViAX9kns28pvsfPvI9925sAI7kxPlM7jpuHVJM"",""Validation!A:Z""),11,0)"),"Delivery Services")</f>
        <v>Delivery Services</v>
      </c>
      <c r="F228" s="6" t="str">
        <f>IFERROR(__xludf.DUMMYFUNCTION("vlookup($A228,importrange(""1fyGnaViAX9kns28pvsfPvI9925sAI7kxPlM7jpuHVJM"",""Validation!A:Z""),23,0)"),"Prabhat Jain")</f>
        <v>Prabhat Jain</v>
      </c>
      <c r="G228" s="6" t="str">
        <f>IFERROR(__xludf.DUMMYFUNCTION("vlookup(A228,importrange(""1fyGnaViAX9kns28pvsfPvI9925sAI7kxPlM7jpuHVJM"",""Validation!A:Z""),22,0)"),"Cluster - Gaurav")</f>
        <v>Cluster - Gaurav</v>
      </c>
      <c r="H228" s="4" t="str">
        <f>IFERROR(__xludf.DUMMYFUNCTION("vlookup(C228,importrange(""1kw74ismGU34AsZ5x-W4x7F3Zt2xc8NSYcCVMrCJBmdQ"",""DRP for 8 products!B:C""),2,0)"),"ONIACTRK7")</f>
        <v>ONIACTRK7</v>
      </c>
      <c r="I228" s="7">
        <f>IFERROR(__xludf.DUMMYFUNCTION("vlookup(C228,importrange(""1kw74ismGU34AsZ5x-W4x7F3Zt2xc8NSYcCVMrCJBmdQ"",""DRP for 8 products!B:E""),4,0)"),12.0)</f>
        <v>12</v>
      </c>
      <c r="J228" s="8" t="str">
        <f t="shared" si="1"/>
        <v>Tier 4</v>
      </c>
      <c r="K228" s="9" t="str">
        <f t="shared" si="2"/>
        <v>Active</v>
      </c>
      <c r="L228" s="4" t="str">
        <f>IFERROR(__xludf.DUMMYFUNCTION("vlookup(C228,importrange(""1kw74ismGU34AsZ5x-W4x7F3Zt2xc8NSYcCVMrCJBmdQ"",""DRP for 8 products!B:H""),6,0)"),"AlloyDB for PostgreSQL")</f>
        <v>AlloyDB for PostgreSQL</v>
      </c>
      <c r="M228" s="10" t="str">
        <f t="shared" si="3"/>
        <v>Yes</v>
      </c>
    </row>
    <row r="229">
      <c r="A229" s="4" t="str">
        <f>IFERROR(__xludf.DUMMYFUNCTION("vlookup(C229,IMPORTRANGE(""1Kgoo8qyo6zMtf_5B03ksZz228jg0XpZ4_KXsdHQ4Vks"",""14 Sept!A:B""),2,0)"),"DME3160")</f>
        <v>DME3160</v>
      </c>
      <c r="B229" s="5" t="str">
        <f>IFERROR(__xludf.DUMMYFUNCTION("""COMPUTED_VALUE"""),"Chandra Vardhan Akula")</f>
        <v>Chandra Vardhan Akula</v>
      </c>
      <c r="C229" s="5" t="str">
        <f>IFERROR(__xludf.DUMMYFUNCTION("""COMPUTED_VALUE"""),"chandra.akula@onixnet.com")</f>
        <v>chandra.akula@onixnet.com</v>
      </c>
      <c r="D229" s="4" t="s">
        <v>11</v>
      </c>
      <c r="E229" s="6" t="str">
        <f>IFERROR(__xludf.DUMMYFUNCTION("vlookup($A229,importrange(""1fyGnaViAX9kns28pvsfPvI9925sAI7kxPlM7jpuHVJM"",""Validation!A:Z""),11,0)"),"Delivery Services")</f>
        <v>Delivery Services</v>
      </c>
      <c r="F229" s="6" t="str">
        <f>IFERROR(__xludf.DUMMYFUNCTION("vlookup($A229,importrange(""1fyGnaViAX9kns28pvsfPvI9925sAI7kxPlM7jpuHVJM"",""Validation!A:Z""),23,0)"),"Sadupati Ashok Kumar")</f>
        <v>Sadupati Ashok Kumar</v>
      </c>
      <c r="G229" s="6" t="str">
        <f>IFERROR(__xludf.DUMMYFUNCTION("vlookup(A229,importrange(""1fyGnaViAX9kns28pvsfPvI9925sAI7kxPlM7jpuHVJM"",""Validation!A:Z""),22,0)"),"Cluster - Shreepad")</f>
        <v>Cluster - Shreepad</v>
      </c>
      <c r="H229" s="4" t="str">
        <f>IFERROR(__xludf.DUMMYFUNCTION("vlookup(C229,importrange(""1kw74ismGU34AsZ5x-W4x7F3Zt2xc8NSYcCVMrCJBmdQ"",""DRP for 8 products!B:C""),2,0)"),"ONICAARO7")</f>
        <v>ONICAARO7</v>
      </c>
      <c r="I229" s="7">
        <f>IFERROR(__xludf.DUMMYFUNCTION("vlookup(C229,importrange(""1kw74ismGU34AsZ5x-W4x7F3Zt2xc8NSYcCVMrCJBmdQ"",""DRP for 8 products!B:E""),4,0)"),13.0)</f>
        <v>13</v>
      </c>
      <c r="J229" s="8" t="str">
        <f t="shared" si="1"/>
        <v>Tier 4</v>
      </c>
      <c r="K229" s="9" t="str">
        <f t="shared" si="2"/>
        <v>Active</v>
      </c>
      <c r="L229" s="4" t="str">
        <f>IFERROR(__xludf.DUMMYFUNCTION("vlookup(C229,importrange(""1kw74ismGU34AsZ5x-W4x7F3Zt2xc8NSYcCVMrCJBmdQ"",""DRP for 8 products!B:H""),6,0)"),"BigQuery")</f>
        <v>BigQuery</v>
      </c>
      <c r="M229" s="10" t="str">
        <f t="shared" si="3"/>
        <v>Yes</v>
      </c>
    </row>
    <row r="230">
      <c r="A230" s="4" t="str">
        <f>IFERROR(__xludf.DUMMYFUNCTION("vlookup(C230,IMPORTRANGE(""1Kgoo8qyo6zMtf_5B03ksZz228jg0XpZ4_KXsdHQ4Vks"",""14 Sept!A:B""),2,0)"),"ONIX897")</f>
        <v>ONIX897</v>
      </c>
      <c r="B230" s="5" t="str">
        <f>IFERROR(__xludf.DUMMYFUNCTION("""COMPUTED_VALUE"""),"Alex Tate-Moffo")</f>
        <v>Alex Tate-Moffo</v>
      </c>
      <c r="C230" s="5" t="str">
        <f>IFERROR(__xludf.DUMMYFUNCTION("""COMPUTED_VALUE"""),"alex.tatemoffo@onixnet.com")</f>
        <v>alex.tatemoffo@onixnet.com</v>
      </c>
      <c r="D230" s="4" t="s">
        <v>11</v>
      </c>
      <c r="E230" s="6" t="str">
        <f>IFERROR(__xludf.DUMMYFUNCTION("vlookup($A230,importrange(""1fyGnaViAX9kns28pvsfPvI9925sAI7kxPlM7jpuHVJM"",""Validation!A:Z""),11,0)"),"Delivery Services")</f>
        <v>Delivery Services</v>
      </c>
      <c r="F230" s="6" t="str">
        <f>IFERROR(__xludf.DUMMYFUNCTION("vlookup($A230,importrange(""1fyGnaViAX9kns28pvsfPvI9925sAI7kxPlM7jpuHVJM"",""Validation!A:Z""),23,0)"),"James Vandermost")</f>
        <v>James Vandermost</v>
      </c>
      <c r="G230" s="6" t="str">
        <f>IFERROR(__xludf.DUMMYFUNCTION("vlookup(A230,importrange(""1fyGnaViAX9kns28pvsfPvI9925sAI7kxPlM7jpuHVJM"",""Validation!A:Z""),22,0)"),"Portfolio - Rick")</f>
        <v>Portfolio - Rick</v>
      </c>
      <c r="H230" s="4" t="str">
        <f>IFERROR(__xludf.DUMMYFUNCTION("vlookup(C230,importrange(""1kw74ismGU34AsZ5x-W4x7F3Zt2xc8NSYcCVMrCJBmdQ"",""DRP for 8 products!B:C""),2,0)"),"ONIATOMB8")</f>
        <v>ONIATOMB8</v>
      </c>
      <c r="I230" s="7">
        <f>IFERROR(__xludf.DUMMYFUNCTION("vlookup(C230,importrange(""1kw74ismGU34AsZ5x-W4x7F3Zt2xc8NSYcCVMrCJBmdQ"",""DRP for 8 products!B:E""),4,0)"),19.0)</f>
        <v>19</v>
      </c>
      <c r="J230" s="8" t="str">
        <f t="shared" si="1"/>
        <v>Tier 4</v>
      </c>
      <c r="K230" s="9" t="str">
        <f t="shared" si="2"/>
        <v>Active</v>
      </c>
      <c r="L230" s="4" t="str">
        <f>IFERROR(__xludf.DUMMYFUNCTION("vlookup(C230,importrange(""1kw74ismGU34AsZ5x-W4x7F3Zt2xc8NSYcCVMrCJBmdQ"",""DRP for 8 products!B:H""),6,0)"),"AlloyDB for PostgreSQL")</f>
        <v>AlloyDB for PostgreSQL</v>
      </c>
      <c r="M230" s="10" t="str">
        <f t="shared" si="3"/>
        <v>Yes</v>
      </c>
    </row>
    <row r="231">
      <c r="A231" s="4" t="str">
        <f>IFERROR(__xludf.DUMMYFUNCTION("vlookup(C231,IMPORTRANGE(""1Kgoo8qyo6zMtf_5B03ksZz228jg0XpZ4_KXsdHQ4Vks"",""14 Sept!A:B""),2,0)"),"DME2273")</f>
        <v>DME2273</v>
      </c>
      <c r="B231" s="5" t="str">
        <f>IFERROR(__xludf.DUMMYFUNCTION("""COMPUTED_VALUE"""),"Shraddha Gorhe")</f>
        <v>Shraddha Gorhe</v>
      </c>
      <c r="C231" s="5" t="str">
        <f>IFERROR(__xludf.DUMMYFUNCTION("""COMPUTED_VALUE"""),"shraddha.gorhe@onixnet.com")</f>
        <v>shraddha.gorhe@onixnet.com</v>
      </c>
      <c r="D231" s="4" t="s">
        <v>11</v>
      </c>
      <c r="E231" s="6" t="str">
        <f>IFERROR(__xludf.DUMMYFUNCTION("vlookup($A231,importrange(""1fyGnaViAX9kns28pvsfPvI9925sAI7kxPlM7jpuHVJM"",""Validation!A:Z""),11,0)"),"Delivery Services")</f>
        <v>Delivery Services</v>
      </c>
      <c r="F231" s="6" t="str">
        <f>IFERROR(__xludf.DUMMYFUNCTION("vlookup($A231,importrange(""1fyGnaViAX9kns28pvsfPvI9925sAI7kxPlM7jpuHVJM"",""Validation!A:Z""),23,0)"),"Kiran Shinde")</f>
        <v>Kiran Shinde</v>
      </c>
      <c r="G231" s="6" t="str">
        <f>IFERROR(__xludf.DUMMYFUNCTION("vlookup(A231,importrange(""1fyGnaViAX9kns28pvsfPvI9925sAI7kxPlM7jpuHVJM"",""Validation!A:Z""),22,0)"),"Cluster - Gaurav")</f>
        <v>Cluster - Gaurav</v>
      </c>
      <c r="H231" s="4" t="str">
        <f>IFERROR(__xludf.DUMMYFUNCTION("vlookup(C231,importrange(""1kw74ismGU34AsZ5x-W4x7F3Zt2xc8NSYcCVMrCJBmdQ"",""DRP for 8 products!B:C""),2,0)"),"ONISGGOJ8")</f>
        <v>ONISGGOJ8</v>
      </c>
      <c r="I231" s="7">
        <f>IFERROR(__xludf.DUMMYFUNCTION("vlookup(C231,importrange(""1kw74ismGU34AsZ5x-W4x7F3Zt2xc8NSYcCVMrCJBmdQ"",""DRP for 8 products!B:E""),4,0)"),13.0)</f>
        <v>13</v>
      </c>
      <c r="J231" s="8" t="str">
        <f t="shared" si="1"/>
        <v>Tier 4</v>
      </c>
      <c r="K231" s="9" t="str">
        <f t="shared" si="2"/>
        <v>Active</v>
      </c>
      <c r="L231" s="4" t="str">
        <f>IFERROR(__xludf.DUMMYFUNCTION("vlookup(C231,importrange(""1kw74ismGU34AsZ5x-W4x7F3Zt2xc8NSYcCVMrCJBmdQ"",""DRP for 8 products!B:H""),6,0)"),"BigQuery")</f>
        <v>BigQuery</v>
      </c>
      <c r="M231" s="10" t="str">
        <f t="shared" si="3"/>
        <v>Yes</v>
      </c>
    </row>
    <row r="232">
      <c r="A232" s="4" t="str">
        <f>IFERROR(__xludf.DUMMYFUNCTION("vlookup(C232,IMPORTRANGE(""1Kgoo8qyo6zMtf_5B03ksZz228jg0XpZ4_KXsdHQ4Vks"",""14 Sept!A:B""),2,0)"),"DME3024")</f>
        <v>DME3024</v>
      </c>
      <c r="B232" s="5" t="str">
        <f>IFERROR(__xludf.DUMMYFUNCTION("""COMPUTED_VALUE"""),"Nehal Kulkarni")</f>
        <v>Nehal Kulkarni</v>
      </c>
      <c r="C232" s="5" t="str">
        <f>IFERROR(__xludf.DUMMYFUNCTION("""COMPUTED_VALUE"""),"nehal.kulkarni@onixnet.com")</f>
        <v>nehal.kulkarni@onixnet.com</v>
      </c>
      <c r="D232" s="4" t="s">
        <v>11</v>
      </c>
      <c r="E232" s="6" t="str">
        <f>IFERROR(__xludf.DUMMYFUNCTION("vlookup($A232,importrange(""1fyGnaViAX9kns28pvsfPvI9925sAI7kxPlM7jpuHVJM"",""Validation!A:Z""),11,0)"),"Delivery Services")</f>
        <v>Delivery Services</v>
      </c>
      <c r="F232" s="6" t="str">
        <f>IFERROR(__xludf.DUMMYFUNCTION("vlookup($A232,importrange(""1fyGnaViAX9kns28pvsfPvI9925sAI7kxPlM7jpuHVJM"",""Validation!A:Z""),23,0)"),"Jitender Singh")</f>
        <v>Jitender Singh</v>
      </c>
      <c r="G232" s="6" t="str">
        <f>IFERROR(__xludf.DUMMYFUNCTION("vlookup(A232,importrange(""1fyGnaViAX9kns28pvsfPvI9925sAI7kxPlM7jpuHVJM"",""Validation!A:Z""),22,0)"),"Cluster - Gaurav")</f>
        <v>Cluster - Gaurav</v>
      </c>
      <c r="H232" s="4" t="str">
        <f>IFERROR(__xludf.DUMMYFUNCTION("vlookup(C232,importrange(""1kw74ismGU34AsZ5x-W4x7F3Zt2xc8NSYcCVMrCJBmdQ"",""DRP for 8 products!B:C""),2,0)"),"ONINKQKW9")</f>
        <v>ONINKQKW9</v>
      </c>
      <c r="I232" s="7">
        <f>IFERROR(__xludf.DUMMYFUNCTION("vlookup(C232,importrange(""1kw74ismGU34AsZ5x-W4x7F3Zt2xc8NSYcCVMrCJBmdQ"",""DRP for 8 products!B:E""),4,0)"),19.0)</f>
        <v>19</v>
      </c>
      <c r="J232" s="8" t="str">
        <f t="shared" si="1"/>
        <v>Tier 4</v>
      </c>
      <c r="K232" s="9" t="str">
        <f t="shared" si="2"/>
        <v>Active</v>
      </c>
      <c r="L232" s="4" t="str">
        <f>IFERROR(__xludf.DUMMYFUNCTION("vlookup(C232,importrange(""1kw74ismGU34AsZ5x-W4x7F3Zt2xc8NSYcCVMrCJBmdQ"",""DRP for 8 products!B:H""),6,0)"),"BigQuery")</f>
        <v>BigQuery</v>
      </c>
      <c r="M232" s="10" t="str">
        <f t="shared" si="3"/>
        <v>Yes</v>
      </c>
    </row>
    <row r="233">
      <c r="A233" s="4" t="str">
        <f>IFERROR(__xludf.DUMMYFUNCTION("vlookup(C233,IMPORTRANGE(""1Kgoo8qyo6zMtf_5B03ksZz228jg0XpZ4_KXsdHQ4Vks"",""14 Sept!A:B""),2,0)"),"DME2401")</f>
        <v>DME2401</v>
      </c>
      <c r="B233" s="5" t="str">
        <f>IFERROR(__xludf.DUMMYFUNCTION("""COMPUTED_VALUE"""),"manikanta raja")</f>
        <v>manikanta raja</v>
      </c>
      <c r="C233" s="5" t="str">
        <f>IFERROR(__xludf.DUMMYFUNCTION("""COMPUTED_VALUE"""),"manikanta.raja@onixnet.com")</f>
        <v>manikanta.raja@onixnet.com</v>
      </c>
      <c r="D233" s="4" t="s">
        <v>11</v>
      </c>
      <c r="E233" s="6" t="str">
        <f>IFERROR(__xludf.DUMMYFUNCTION("vlookup($A233,importrange(""1fyGnaViAX9kns28pvsfPvI9925sAI7kxPlM7jpuHVJM"",""Validation!A:Z""),11,0)"),"Delivery Services")</f>
        <v>Delivery Services</v>
      </c>
      <c r="F233" s="6" t="str">
        <f>IFERROR(__xludf.DUMMYFUNCTION("vlookup($A233,importrange(""1fyGnaViAX9kns28pvsfPvI9925sAI7kxPlM7jpuHVJM"",""Validation!A:Z""),23,0)"),"Sheela Sawant")</f>
        <v>Sheela Sawant</v>
      </c>
      <c r="G233" s="6" t="str">
        <f>IFERROR(__xludf.DUMMYFUNCTION("vlookup(A233,importrange(""1fyGnaViAX9kns28pvsfPvI9925sAI7kxPlM7jpuHVJM"",""Validation!A:Z""),22,0)"),"Cluster - Sagar")</f>
        <v>Cluster - Sagar</v>
      </c>
      <c r="H233" s="4" t="str">
        <f>IFERROR(__xludf.DUMMYFUNCTION("vlookup(C233,importrange(""1kw74ismGU34AsZ5x-W4x7F3Zt2xc8NSYcCVMrCJBmdQ"",""DRP for 8 products!B:C""),2,0)"),"ONIMRMRS4")</f>
        <v>ONIMRMRS4</v>
      </c>
      <c r="I233" s="7">
        <f>IFERROR(__xludf.DUMMYFUNCTION("vlookup(C233,importrange(""1kw74ismGU34AsZ5x-W4x7F3Zt2xc8NSYcCVMrCJBmdQ"",""DRP for 8 products!B:E""),4,0)"),5.0)</f>
        <v>5</v>
      </c>
      <c r="J233" s="8" t="str">
        <f t="shared" si="1"/>
        <v>Tier 4</v>
      </c>
      <c r="K233" s="9" t="str">
        <f t="shared" si="2"/>
        <v>Active</v>
      </c>
      <c r="L233" s="4" t="str">
        <f>IFERROR(__xludf.DUMMYFUNCTION("vlookup(C233,importrange(""1kw74ismGU34AsZ5x-W4x7F3Zt2xc8NSYcCVMrCJBmdQ"",""DRP for 8 products!B:H""),6,0)"),"Looker")</f>
        <v>Looker</v>
      </c>
      <c r="M233" s="10" t="str">
        <f t="shared" si="3"/>
        <v>Yes</v>
      </c>
    </row>
    <row r="234">
      <c r="A234" s="4" t="str">
        <f>IFERROR(__xludf.DUMMYFUNCTION("vlookup(C234,IMPORTRANGE(""1Kgoo8qyo6zMtf_5B03ksZz228jg0XpZ4_KXsdHQ4Vks"",""14 Sept!A:B""),2,0)"),"DME2266")</f>
        <v>DME2266</v>
      </c>
      <c r="B234" s="5" t="str">
        <f>IFERROR(__xludf.DUMMYFUNCTION("""COMPUTED_VALUE"""),"Sneha Bhatambrekar")</f>
        <v>Sneha Bhatambrekar</v>
      </c>
      <c r="C234" s="5" t="str">
        <f>IFERROR(__xludf.DUMMYFUNCTION("""COMPUTED_VALUE"""),"sneha.b@onixnet.com")</f>
        <v>sneha.b@onixnet.com</v>
      </c>
      <c r="D234" s="4" t="s">
        <v>11</v>
      </c>
      <c r="E234" s="6" t="str">
        <f>IFERROR(__xludf.DUMMYFUNCTION("vlookup($A234,importrange(""1fyGnaViAX9kns28pvsfPvI9925sAI7kxPlM7jpuHVJM"",""Validation!A:Z""),11,0)"),"Delivery Services")</f>
        <v>Delivery Services</v>
      </c>
      <c r="F234" s="6" t="str">
        <f>IFERROR(__xludf.DUMMYFUNCTION("vlookup($A234,importrange(""1fyGnaViAX9kns28pvsfPvI9925sAI7kxPlM7jpuHVJM"",""Validation!A:Z""),23,0)"),"Arabi Mohammed")</f>
        <v>Arabi Mohammed</v>
      </c>
      <c r="G234" s="6" t="str">
        <f>IFERROR(__xludf.DUMMYFUNCTION("vlookup(A234,importrange(""1fyGnaViAX9kns28pvsfPvI9925sAI7kxPlM7jpuHVJM"",""Validation!A:Z""),22,0)"),"Cluster - Sandeep")</f>
        <v>Cluster - Sandeep</v>
      </c>
      <c r="H234" s="4" t="str">
        <f>IFERROR(__xludf.DUMMYFUNCTION("vlookup(C234,importrange(""1kw74ismGU34AsZ5x-W4x7F3Zt2xc8NSYcCVMrCJBmdQ"",""DRP for 8 products!B:C""),2,0)"),"ONISBSLK0")</f>
        <v>ONISBSLK0</v>
      </c>
      <c r="I234" s="7">
        <f>IFERROR(__xludf.DUMMYFUNCTION("vlookup(C234,importrange(""1kw74ismGU34AsZ5x-W4x7F3Zt2xc8NSYcCVMrCJBmdQ"",""DRP for 8 products!B:E""),4,0)"),9.0)</f>
        <v>9</v>
      </c>
      <c r="J234" s="8" t="str">
        <f t="shared" si="1"/>
        <v>Tier 4</v>
      </c>
      <c r="K234" s="9" t="str">
        <f t="shared" si="2"/>
        <v>Active</v>
      </c>
      <c r="L234" s="4" t="str">
        <f>IFERROR(__xludf.DUMMYFUNCTION("vlookup(C234,importrange(""1kw74ismGU34AsZ5x-W4x7F3Zt2xc8NSYcCVMrCJBmdQ"",""DRP for 8 products!B:H""),6,0)"),"BigQuery")</f>
        <v>BigQuery</v>
      </c>
      <c r="M234" s="10" t="str">
        <f t="shared" si="3"/>
        <v>Yes</v>
      </c>
    </row>
    <row r="235">
      <c r="A235" s="4" t="str">
        <f>IFERROR(__xludf.DUMMYFUNCTION("vlookup(C235,IMPORTRANGE(""1Kgoo8qyo6zMtf_5B03ksZz228jg0XpZ4_KXsdHQ4Vks"",""14 Sept!A:B""),2,0)"),"DME2028")</f>
        <v>DME2028</v>
      </c>
      <c r="B235" s="5" t="str">
        <f>IFERROR(__xludf.DUMMYFUNCTION("""COMPUTED_VALUE"""),"Pratiksha Patange")</f>
        <v>Pratiksha Patange</v>
      </c>
      <c r="C235" s="5" t="str">
        <f>IFERROR(__xludf.DUMMYFUNCTION("""COMPUTED_VALUE"""),"pratiksha.patange@onixnet.com")</f>
        <v>pratiksha.patange@onixnet.com</v>
      </c>
      <c r="D235" s="4" t="s">
        <v>11</v>
      </c>
      <c r="E235" s="6" t="str">
        <f>IFERROR(__xludf.DUMMYFUNCTION("vlookup($A235,importrange(""1fyGnaViAX9kns28pvsfPvI9925sAI7kxPlM7jpuHVJM"",""Validation!A:Z""),11,0)"),"Delivery Services")</f>
        <v>Delivery Services</v>
      </c>
      <c r="F235" s="6" t="str">
        <f>IFERROR(__xludf.DUMMYFUNCTION("vlookup($A235,importrange(""1fyGnaViAX9kns28pvsfPvI9925sAI7kxPlM7jpuHVJM"",""Validation!A:Z""),23,0)"),"Pooja Chawda")</f>
        <v>Pooja Chawda</v>
      </c>
      <c r="G235" s="6" t="str">
        <f>IFERROR(__xludf.DUMMYFUNCTION("vlookup(A235,importrange(""1fyGnaViAX9kns28pvsfPvI9925sAI7kxPlM7jpuHVJM"",""Validation!A:Z""),22,0)"),"Cluster - Sandeep")</f>
        <v>Cluster - Sandeep</v>
      </c>
      <c r="H235" s="4" t="str">
        <f>IFERROR(__xludf.DUMMYFUNCTION("vlookup(C235,importrange(""1kw74ismGU34AsZ5x-W4x7F3Zt2xc8NSYcCVMrCJBmdQ"",""DRP for 8 products!B:C""),2,0)"),"ONIPPDLG0")</f>
        <v>ONIPPDLG0</v>
      </c>
      <c r="I235" s="7">
        <f>IFERROR(__xludf.DUMMYFUNCTION("vlookup(C235,importrange(""1kw74ismGU34AsZ5x-W4x7F3Zt2xc8NSYcCVMrCJBmdQ"",""DRP for 8 products!B:E""),4,0)"),9.0)</f>
        <v>9</v>
      </c>
      <c r="J235" s="8" t="str">
        <f t="shared" si="1"/>
        <v>Tier 4</v>
      </c>
      <c r="K235" s="9" t="str">
        <f t="shared" si="2"/>
        <v>Active</v>
      </c>
      <c r="L235" s="4" t="str">
        <f>IFERROR(__xludf.DUMMYFUNCTION("vlookup(C235,importrange(""1kw74ismGU34AsZ5x-W4x7F3Zt2xc8NSYcCVMrCJBmdQ"",""DRP for 8 products!B:H""),6,0)"),"Dataproc")</f>
        <v>Dataproc</v>
      </c>
      <c r="M235" s="10" t="str">
        <f t="shared" si="3"/>
        <v>Yes</v>
      </c>
    </row>
    <row r="236">
      <c r="A236" s="4" t="str">
        <f>IFERROR(__xludf.DUMMYFUNCTION("vlookup(C236,IMPORTRANGE(""1Kgoo8qyo6zMtf_5B03ksZz228jg0XpZ4_KXsdHQ4Vks"",""14 Sept!A:B""),2,0)"),"DMC1200")</f>
        <v>DMC1200</v>
      </c>
      <c r="B236" s="5" t="str">
        <f>IFERROR(__xludf.DUMMYFUNCTION("""COMPUTED_VALUE"""),"Tanmay Bhujade")</f>
        <v>Tanmay Bhujade</v>
      </c>
      <c r="C236" s="5" t="str">
        <f>IFERROR(__xludf.DUMMYFUNCTION("""COMPUTED_VALUE"""),"tanmay.bhujade@onixnet.us")</f>
        <v>tanmay.bhujade@onixnet.us</v>
      </c>
      <c r="D236" s="4" t="s">
        <v>11</v>
      </c>
      <c r="E236" s="6" t="str">
        <f>IFERROR(__xludf.DUMMYFUNCTION("vlookup($A236,importrange(""1fyGnaViAX9kns28pvsfPvI9925sAI7kxPlM7jpuHVJM"",""Validation!A:Z""),11,0)"),"Corporate Operations")</f>
        <v>Corporate Operations</v>
      </c>
      <c r="F236" s="6" t="str">
        <f>IFERROR(__xludf.DUMMYFUNCTION("vlookup($A236,importrange(""1fyGnaViAX9kns28pvsfPvI9925sAI7kxPlM7jpuHVJM"",""Validation!A:Z""),23,0)"),"Nikhil Ashok Shelke")</f>
        <v>Nikhil Ashok Shelke</v>
      </c>
      <c r="G236" s="6" t="str">
        <f>IFERROR(__xludf.DUMMYFUNCTION("vlookup(A236,importrange(""1fyGnaViAX9kns28pvsfPvI9925sAI7kxPlM7jpuHVJM"",""Validation!A:Z""),22,0)"),"Cluster - Bishakha")</f>
        <v>Cluster - Bishakha</v>
      </c>
      <c r="H236" s="4" t="str">
        <f>IFERROR(__xludf.DUMMYFUNCTION("vlookup(C236,importrange(""1kw74ismGU34AsZ5x-W4x7F3Zt2xc8NSYcCVMrCJBmdQ"",""DRP for 8 products!B:C""),2,0)"),"ONITBLNK1")</f>
        <v>ONITBLNK1</v>
      </c>
      <c r="I236" s="7">
        <f>IFERROR(__xludf.DUMMYFUNCTION("vlookup(C236,importrange(""1kw74ismGU34AsZ5x-W4x7F3Zt2xc8NSYcCVMrCJBmdQ"",""DRP for 8 products!B:E""),4,0)"),21.0)</f>
        <v>21</v>
      </c>
      <c r="J236" s="8" t="str">
        <f t="shared" si="1"/>
        <v>Tier 3</v>
      </c>
      <c r="K236" s="9" t="str">
        <f t="shared" si="2"/>
        <v>Active</v>
      </c>
      <c r="L236" s="4" t="str">
        <f>IFERROR(__xludf.DUMMYFUNCTION("vlookup(C236,importrange(""1kw74ismGU34AsZ5x-W4x7F3Zt2xc8NSYcCVMrCJBmdQ"",""DRP for 8 products!B:H""),6,0)"),"BigQuery")</f>
        <v>BigQuery</v>
      </c>
      <c r="M236" s="10" t="str">
        <f t="shared" si="3"/>
        <v>Yes</v>
      </c>
    </row>
    <row r="237">
      <c r="A237" s="4" t="str">
        <f>IFERROR(__xludf.DUMMYFUNCTION("vlookup(C237,IMPORTRANGE(""1Kgoo8qyo6zMtf_5B03ksZz228jg0XpZ4_KXsdHQ4Vks"",""14 Sept!A:B""),2,0)"),"DME3318")</f>
        <v>DME3318</v>
      </c>
      <c r="B237" s="5" t="str">
        <f>IFERROR(__xludf.DUMMYFUNCTION("""COMPUTED_VALUE"""),"Sudhir Singh")</f>
        <v>Sudhir Singh</v>
      </c>
      <c r="C237" s="5" t="str">
        <f>IFERROR(__xludf.DUMMYFUNCTION("""COMPUTED_VALUE"""),"sudhir.singh1@onixnet.com")</f>
        <v>sudhir.singh1@onixnet.com</v>
      </c>
      <c r="D237" s="4" t="s">
        <v>11</v>
      </c>
      <c r="E237" s="6" t="str">
        <f>IFERROR(__xludf.DUMMYFUNCTION("vlookup($A237,importrange(""1fyGnaViAX9kns28pvsfPvI9925sAI7kxPlM7jpuHVJM"",""Validation!A:Z""),11,0)"),"Delivery Services")</f>
        <v>Delivery Services</v>
      </c>
      <c r="F237" s="6" t="str">
        <f>IFERROR(__xludf.DUMMYFUNCTION("vlookup($A237,importrange(""1fyGnaViAX9kns28pvsfPvI9925sAI7kxPlM7jpuHVJM"",""Validation!A:Z""),23,0)"),"Vijender Bhardwaj")</f>
        <v>Vijender Bhardwaj</v>
      </c>
      <c r="G237" s="6" t="str">
        <f>IFERROR(__xludf.DUMMYFUNCTION("vlookup(A237,importrange(""1fyGnaViAX9kns28pvsfPvI9925sAI7kxPlM7jpuHVJM"",""Validation!A:Z""),22,0)"),"Cluster - Varun")</f>
        <v>Cluster - Varun</v>
      </c>
      <c r="H237" s="4" t="str">
        <f>IFERROR(__xludf.DUMMYFUNCTION("vlookup(C237,importrange(""1kw74ismGU34AsZ5x-W4x7F3Zt2xc8NSYcCVMrCJBmdQ"",""DRP for 8 products!B:C""),2,0)"),"ONISSXSF8")</f>
        <v>ONISSXSF8</v>
      </c>
      <c r="I237" s="7">
        <f>IFERROR(__xludf.DUMMYFUNCTION("vlookup(C237,importrange(""1kw74ismGU34AsZ5x-W4x7F3Zt2xc8NSYcCVMrCJBmdQ"",""DRP for 8 products!B:E""),4,0)"),5.0)</f>
        <v>5</v>
      </c>
      <c r="J237" s="8" t="str">
        <f t="shared" si="1"/>
        <v>Tier 4</v>
      </c>
      <c r="K237" s="9" t="str">
        <f t="shared" si="2"/>
        <v>Active</v>
      </c>
      <c r="L237" s="4" t="str">
        <f>IFERROR(__xludf.DUMMYFUNCTION("vlookup(C237,importrange(""1kw74ismGU34AsZ5x-W4x7F3Zt2xc8NSYcCVMrCJBmdQ"",""DRP for 8 products!B:H""),6,0)"),"BigQuery")</f>
        <v>BigQuery</v>
      </c>
      <c r="M237" s="10" t="str">
        <f t="shared" si="3"/>
        <v>Yes</v>
      </c>
    </row>
    <row r="238">
      <c r="A238" s="4" t="str">
        <f>IFERROR(__xludf.DUMMYFUNCTION("vlookup(C238,IMPORTRANGE(""1Kgoo8qyo6zMtf_5B03ksZz228jg0XpZ4_KXsdHQ4Vks"",""14 Sept!A:B""),2,0)"),"DME1545")</f>
        <v>DME1545</v>
      </c>
      <c r="B238" s="5" t="str">
        <f>IFERROR(__xludf.DUMMYFUNCTION("""COMPUTED_VALUE"""),"Lanyo Francis")</f>
        <v>Lanyo Francis</v>
      </c>
      <c r="C238" s="5" t="str">
        <f>IFERROR(__xludf.DUMMYFUNCTION("""COMPUTED_VALUE"""),"lanyo.francis@onixnet.com")</f>
        <v>lanyo.francis@onixnet.com</v>
      </c>
      <c r="D238" s="4" t="s">
        <v>11</v>
      </c>
      <c r="E238" s="6" t="str">
        <f>IFERROR(__xludf.DUMMYFUNCTION("vlookup($A238,importrange(""1fyGnaViAX9kns28pvsfPvI9925sAI7kxPlM7jpuHVJM"",""Validation!A:Z""),11,0)"),"Delivery Services")</f>
        <v>Delivery Services</v>
      </c>
      <c r="F238" s="6" t="str">
        <f>IFERROR(__xludf.DUMMYFUNCTION("vlookup($A238,importrange(""1fyGnaViAX9kns28pvsfPvI9925sAI7kxPlM7jpuHVJM"",""Validation!A:Z""),23,0)"),"Devayani Girish Pillai")</f>
        <v>Devayani Girish Pillai</v>
      </c>
      <c r="G238" s="6" t="str">
        <f>IFERROR(__xludf.DUMMYFUNCTION("vlookup(A238,importrange(""1fyGnaViAX9kns28pvsfPvI9925sAI7kxPlM7jpuHVJM"",""Validation!A:Z""),22,0)"),"Cluster - Devayani")</f>
        <v>Cluster - Devayani</v>
      </c>
      <c r="H238" s="4" t="str">
        <f>IFERROR(__xludf.DUMMYFUNCTION("vlookup(C238,importrange(""1kw74ismGU34AsZ5x-W4x7F3Zt2xc8NSYcCVMrCJBmdQ"",""DRP for 8 products!B:C""),2,0)"),"ONILFZBQ3")</f>
        <v>ONILFZBQ3</v>
      </c>
      <c r="I238" s="7">
        <f>IFERROR(__xludf.DUMMYFUNCTION("vlookup(C238,importrange(""1kw74ismGU34AsZ5x-W4x7F3Zt2xc8NSYcCVMrCJBmdQ"",""DRP for 8 products!B:E""),4,0)"),54.0)</f>
        <v>54</v>
      </c>
      <c r="J238" s="8" t="str">
        <f t="shared" si="1"/>
        <v>Tier 1</v>
      </c>
      <c r="K238" s="9" t="str">
        <f t="shared" si="2"/>
        <v>Active</v>
      </c>
      <c r="L238" s="4" t="str">
        <f>IFERROR(__xludf.DUMMYFUNCTION("vlookup(C238,importrange(""1kw74ismGU34AsZ5x-W4x7F3Zt2xc8NSYcCVMrCJBmdQ"",""DRP for 8 products!B:H""),6,0)"),"BigQuery")</f>
        <v>BigQuery</v>
      </c>
      <c r="M238" s="10" t="str">
        <f t="shared" si="3"/>
        <v>Yes</v>
      </c>
    </row>
    <row r="239">
      <c r="A239" s="4" t="str">
        <f>IFERROR(__xludf.DUMMYFUNCTION("vlookup(C239,IMPORTRANGE(""1Kgoo8qyo6zMtf_5B03ksZz228jg0XpZ4_KXsdHQ4Vks"",""14 Sept!A:B""),2,0)"),"DME2964")</f>
        <v>DME2964</v>
      </c>
      <c r="B239" s="5" t="str">
        <f>IFERROR(__xludf.DUMMYFUNCTION("""COMPUTED_VALUE"""),"Siddhesh Kasar")</f>
        <v>Siddhesh Kasar</v>
      </c>
      <c r="C239" s="5" t="str">
        <f>IFERROR(__xludf.DUMMYFUNCTION("""COMPUTED_VALUE"""),"siddhesh.kasar@onixnet.com")</f>
        <v>siddhesh.kasar@onixnet.com</v>
      </c>
      <c r="D239" s="4" t="s">
        <v>11</v>
      </c>
      <c r="E239" s="6" t="str">
        <f>IFERROR(__xludf.DUMMYFUNCTION("vlookup($A239,importrange(""1fyGnaViAX9kns28pvsfPvI9925sAI7kxPlM7jpuHVJM"",""Validation!A:Z""),11,0)"),"Delivery Services")</f>
        <v>Delivery Services</v>
      </c>
      <c r="F239" s="6" t="str">
        <f>IFERROR(__xludf.DUMMYFUNCTION("vlookup($A239,importrange(""1fyGnaViAX9kns28pvsfPvI9925sAI7kxPlM7jpuHVJM"",""Validation!A:Z""),23,0)"),"Akash Morey")</f>
        <v>Akash Morey</v>
      </c>
      <c r="G239" s="6" t="str">
        <f>IFERROR(__xludf.DUMMYFUNCTION("vlookup(A239,importrange(""1fyGnaViAX9kns28pvsfPvI9925sAI7kxPlM7jpuHVJM"",""Validation!A:Z""),22,0)"),"Cluster - Sandeep")</f>
        <v>Cluster - Sandeep</v>
      </c>
      <c r="H239" s="4" t="str">
        <f>IFERROR(__xludf.DUMMYFUNCTION("vlookup(C239,importrange(""1kw74ismGU34AsZ5x-W4x7F3Zt2xc8NSYcCVMrCJBmdQ"",""DRP for 8 products!B:C""),2,0)"),"ONISKNTB4")</f>
        <v>ONISKNTB4</v>
      </c>
      <c r="I239" s="7">
        <f>IFERROR(__xludf.DUMMYFUNCTION("vlookup(C239,importrange(""1kw74ismGU34AsZ5x-W4x7F3Zt2xc8NSYcCVMrCJBmdQ"",""DRP for 8 products!B:E""),4,0)"),21.0)</f>
        <v>21</v>
      </c>
      <c r="J239" s="8" t="str">
        <f t="shared" si="1"/>
        <v>Tier 3</v>
      </c>
      <c r="K239" s="9" t="str">
        <f t="shared" si="2"/>
        <v>Active</v>
      </c>
      <c r="L239" s="4" t="str">
        <f>IFERROR(__xludf.DUMMYFUNCTION("vlookup(C239,importrange(""1kw74ismGU34AsZ5x-W4x7F3Zt2xc8NSYcCVMrCJBmdQ"",""DRP for 8 products!B:H""),6,0)"),"BigQuery")</f>
        <v>BigQuery</v>
      </c>
      <c r="M239" s="10" t="str">
        <f t="shared" si="3"/>
        <v>Yes</v>
      </c>
    </row>
    <row r="240">
      <c r="A240" s="4" t="str">
        <f>IFERROR(__xludf.DUMMYFUNCTION("vlookup(C240,IMPORTRANGE(""1Kgoo8qyo6zMtf_5B03ksZz228jg0XpZ4_KXsdHQ4Vks"",""14 Sept!A:B""),2,0)"),"DME3309")</f>
        <v>DME3309</v>
      </c>
      <c r="B240" s="5" t="str">
        <f>IFERROR(__xludf.DUMMYFUNCTION("""COMPUTED_VALUE"""),"VenkataSrinivasulu Sure")</f>
        <v>VenkataSrinivasulu Sure</v>
      </c>
      <c r="C240" s="5" t="str">
        <f>IFERROR(__xludf.DUMMYFUNCTION("""COMPUTED_VALUE"""),"srinivasulu.venkata@onixnet.com")</f>
        <v>srinivasulu.venkata@onixnet.com</v>
      </c>
      <c r="D240" s="4" t="s">
        <v>11</v>
      </c>
      <c r="E240" s="6" t="str">
        <f>IFERROR(__xludf.DUMMYFUNCTION("vlookup($A240,importrange(""1fyGnaViAX9kns28pvsfPvI9925sAI7kxPlM7jpuHVJM"",""Validation!A:Z""),11,0)"),"Delivery Services")</f>
        <v>Delivery Services</v>
      </c>
      <c r="F240" s="6" t="str">
        <f>IFERROR(__xludf.DUMMYFUNCTION("vlookup($A240,importrange(""1fyGnaViAX9kns28pvsfPvI9925sAI7kxPlM7jpuHVJM"",""Validation!A:Z""),23,0)"),"Naveen Harish")</f>
        <v>Naveen Harish</v>
      </c>
      <c r="G240" s="6" t="str">
        <f>IFERROR(__xludf.DUMMYFUNCTION("vlookup(A240,importrange(""1fyGnaViAX9kns28pvsfPvI9925sAI7kxPlM7jpuHVJM"",""Validation!A:Z""),22,0)"),"Cluster - Varun")</f>
        <v>Cluster - Varun</v>
      </c>
      <c r="H240" s="4" t="str">
        <f>IFERROR(__xludf.DUMMYFUNCTION("vlookup(C240,importrange(""1kw74ismGU34AsZ5x-W4x7F3Zt2xc8NSYcCVMrCJBmdQ"",""DRP for 8 products!B:C""),2,0)"),"ONIVSTSW3")</f>
        <v>ONIVSTSW3</v>
      </c>
      <c r="I240" s="7">
        <f>IFERROR(__xludf.DUMMYFUNCTION("vlookup(C240,importrange(""1kw74ismGU34AsZ5x-W4x7F3Zt2xc8NSYcCVMrCJBmdQ"",""DRP for 8 products!B:E""),4,0)"),0.0)</f>
        <v>0</v>
      </c>
      <c r="J240" s="8" t="str">
        <f t="shared" si="1"/>
        <v>Tier 4</v>
      </c>
      <c r="K240" s="9" t="str">
        <f t="shared" si="2"/>
        <v>ID Created DRP score 0</v>
      </c>
      <c r="L240" s="4" t="str">
        <f>IFERROR(__xludf.DUMMYFUNCTION("vlookup(C240,importrange(""1kw74ismGU34AsZ5x-W4x7F3Zt2xc8NSYcCVMrCJBmdQ"",""DRP for 8 products!B:H""),6,0)"),"")</f>
        <v/>
      </c>
      <c r="M240" s="10" t="str">
        <f t="shared" si="3"/>
        <v>No</v>
      </c>
    </row>
    <row r="241">
      <c r="A241" s="4" t="str">
        <f>IFERROR(__xludf.DUMMYFUNCTION("vlookup(C241,IMPORTRANGE(""1Kgoo8qyo6zMtf_5B03ksZz228jg0XpZ4_KXsdHQ4Vks"",""14 Sept!A:B""),2,0)"),"DME3330")</f>
        <v>DME3330</v>
      </c>
      <c r="B241" s="5" t="str">
        <f>IFERROR(__xludf.DUMMYFUNCTION("""COMPUTED_VALUE"""),"Sripathi Ajay Kumar Reddy")</f>
        <v>Sripathi Ajay Kumar Reddy</v>
      </c>
      <c r="C241" s="5" t="str">
        <f>IFERROR(__xludf.DUMMYFUNCTION("""COMPUTED_VALUE"""),"ajay.sripathi@onixnet.com")</f>
        <v>ajay.sripathi@onixnet.com</v>
      </c>
      <c r="D241" s="4" t="s">
        <v>11</v>
      </c>
      <c r="E241" s="6" t="str">
        <f>IFERROR(__xludf.DUMMYFUNCTION("vlookup($A241,importrange(""1fyGnaViAX9kns28pvsfPvI9925sAI7kxPlM7jpuHVJM"",""Validation!A:Z""),11,0)"),"Delivery Services")</f>
        <v>Delivery Services</v>
      </c>
      <c r="F241" s="6" t="str">
        <f>IFERROR(__xludf.DUMMYFUNCTION("vlookup($A241,importrange(""1fyGnaViAX9kns28pvsfPvI9925sAI7kxPlM7jpuHVJM"",""Validation!A:Z""),23,0)"),"Yash Kumar")</f>
        <v>Yash Kumar</v>
      </c>
      <c r="G241" s="6" t="str">
        <f>IFERROR(__xludf.DUMMYFUNCTION("vlookup(A241,importrange(""1fyGnaViAX9kns28pvsfPvI9925sAI7kxPlM7jpuHVJM"",""Validation!A:Z""),22,0)"),"Cluster - Varun")</f>
        <v>Cluster - Varun</v>
      </c>
      <c r="H241" s="4" t="str">
        <f>IFERROR(__xludf.DUMMYFUNCTION("vlookup(C241,importrange(""1kw74ismGU34AsZ5x-W4x7F3Zt2xc8NSYcCVMrCJBmdQ"",""DRP for 8 products!B:C""),2,0)"),"ONISRXXF9")</f>
        <v>ONISRXXF9</v>
      </c>
      <c r="I241" s="7">
        <f>IFERROR(__xludf.DUMMYFUNCTION("vlookup(C241,importrange(""1kw74ismGU34AsZ5x-W4x7F3Zt2xc8NSYcCVMrCJBmdQ"",""DRP for 8 products!B:E""),4,0)"),56.0)</f>
        <v>56</v>
      </c>
      <c r="J241" s="8" t="str">
        <f t="shared" si="1"/>
        <v>Tier 1</v>
      </c>
      <c r="K241" s="9" t="str">
        <f t="shared" si="2"/>
        <v>Active</v>
      </c>
      <c r="L241" s="4" t="str">
        <f>IFERROR(__xludf.DUMMYFUNCTION("vlookup(C241,importrange(""1kw74ismGU34AsZ5x-W4x7F3Zt2xc8NSYcCVMrCJBmdQ"",""DRP for 8 products!B:H""),6,0)"),"BigQuery")</f>
        <v>BigQuery</v>
      </c>
      <c r="M241" s="10" t="str">
        <f t="shared" si="3"/>
        <v>Yes</v>
      </c>
    </row>
    <row r="242">
      <c r="A242" s="4" t="str">
        <f>IFERROR(__xludf.DUMMYFUNCTION("vlookup(C242,IMPORTRANGE(""1Kgoo8qyo6zMtf_5B03ksZz228jg0XpZ4_KXsdHQ4Vks"",""14 Sept!A:B""),2,0)"),"DME2347")</f>
        <v>DME2347</v>
      </c>
      <c r="B242" s="5" t="str">
        <f>IFERROR(__xludf.DUMMYFUNCTION("""COMPUTED_VALUE"""),"Swapna Rani Pentareddy")</f>
        <v>Swapna Rani Pentareddy</v>
      </c>
      <c r="C242" s="5" t="str">
        <f>IFERROR(__xludf.DUMMYFUNCTION("""COMPUTED_VALUE"""),"swapna.p@onixnet.com")</f>
        <v>swapna.p@onixnet.com</v>
      </c>
      <c r="D242" s="4" t="s">
        <v>11</v>
      </c>
      <c r="E242" s="6" t="str">
        <f>IFERROR(__xludf.DUMMYFUNCTION("vlookup($A242,importrange(""1fyGnaViAX9kns28pvsfPvI9925sAI7kxPlM7jpuHVJM"",""Validation!A:Z""),11,0)"),"Delivery Services")</f>
        <v>Delivery Services</v>
      </c>
      <c r="F242" s="6" t="str">
        <f>IFERROR(__xludf.DUMMYFUNCTION("vlookup($A242,importrange(""1fyGnaViAX9kns28pvsfPvI9925sAI7kxPlM7jpuHVJM"",""Validation!A:Z""),23,0)"),"Sneha Bhatambrekar")</f>
        <v>Sneha Bhatambrekar</v>
      </c>
      <c r="G242" s="6" t="str">
        <f>IFERROR(__xludf.DUMMYFUNCTION("vlookup(A242,importrange(""1fyGnaViAX9kns28pvsfPvI9925sAI7kxPlM7jpuHVJM"",""Validation!A:Z""),22,0)"),"Cluster - Sandeep")</f>
        <v>Cluster - Sandeep</v>
      </c>
      <c r="H242" s="4" t="str">
        <f>IFERROR(__xludf.DUMMYFUNCTION("vlookup(C242,importrange(""1kw74ismGU34AsZ5x-W4x7F3Zt2xc8NSYcCVMrCJBmdQ"",""DRP for 8 products!B:C""),2,0)"),"ONISPFJX7")</f>
        <v>ONISPFJX7</v>
      </c>
      <c r="I242" s="7">
        <f>IFERROR(__xludf.DUMMYFUNCTION("vlookup(C242,importrange(""1kw74ismGU34AsZ5x-W4x7F3Zt2xc8NSYcCVMrCJBmdQ"",""DRP for 8 products!B:E""),4,0)"),8.0)</f>
        <v>8</v>
      </c>
      <c r="J242" s="8" t="str">
        <f t="shared" si="1"/>
        <v>Tier 4</v>
      </c>
      <c r="K242" s="9" t="str">
        <f t="shared" si="2"/>
        <v>Active</v>
      </c>
      <c r="L242" s="4" t="str">
        <f>IFERROR(__xludf.DUMMYFUNCTION("vlookup(C242,importrange(""1kw74ismGU34AsZ5x-W4x7F3Zt2xc8NSYcCVMrCJBmdQ"",""DRP for 8 products!B:H""),6,0)"),"BigQuery")</f>
        <v>BigQuery</v>
      </c>
      <c r="M242" s="10" t="str">
        <f t="shared" si="3"/>
        <v>Yes</v>
      </c>
    </row>
    <row r="243">
      <c r="A243" s="4" t="str">
        <f>IFERROR(__xludf.DUMMYFUNCTION("vlookup(C243,IMPORTRANGE(""1Kgoo8qyo6zMtf_5B03ksZz228jg0XpZ4_KXsdHQ4Vks"",""14 Sept!A:B""),2,0)"),"DME1745")</f>
        <v>DME1745</v>
      </c>
      <c r="B243" s="5" t="str">
        <f>IFERROR(__xludf.DUMMYFUNCTION("""COMPUTED_VALUE"""),"Siddhant Jagtap")</f>
        <v>Siddhant Jagtap</v>
      </c>
      <c r="C243" s="5" t="str">
        <f>IFERROR(__xludf.DUMMYFUNCTION("""COMPUTED_VALUE"""),"siddhant.jagtap@onixnet.com")</f>
        <v>siddhant.jagtap@onixnet.com</v>
      </c>
      <c r="D243" s="4" t="s">
        <v>11</v>
      </c>
      <c r="E243" s="6" t="str">
        <f>IFERROR(__xludf.DUMMYFUNCTION("vlookup($A243,importrange(""1fyGnaViAX9kns28pvsfPvI9925sAI7kxPlM7jpuHVJM"",""Validation!A:Z""),11,0)"),"Delivery Services")</f>
        <v>Delivery Services</v>
      </c>
      <c r="F243" s="6" t="str">
        <f>IFERROR(__xludf.DUMMYFUNCTION("vlookup($A243,importrange(""1fyGnaViAX9kns28pvsfPvI9925sAI7kxPlM7jpuHVJM"",""Validation!A:Z""),23,0)"),"Sneha Bhatambrekar")</f>
        <v>Sneha Bhatambrekar</v>
      </c>
      <c r="G243" s="6" t="str">
        <f>IFERROR(__xludf.DUMMYFUNCTION("vlookup(A243,importrange(""1fyGnaViAX9kns28pvsfPvI9925sAI7kxPlM7jpuHVJM"",""Validation!A:Z""),22,0)"),"Cluster - Sandeep")</f>
        <v>Cluster - Sandeep</v>
      </c>
      <c r="H243" s="4" t="str">
        <f>IFERROR(__xludf.DUMMYFUNCTION("vlookup(C243,importrange(""1kw74ismGU34AsZ5x-W4x7F3Zt2xc8NSYcCVMrCJBmdQ"",""DRP for 8 products!B:C""),2,0)"),"ONISJSJS5")</f>
        <v>ONISJSJS5</v>
      </c>
      <c r="I243" s="7">
        <f>IFERROR(__xludf.DUMMYFUNCTION("vlookup(C243,importrange(""1kw74ismGU34AsZ5x-W4x7F3Zt2xc8NSYcCVMrCJBmdQ"",""DRP for 8 products!B:E""),4,0)"),34.0)</f>
        <v>34</v>
      </c>
      <c r="J243" s="8" t="str">
        <f t="shared" si="1"/>
        <v>Tier 3</v>
      </c>
      <c r="K243" s="9" t="str">
        <f t="shared" si="2"/>
        <v>Active</v>
      </c>
      <c r="L243" s="4" t="str">
        <f>IFERROR(__xludf.DUMMYFUNCTION("vlookup(C243,importrange(""1kw74ismGU34AsZ5x-W4x7F3Zt2xc8NSYcCVMrCJBmdQ"",""DRP for 8 products!B:H""),6,0)"),"BigQuery")</f>
        <v>BigQuery</v>
      </c>
      <c r="M243" s="10" t="str">
        <f t="shared" si="3"/>
        <v>Yes</v>
      </c>
    </row>
    <row r="244">
      <c r="A244" s="4" t="str">
        <f>IFERROR(__xludf.DUMMYFUNCTION("vlookup(C244,IMPORTRANGE(""1Kgoo8qyo6zMtf_5B03ksZz228jg0XpZ4_KXsdHQ4Vks"",""14 Sept!A:B""),2,0)"),"DME2627")</f>
        <v>DME2627</v>
      </c>
      <c r="B244" s="5" t="str">
        <f>IFERROR(__xludf.DUMMYFUNCTION("""COMPUTED_VALUE"""),"Abhishek Sharma")</f>
        <v>Abhishek Sharma</v>
      </c>
      <c r="C244" s="5" t="str">
        <f>IFERROR(__xludf.DUMMYFUNCTION("""COMPUTED_VALUE"""),"abhishek.sharma@onixnet.com")</f>
        <v>abhishek.sharma@onixnet.com</v>
      </c>
      <c r="D244" s="4" t="s">
        <v>11</v>
      </c>
      <c r="E244" s="6" t="str">
        <f>IFERROR(__xludf.DUMMYFUNCTION("vlookup($A244,importrange(""1fyGnaViAX9kns28pvsfPvI9925sAI7kxPlM7jpuHVJM"",""Validation!A:Z""),11,0)"),"Delivery Services")</f>
        <v>Delivery Services</v>
      </c>
      <c r="F244" s="6" t="str">
        <f>IFERROR(__xludf.DUMMYFUNCTION("vlookup($A244,importrange(""1fyGnaViAX9kns28pvsfPvI9925sAI7kxPlM7jpuHVJM"",""Validation!A:Z""),23,0)"),"Shashank Shekhar")</f>
        <v>Shashank Shekhar</v>
      </c>
      <c r="G244" s="6" t="str">
        <f>IFERROR(__xludf.DUMMYFUNCTION("vlookup(A244,importrange(""1fyGnaViAX9kns28pvsfPvI9925sAI7kxPlM7jpuHVJM"",""Validation!A:Z""),22,0)"),"Cluster - Sachin")</f>
        <v>Cluster - Sachin</v>
      </c>
      <c r="H244" s="4" t="str">
        <f>IFERROR(__xludf.DUMMYFUNCTION("vlookup(C244,importrange(""1kw74ismGU34AsZ5x-W4x7F3Zt2xc8NSYcCVMrCJBmdQ"",""DRP for 8 products!B:C""),2,0)"),"ONIASYVC7")</f>
        <v>ONIASYVC7</v>
      </c>
      <c r="I244" s="7">
        <f>IFERROR(__xludf.DUMMYFUNCTION("vlookup(C244,importrange(""1kw74ismGU34AsZ5x-W4x7F3Zt2xc8NSYcCVMrCJBmdQ"",""DRP for 8 products!B:E""),4,0)"),59.0)</f>
        <v>59</v>
      </c>
      <c r="J244" s="8" t="str">
        <f t="shared" si="1"/>
        <v>Tier 1</v>
      </c>
      <c r="K244" s="9" t="str">
        <f t="shared" si="2"/>
        <v>Active</v>
      </c>
      <c r="L244" s="4" t="str">
        <f>IFERROR(__xludf.DUMMYFUNCTION("vlookup(C244,importrange(""1kw74ismGU34AsZ5x-W4x7F3Zt2xc8NSYcCVMrCJBmdQ"",""DRP for 8 products!B:H""),6,0)"),"BigQuery")</f>
        <v>BigQuery</v>
      </c>
      <c r="M244" s="10" t="str">
        <f t="shared" si="3"/>
        <v>Yes</v>
      </c>
    </row>
    <row r="245">
      <c r="A245" s="4" t="str">
        <f>IFERROR(__xludf.DUMMYFUNCTION("vlookup(C245,IMPORTRANGE(""1Kgoo8qyo6zMtf_5B03ksZz228jg0XpZ4_KXsdHQ4Vks"",""14 Sept!A:B""),2,0)"),"DME1482")</f>
        <v>DME1482</v>
      </c>
      <c r="B245" s="5" t="str">
        <f>IFERROR(__xludf.DUMMYFUNCTION("""COMPUTED_VALUE"""),"Sapna Gele")</f>
        <v>Sapna Gele</v>
      </c>
      <c r="C245" s="5" t="str">
        <f>IFERROR(__xludf.DUMMYFUNCTION("""COMPUTED_VALUE"""),"sapna.gele@onixnet.com")</f>
        <v>sapna.gele@onixnet.com</v>
      </c>
      <c r="D245" s="4" t="s">
        <v>11</v>
      </c>
      <c r="E245" s="6" t="str">
        <f>IFERROR(__xludf.DUMMYFUNCTION("vlookup($A245,importrange(""1fyGnaViAX9kns28pvsfPvI9925sAI7kxPlM7jpuHVJM"",""Validation!A:Z""),11,0)"),"Delivery Services")</f>
        <v>Delivery Services</v>
      </c>
      <c r="F245" s="6" t="str">
        <f>IFERROR(__xludf.DUMMYFUNCTION("vlookup($A245,importrange(""1fyGnaViAX9kns28pvsfPvI9925sAI7kxPlM7jpuHVJM"",""Validation!A:Z""),23,0)"),"Sneha Bhatambrekar")</f>
        <v>Sneha Bhatambrekar</v>
      </c>
      <c r="G245" s="6" t="str">
        <f>IFERROR(__xludf.DUMMYFUNCTION("vlookup(A245,importrange(""1fyGnaViAX9kns28pvsfPvI9925sAI7kxPlM7jpuHVJM"",""Validation!A:Z""),22,0)"),"Cluster - Sandeep")</f>
        <v>Cluster - Sandeep</v>
      </c>
      <c r="H245" s="4" t="str">
        <f>IFERROR(__xludf.DUMMYFUNCTION("vlookup(C245,importrange(""1kw74ismGU34AsZ5x-W4x7F3Zt2xc8NSYcCVMrCJBmdQ"",""DRP for 8 products!B:C""),2,0)"),"ONISGTYL8")</f>
        <v>ONISGTYL8</v>
      </c>
      <c r="I245" s="7">
        <f>IFERROR(__xludf.DUMMYFUNCTION("vlookup(C245,importrange(""1kw74ismGU34AsZ5x-W4x7F3Zt2xc8NSYcCVMrCJBmdQ"",""DRP for 8 products!B:E""),4,0)"),5.0)</f>
        <v>5</v>
      </c>
      <c r="J245" s="8" t="str">
        <f t="shared" si="1"/>
        <v>Tier 4</v>
      </c>
      <c r="K245" s="9" t="str">
        <f t="shared" si="2"/>
        <v>Active</v>
      </c>
      <c r="L245" s="4" t="str">
        <f>IFERROR(__xludf.DUMMYFUNCTION("vlookup(C245,importrange(""1kw74ismGU34AsZ5x-W4x7F3Zt2xc8NSYcCVMrCJBmdQ"",""DRP for 8 products!B:H""),6,0)"),"BigQuery")</f>
        <v>BigQuery</v>
      </c>
      <c r="M245" s="10" t="str">
        <f t="shared" si="3"/>
        <v>Yes</v>
      </c>
    </row>
    <row r="246">
      <c r="A246" s="4" t="str">
        <f>IFERROR(__xludf.DUMMYFUNCTION("vlookup(C246,IMPORTRANGE(""1Kgoo8qyo6zMtf_5B03ksZz228jg0XpZ4_KXsdHQ4Vks"",""14 Sept!A:B""),2,0)"),"DME1278")</f>
        <v>DME1278</v>
      </c>
      <c r="B246" s="5" t="str">
        <f>IFERROR(__xludf.DUMMYFUNCTION("""COMPUTED_VALUE"""),"Mahiboob Tandure")</f>
        <v>Mahiboob Tandure</v>
      </c>
      <c r="C246" s="5" t="str">
        <f>IFERROR(__xludf.DUMMYFUNCTION("""COMPUTED_VALUE"""),"mahiboob.tandure@onixnet.com")</f>
        <v>mahiboob.tandure@onixnet.com</v>
      </c>
      <c r="D246" s="4" t="s">
        <v>11</v>
      </c>
      <c r="E246" s="6" t="str">
        <f>IFERROR(__xludf.DUMMYFUNCTION("vlookup($A246,importrange(""1fyGnaViAX9kns28pvsfPvI9925sAI7kxPlM7jpuHVJM"",""Validation!A:Z""),11,0)"),"Delivery Services")</f>
        <v>Delivery Services</v>
      </c>
      <c r="F246" s="6" t="str">
        <f>IFERROR(__xludf.DUMMYFUNCTION("vlookup($A246,importrange(""1fyGnaViAX9kns28pvsfPvI9925sAI7kxPlM7jpuHVJM"",""Validation!A:Z""),23,0)"),"Sneha Bhatambrekar")</f>
        <v>Sneha Bhatambrekar</v>
      </c>
      <c r="G246" s="6" t="str">
        <f>IFERROR(__xludf.DUMMYFUNCTION("vlookup(A246,importrange(""1fyGnaViAX9kns28pvsfPvI9925sAI7kxPlM7jpuHVJM"",""Validation!A:Z""),22,0)"),"Cluster - Sandeep")</f>
        <v>Cluster - Sandeep</v>
      </c>
      <c r="H246" s="4" t="str">
        <f>IFERROR(__xludf.DUMMYFUNCTION("vlookup(C246,importrange(""1kw74ismGU34AsZ5x-W4x7F3Zt2xc8NSYcCVMrCJBmdQ"",""DRP for 8 products!B:C""),2,0)"),"ONIMTDWK1")</f>
        <v>ONIMTDWK1</v>
      </c>
      <c r="I246" s="7">
        <f>IFERROR(__xludf.DUMMYFUNCTION("vlookup(C246,importrange(""1kw74ismGU34AsZ5x-W4x7F3Zt2xc8NSYcCVMrCJBmdQ"",""DRP for 8 products!B:E""),4,0)"),9.0)</f>
        <v>9</v>
      </c>
      <c r="J246" s="8" t="str">
        <f t="shared" si="1"/>
        <v>Tier 4</v>
      </c>
      <c r="K246" s="9" t="str">
        <f t="shared" si="2"/>
        <v>Active</v>
      </c>
      <c r="L246" s="4" t="str">
        <f>IFERROR(__xludf.DUMMYFUNCTION("vlookup(C246,importrange(""1kw74ismGU34AsZ5x-W4x7F3Zt2xc8NSYcCVMrCJBmdQ"",""DRP for 8 products!B:H""),6,0)"),"BigQuery")</f>
        <v>BigQuery</v>
      </c>
      <c r="M246" s="10" t="str">
        <f t="shared" si="3"/>
        <v>Yes</v>
      </c>
    </row>
    <row r="247">
      <c r="A247" s="4" t="str">
        <f>IFERROR(__xludf.DUMMYFUNCTION("vlookup(C247,IMPORTRANGE(""1Kgoo8qyo6zMtf_5B03ksZz228jg0XpZ4_KXsdHQ4Vks"",""14 Sept!A:B""),2,0)"),"DME3390")</f>
        <v>DME3390</v>
      </c>
      <c r="B247" s="5" t="str">
        <f>IFERROR(__xludf.DUMMYFUNCTION("""COMPUTED_VALUE"""),"Rohan Ghanwat")</f>
        <v>Rohan Ghanwat</v>
      </c>
      <c r="C247" s="5" t="str">
        <f>IFERROR(__xludf.DUMMYFUNCTION("""COMPUTED_VALUE"""),"rohan.ghanwat@onixnet.com")</f>
        <v>rohan.ghanwat@onixnet.com</v>
      </c>
      <c r="D247" s="4" t="s">
        <v>11</v>
      </c>
      <c r="E247" s="6" t="str">
        <f>IFERROR(__xludf.DUMMYFUNCTION("vlookup($A247,importrange(""1fyGnaViAX9kns28pvsfPvI9925sAI7kxPlM7jpuHVJM"",""Validation!A:Z""),11,0)"),"Delivery Services")</f>
        <v>Delivery Services</v>
      </c>
      <c r="F247" s="6" t="str">
        <f>IFERROR(__xludf.DUMMYFUNCTION("vlookup($A247,importrange(""1fyGnaViAX9kns28pvsfPvI9925sAI7kxPlM7jpuHVJM"",""Validation!A:Z""),23,0)"),"Sneha Bhatambrekar")</f>
        <v>Sneha Bhatambrekar</v>
      </c>
      <c r="G247" s="6" t="str">
        <f>IFERROR(__xludf.DUMMYFUNCTION("vlookup(A247,importrange(""1fyGnaViAX9kns28pvsfPvI9925sAI7kxPlM7jpuHVJM"",""Validation!A:Z""),22,0)"),"Cluster - Sandeep")</f>
        <v>Cluster - Sandeep</v>
      </c>
      <c r="H247" s="4" t="str">
        <f>IFERROR(__xludf.DUMMYFUNCTION("vlookup(C247,importrange(""1kw74ismGU34AsZ5x-W4x7F3Zt2xc8NSYcCVMrCJBmdQ"",""DRP for 8 products!B:C""),2,0)"),"ONIRGASS4")</f>
        <v>ONIRGASS4</v>
      </c>
      <c r="I247" s="7">
        <f>IFERROR(__xludf.DUMMYFUNCTION("vlookup(C247,importrange(""1kw74ismGU34AsZ5x-W4x7F3Zt2xc8NSYcCVMrCJBmdQ"",""DRP for 8 products!B:E""),4,0)"),20.0)</f>
        <v>20</v>
      </c>
      <c r="J247" s="8" t="str">
        <f t="shared" si="1"/>
        <v>Tier 3</v>
      </c>
      <c r="K247" s="9" t="str">
        <f t="shared" si="2"/>
        <v>Active</v>
      </c>
      <c r="L247" s="4" t="str">
        <f>IFERROR(__xludf.DUMMYFUNCTION("vlookup(C247,importrange(""1kw74ismGU34AsZ5x-W4x7F3Zt2xc8NSYcCVMrCJBmdQ"",""DRP for 8 products!B:H""),6,0)"),"BigQuery")</f>
        <v>BigQuery</v>
      </c>
      <c r="M247" s="10" t="str">
        <f t="shared" si="3"/>
        <v>Yes</v>
      </c>
    </row>
    <row r="248">
      <c r="A248" s="4" t="str">
        <f>IFERROR(__xludf.DUMMYFUNCTION("vlookup(C248,IMPORTRANGE(""1Kgoo8qyo6zMtf_5B03ksZz228jg0XpZ4_KXsdHQ4Vks"",""14 Sept!A:B""),2,0)"),"DME2129")</f>
        <v>DME2129</v>
      </c>
      <c r="B248" s="5" t="str">
        <f>IFERROR(__xludf.DUMMYFUNCTION("""COMPUTED_VALUE"""),"Vishva Deepak Tripathi")</f>
        <v>Vishva Deepak Tripathi</v>
      </c>
      <c r="C248" s="5" t="str">
        <f>IFERROR(__xludf.DUMMYFUNCTION("""COMPUTED_VALUE"""),"vishva.tripathi@onixnet.com")</f>
        <v>vishva.tripathi@onixnet.com</v>
      </c>
      <c r="D248" s="4" t="s">
        <v>11</v>
      </c>
      <c r="E248" s="6" t="str">
        <f>IFERROR(__xludf.DUMMYFUNCTION("vlookup($A248,importrange(""1fyGnaViAX9kns28pvsfPvI9925sAI7kxPlM7jpuHVJM"",""Validation!A:Z""),11,0)"),"Delivery Services")</f>
        <v>Delivery Services</v>
      </c>
      <c r="F248" s="6" t="str">
        <f>IFERROR(__xludf.DUMMYFUNCTION("vlookup($A248,importrange(""1fyGnaViAX9kns28pvsfPvI9925sAI7kxPlM7jpuHVJM"",""Validation!A:Z""),23,0)"),"Sanjay Dnyandeo Naphade")</f>
        <v>Sanjay Dnyandeo Naphade</v>
      </c>
      <c r="G248" s="6" t="str">
        <f>IFERROR(__xludf.DUMMYFUNCTION("vlookup(A248,importrange(""1fyGnaViAX9kns28pvsfPvI9925sAI7kxPlM7jpuHVJM"",""Validation!A:Z""),22,0)"),"Cluster - Sandeep")</f>
        <v>Cluster - Sandeep</v>
      </c>
      <c r="H248" s="4" t="str">
        <f>IFERROR(__xludf.DUMMYFUNCTION("vlookup(C248,importrange(""1kw74ismGU34AsZ5x-W4x7F3Zt2xc8NSYcCVMrCJBmdQ"",""DRP for 8 products!B:C""),2,0)"),"ONIVTFAB1")</f>
        <v>ONIVTFAB1</v>
      </c>
      <c r="I248" s="7">
        <f>IFERROR(__xludf.DUMMYFUNCTION("vlookup(C248,importrange(""1kw74ismGU34AsZ5x-W4x7F3Zt2xc8NSYcCVMrCJBmdQ"",""DRP for 8 products!B:E""),4,0)"),29.0)</f>
        <v>29</v>
      </c>
      <c r="J248" s="8" t="str">
        <f t="shared" si="1"/>
        <v>Tier 3</v>
      </c>
      <c r="K248" s="9" t="str">
        <f t="shared" si="2"/>
        <v>Active</v>
      </c>
      <c r="L248" s="4" t="str">
        <f>IFERROR(__xludf.DUMMYFUNCTION("vlookup(C248,importrange(""1kw74ismGU34AsZ5x-W4x7F3Zt2xc8NSYcCVMrCJBmdQ"",""DRP for 8 products!B:H""),6,0)"),"BigQuery")</f>
        <v>BigQuery</v>
      </c>
      <c r="M248" s="10" t="str">
        <f t="shared" si="3"/>
        <v>Yes</v>
      </c>
    </row>
    <row r="249">
      <c r="A249" s="4" t="str">
        <f>IFERROR(__xludf.DUMMYFUNCTION("vlookup(C249,IMPORTRANGE(""1Kgoo8qyo6zMtf_5B03ksZz228jg0XpZ4_KXsdHQ4Vks"",""14 Sept!A:B""),2,0)"),"DME2033")</f>
        <v>DME2033</v>
      </c>
      <c r="B249" s="5" t="str">
        <f>IFERROR(__xludf.DUMMYFUNCTION("""COMPUTED_VALUE"""),"Neha Sonawane")</f>
        <v>Neha Sonawane</v>
      </c>
      <c r="C249" s="5" t="str">
        <f>IFERROR(__xludf.DUMMYFUNCTION("""COMPUTED_VALUE"""),"neha.sonawane@onixnet.com")</f>
        <v>neha.sonawane@onixnet.com</v>
      </c>
      <c r="D249" s="4" t="s">
        <v>11</v>
      </c>
      <c r="E249" s="6" t="str">
        <f>IFERROR(__xludf.DUMMYFUNCTION("vlookup($A249,importrange(""1fyGnaViAX9kns28pvsfPvI9925sAI7kxPlM7jpuHVJM"",""Validation!A:Z""),11,0)"),"Delivery Services")</f>
        <v>Delivery Services</v>
      </c>
      <c r="F249" s="6" t="str">
        <f>IFERROR(__xludf.DUMMYFUNCTION("vlookup($A249,importrange(""1fyGnaViAX9kns28pvsfPvI9925sAI7kxPlM7jpuHVJM"",""Validation!A:Z""),23,0)"),"Sneha Bhatambrekar")</f>
        <v>Sneha Bhatambrekar</v>
      </c>
      <c r="G249" s="6" t="str">
        <f>IFERROR(__xludf.DUMMYFUNCTION("vlookup(A249,importrange(""1fyGnaViAX9kns28pvsfPvI9925sAI7kxPlM7jpuHVJM"",""Validation!A:Z""),22,0)"),"Cluster - Sandeep")</f>
        <v>Cluster - Sandeep</v>
      </c>
      <c r="H249" s="4" t="str">
        <f>IFERROR(__xludf.DUMMYFUNCTION("vlookup(C249,importrange(""1kw74ismGU34AsZ5x-W4x7F3Zt2xc8NSYcCVMrCJBmdQ"",""DRP for 8 products!B:C""),2,0)"),"ONINSFZN3")</f>
        <v>ONINSFZN3</v>
      </c>
      <c r="I249" s="7">
        <f>IFERROR(__xludf.DUMMYFUNCTION("vlookup(C249,importrange(""1kw74ismGU34AsZ5x-W4x7F3Zt2xc8NSYcCVMrCJBmdQ"",""DRP for 8 products!B:E""),4,0)"),9.0)</f>
        <v>9</v>
      </c>
      <c r="J249" s="8" t="str">
        <f t="shared" si="1"/>
        <v>Tier 4</v>
      </c>
      <c r="K249" s="9" t="str">
        <f t="shared" si="2"/>
        <v>Active</v>
      </c>
      <c r="L249" s="4" t="str">
        <f>IFERROR(__xludf.DUMMYFUNCTION("vlookup(C249,importrange(""1kw74ismGU34AsZ5x-W4x7F3Zt2xc8NSYcCVMrCJBmdQ"",""DRP for 8 products!B:H""),6,0)"),"BigQuery")</f>
        <v>BigQuery</v>
      </c>
      <c r="M249" s="10" t="str">
        <f t="shared" si="3"/>
        <v>Yes</v>
      </c>
    </row>
    <row r="250">
      <c r="A250" s="4" t="str">
        <f>IFERROR(__xludf.DUMMYFUNCTION("vlookup(C250,IMPORTRANGE(""1Kgoo8qyo6zMtf_5B03ksZz228jg0XpZ4_KXsdHQ4Vks"",""14 Sept!A:B""),2,0)"),"DMSI0079")</f>
        <v>DMSI0079</v>
      </c>
      <c r="B250" s="5" t="str">
        <f>IFERROR(__xludf.DUMMYFUNCTION("""COMPUTED_VALUE"""),"Rashi Bagga")</f>
        <v>Rashi Bagga</v>
      </c>
      <c r="C250" s="5" t="str">
        <f>IFERROR(__xludf.DUMMYFUNCTION("""COMPUTED_VALUE"""),"rashi.bagga@onixnet.com")</f>
        <v>rashi.bagga@onixnet.com</v>
      </c>
      <c r="D250" s="4" t="s">
        <v>11</v>
      </c>
      <c r="E250" s="6" t="str">
        <f>IFERROR(__xludf.DUMMYFUNCTION("vlookup($A250,importrange(""1fyGnaViAX9kns28pvsfPvI9925sAI7kxPlM7jpuHVJM"",""Validation!A:Z""),11,0)"),"Services")</f>
        <v>Services</v>
      </c>
      <c r="F250" s="6" t="str">
        <f>IFERROR(__xludf.DUMMYFUNCTION("vlookup($A250,importrange(""1fyGnaViAX9kns28pvsfPvI9925sAI7kxPlM7jpuHVJM"",""Validation!A:Z""),23,0)"),"Venkat Srinivasan")</f>
        <v>Venkat Srinivasan</v>
      </c>
      <c r="G250" s="6" t="str">
        <f>IFERROR(__xludf.DUMMYFUNCTION("vlookup(A250,importrange(""1fyGnaViAX9kns28pvsfPvI9925sAI7kxPlM7jpuHVJM"",""Validation!A:Z""),22,0)"),"Portfolio - Rajesh")</f>
        <v>Portfolio - Rajesh</v>
      </c>
      <c r="H250" s="4" t="str">
        <f>IFERROR(__xludf.DUMMYFUNCTION("vlookup(C250,importrange(""1kw74ismGU34AsZ5x-W4x7F3Zt2xc8NSYcCVMrCJBmdQ"",""DRP for 8 products!B:C""),2,0)"),"ONIRBSSD6")</f>
        <v>ONIRBSSD6</v>
      </c>
      <c r="I250" s="7">
        <f>IFERROR(__xludf.DUMMYFUNCTION("vlookup(C250,importrange(""1kw74ismGU34AsZ5x-W4x7F3Zt2xc8NSYcCVMrCJBmdQ"",""DRP for 8 products!B:E""),4,0)"),39.0)</f>
        <v>39</v>
      </c>
      <c r="J250" s="8" t="str">
        <f t="shared" si="1"/>
        <v>Tier 2</v>
      </c>
      <c r="K250" s="9" t="str">
        <f t="shared" si="2"/>
        <v>Active</v>
      </c>
      <c r="L250" s="4" t="str">
        <f>IFERROR(__xludf.DUMMYFUNCTION("vlookup(C250,importrange(""1kw74ismGU34AsZ5x-W4x7F3Zt2xc8NSYcCVMrCJBmdQ"",""DRP for 8 products!B:H""),6,0)"),"BigQuery")</f>
        <v>BigQuery</v>
      </c>
      <c r="M250" s="10" t="str">
        <f t="shared" si="3"/>
        <v>Yes</v>
      </c>
    </row>
    <row r="251">
      <c r="A251" s="4" t="str">
        <f>IFERROR(__xludf.DUMMYFUNCTION("vlookup(C251,IMPORTRANGE(""1Kgoo8qyo6zMtf_5B03ksZz228jg0XpZ4_KXsdHQ4Vks"",""14 Sept!A:B""),2,0)"),"DME3347")</f>
        <v>DME3347</v>
      </c>
      <c r="B251" s="5" t="str">
        <f>IFERROR(__xludf.DUMMYFUNCTION("""COMPUTED_VALUE"""),"Daivashala Dhepale")</f>
        <v>Daivashala Dhepale</v>
      </c>
      <c r="C251" s="5" t="str">
        <f>IFERROR(__xludf.DUMMYFUNCTION("""COMPUTED_VALUE"""),"daivashala.dhepale@onixnet.com")</f>
        <v>daivashala.dhepale@onixnet.com</v>
      </c>
      <c r="D251" s="4" t="s">
        <v>11</v>
      </c>
      <c r="E251" s="6" t="str">
        <f>IFERROR(__xludf.DUMMYFUNCTION("vlookup($A251,importrange(""1fyGnaViAX9kns28pvsfPvI9925sAI7kxPlM7jpuHVJM"",""Validation!A:Z""),11,0)"),"Delivery Services")</f>
        <v>Delivery Services</v>
      </c>
      <c r="F251" s="6" t="str">
        <f>IFERROR(__xludf.DUMMYFUNCTION("vlookup($A251,importrange(""1fyGnaViAX9kns28pvsfPvI9925sAI7kxPlM7jpuHVJM"",""Validation!A:Z""),23,0)"),"Minal Patil")</f>
        <v>Minal Patil</v>
      </c>
      <c r="G251" s="6" t="str">
        <f>IFERROR(__xludf.DUMMYFUNCTION("vlookup(A251,importrange(""1fyGnaViAX9kns28pvsfPvI9925sAI7kxPlM7jpuHVJM"",""Validation!A:Z""),22,0)"),"Cluster - Devayani")</f>
        <v>Cluster - Devayani</v>
      </c>
      <c r="H251" s="4" t="str">
        <f>IFERROR(__xludf.DUMMYFUNCTION("vlookup(C251,importrange(""1kw74ismGU34AsZ5x-W4x7F3Zt2xc8NSYcCVMrCJBmdQ"",""DRP for 8 products!B:C""),2,0)"),"ONIDDNXE1")</f>
        <v>ONIDDNXE1</v>
      </c>
      <c r="I251" s="7">
        <f>IFERROR(__xludf.DUMMYFUNCTION("vlookup(C251,importrange(""1kw74ismGU34AsZ5x-W4x7F3Zt2xc8NSYcCVMrCJBmdQ"",""DRP for 8 products!B:E""),4,0)"),11.0)</f>
        <v>11</v>
      </c>
      <c r="J251" s="8" t="str">
        <f t="shared" si="1"/>
        <v>Tier 4</v>
      </c>
      <c r="K251" s="9" t="str">
        <f t="shared" si="2"/>
        <v>Active</v>
      </c>
      <c r="L251" s="4" t="str">
        <f>IFERROR(__xludf.DUMMYFUNCTION("vlookup(C251,importrange(""1kw74ismGU34AsZ5x-W4x7F3Zt2xc8NSYcCVMrCJBmdQ"",""DRP for 8 products!B:H""),6,0)"),"BigQuery")</f>
        <v>BigQuery</v>
      </c>
      <c r="M251" s="10" t="str">
        <f t="shared" si="3"/>
        <v>Yes</v>
      </c>
    </row>
    <row r="252">
      <c r="A252" s="4" t="str">
        <f>IFERROR(__xludf.DUMMYFUNCTION("vlookup(C252,IMPORTRANGE(""1Kgoo8qyo6zMtf_5B03ksZz228jg0XpZ4_KXsdHQ4Vks"",""14 Sept!A:B""),2,0)"),"DME3329")</f>
        <v>DME3329</v>
      </c>
      <c r="B252" s="5" t="str">
        <f>IFERROR(__xludf.DUMMYFUNCTION("""COMPUTED_VALUE"""),"Dinesh Kumar")</f>
        <v>Dinesh Kumar</v>
      </c>
      <c r="C252" s="5" t="str">
        <f>IFERROR(__xludf.DUMMYFUNCTION("""COMPUTED_VALUE"""),"dinesh.kumar@onixnet.com")</f>
        <v>dinesh.kumar@onixnet.com</v>
      </c>
      <c r="D252" s="4" t="s">
        <v>11</v>
      </c>
      <c r="E252" s="6" t="str">
        <f>IFERROR(__xludf.DUMMYFUNCTION("vlookup($A252,importrange(""1fyGnaViAX9kns28pvsfPvI9925sAI7kxPlM7jpuHVJM"",""Validation!A:Z""),11,0)"),"Delivery Services")</f>
        <v>Delivery Services</v>
      </c>
      <c r="F252" s="6" t="str">
        <f>IFERROR(__xludf.DUMMYFUNCTION("vlookup($A252,importrange(""1fyGnaViAX9kns28pvsfPvI9925sAI7kxPlM7jpuHVJM"",""Validation!A:Z""),23,0)"),"Varun Katyal")</f>
        <v>Varun Katyal</v>
      </c>
      <c r="G252" s="6" t="str">
        <f>IFERROR(__xludf.DUMMYFUNCTION("vlookup(A252,importrange(""1fyGnaViAX9kns28pvsfPvI9925sAI7kxPlM7jpuHVJM"",""Validation!A:Z""),22,0)"),"Cluster - Varun")</f>
        <v>Cluster - Varun</v>
      </c>
      <c r="H252" s="4" t="str">
        <f>IFERROR(__xludf.DUMMYFUNCTION("vlookup(C252,importrange(""1kw74ismGU34AsZ5x-W4x7F3Zt2xc8NSYcCVMrCJBmdQ"",""DRP for 8 products!B:C""),2,0)"),"ONIDKVZH7")</f>
        <v>ONIDKVZH7</v>
      </c>
      <c r="I252" s="7">
        <f>IFERROR(__xludf.DUMMYFUNCTION("vlookup(C252,importrange(""1kw74ismGU34AsZ5x-W4x7F3Zt2xc8NSYcCVMrCJBmdQ"",""DRP for 8 products!B:E""),4,0)"),14.0)</f>
        <v>14</v>
      </c>
      <c r="J252" s="8" t="str">
        <f t="shared" si="1"/>
        <v>Tier 4</v>
      </c>
      <c r="K252" s="9" t="str">
        <f t="shared" si="2"/>
        <v>Active</v>
      </c>
      <c r="L252" s="4" t="str">
        <f>IFERROR(__xludf.DUMMYFUNCTION("vlookup(C252,importrange(""1kw74ismGU34AsZ5x-W4x7F3Zt2xc8NSYcCVMrCJBmdQ"",""DRP for 8 products!B:H""),6,0)"),"BigQuery")</f>
        <v>BigQuery</v>
      </c>
      <c r="M252" s="10" t="str">
        <f t="shared" si="3"/>
        <v>Yes</v>
      </c>
    </row>
    <row r="253">
      <c r="A253" s="4" t="str">
        <f>IFERROR(__xludf.DUMMYFUNCTION("vlookup(C253,IMPORTRANGE(""1Kgoo8qyo6zMtf_5B03ksZz228jg0XpZ4_KXsdHQ4Vks"",""14 Sept!A:B""),2,0)"),"DME2339")</f>
        <v>DME2339</v>
      </c>
      <c r="B253" s="5" t="str">
        <f>IFERROR(__xludf.DUMMYFUNCTION("""COMPUTED_VALUE"""),"ravi gogineni")</f>
        <v>ravi gogineni</v>
      </c>
      <c r="C253" s="5" t="str">
        <f>IFERROR(__xludf.DUMMYFUNCTION("""COMPUTED_VALUE"""),"ravi.gogineni@onixnet.com")</f>
        <v>ravi.gogineni@onixnet.com</v>
      </c>
      <c r="D253" s="4" t="s">
        <v>11</v>
      </c>
      <c r="E253" s="6" t="str">
        <f>IFERROR(__xludf.DUMMYFUNCTION("vlookup($A253,importrange(""1fyGnaViAX9kns28pvsfPvI9925sAI7kxPlM7jpuHVJM"",""Validation!A:Z""),11,0)"),"Delivery Services")</f>
        <v>Delivery Services</v>
      </c>
      <c r="F253" s="6" t="str">
        <f>IFERROR(__xludf.DUMMYFUNCTION("vlookup($A253,importrange(""1fyGnaViAX9kns28pvsfPvI9925sAI7kxPlM7jpuHVJM"",""Validation!A:Z""),23,0)"),"Haroon Azeem")</f>
        <v>Haroon Azeem</v>
      </c>
      <c r="G253" s="6" t="str">
        <f>IFERROR(__xludf.DUMMYFUNCTION("vlookup(A253,importrange(""1fyGnaViAX9kns28pvsfPvI9925sAI7kxPlM7jpuHVJM"",""Validation!A:Z""),22,0)"),"Cluster - Shreepad")</f>
        <v>Cluster - Shreepad</v>
      </c>
      <c r="H253" s="4" t="str">
        <f>IFERROR(__xludf.DUMMYFUNCTION("vlookup(C253,importrange(""1kw74ismGU34AsZ5x-W4x7F3Zt2xc8NSYcCVMrCJBmdQ"",""DRP for 8 products!B:C""),2,0)"),"ONIRGKKP3")</f>
        <v>ONIRGKKP3</v>
      </c>
      <c r="I253" s="7">
        <f>IFERROR(__xludf.DUMMYFUNCTION("vlookup(C253,importrange(""1kw74ismGU34AsZ5x-W4x7F3Zt2xc8NSYcCVMrCJBmdQ"",""DRP for 8 products!B:E""),4,0)"),34.0)</f>
        <v>34</v>
      </c>
      <c r="J253" s="8" t="str">
        <f t="shared" si="1"/>
        <v>Tier 3</v>
      </c>
      <c r="K253" s="9" t="str">
        <f t="shared" si="2"/>
        <v>Active</v>
      </c>
      <c r="L253" s="4" t="str">
        <f>IFERROR(__xludf.DUMMYFUNCTION("vlookup(C253,importrange(""1kw74ismGU34AsZ5x-W4x7F3Zt2xc8NSYcCVMrCJBmdQ"",""DRP for 8 products!B:H""),6,0)"),"BigQuery")</f>
        <v>BigQuery</v>
      </c>
      <c r="M253" s="10" t="str">
        <f t="shared" si="3"/>
        <v>Yes</v>
      </c>
    </row>
    <row r="254">
      <c r="A254" s="4" t="str">
        <f>IFERROR(__xludf.DUMMYFUNCTION("vlookup(C254,IMPORTRANGE(""1Kgoo8qyo6zMtf_5B03ksZz228jg0XpZ4_KXsdHQ4Vks"",""14 Sept!A:B""),2,0)"),"DME3012")</f>
        <v>DME3012</v>
      </c>
      <c r="B254" s="5" t="str">
        <f>IFERROR(__xludf.DUMMYFUNCTION("""COMPUTED_VALUE"""),"Shubham Chaudhari")</f>
        <v>Shubham Chaudhari</v>
      </c>
      <c r="C254" s="5" t="str">
        <f>IFERROR(__xludf.DUMMYFUNCTION("""COMPUTED_VALUE"""),"shubham.chaudhari@onixnet.com")</f>
        <v>shubham.chaudhari@onixnet.com</v>
      </c>
      <c r="D254" s="4" t="s">
        <v>11</v>
      </c>
      <c r="E254" s="6" t="str">
        <f>IFERROR(__xludf.DUMMYFUNCTION("vlookup($A254,importrange(""1fyGnaViAX9kns28pvsfPvI9925sAI7kxPlM7jpuHVJM"",""Validation!A:Z""),11,0)"),"Product Engineering")</f>
        <v>Product Engineering</v>
      </c>
      <c r="F254" s="6" t="str">
        <f>IFERROR(__xludf.DUMMYFUNCTION("vlookup($A254,importrange(""1fyGnaViAX9kns28pvsfPvI9925sAI7kxPlM7jpuHVJM"",""Validation!A:Z""),23,0)"),"Saurabh Singh")</f>
        <v>Saurabh Singh</v>
      </c>
      <c r="G254" s="6" t="str">
        <f>IFERROR(__xludf.DUMMYFUNCTION("vlookup(A254,importrange(""1fyGnaViAX9kns28pvsfPvI9925sAI7kxPlM7jpuHVJM"",""Validation!A:Z""),22,0)"),"Cluster - Mayur")</f>
        <v>Cluster - Mayur</v>
      </c>
      <c r="H254" s="4" t="str">
        <f>IFERROR(__xludf.DUMMYFUNCTION("vlookup(C254,importrange(""1kw74ismGU34AsZ5x-W4x7F3Zt2xc8NSYcCVMrCJBmdQ"",""DRP for 8 products!B:C""),2,0)"),"ONISCTXG7")</f>
        <v>ONISCTXG7</v>
      </c>
      <c r="I254" s="7">
        <f>IFERROR(__xludf.DUMMYFUNCTION("vlookup(C254,importrange(""1kw74ismGU34AsZ5x-W4x7F3Zt2xc8NSYcCVMrCJBmdQ"",""DRP for 8 products!B:E""),4,0)"),11.0)</f>
        <v>11</v>
      </c>
      <c r="J254" s="8" t="str">
        <f t="shared" si="1"/>
        <v>Tier 4</v>
      </c>
      <c r="K254" s="9" t="str">
        <f t="shared" si="2"/>
        <v>Active</v>
      </c>
      <c r="L254" s="4" t="str">
        <f>IFERROR(__xludf.DUMMYFUNCTION("vlookup(C254,importrange(""1kw74ismGU34AsZ5x-W4x7F3Zt2xc8NSYcCVMrCJBmdQ"",""DRP for 8 products!B:H""),6,0)"),"BigQuery")</f>
        <v>BigQuery</v>
      </c>
      <c r="M254" s="10" t="str">
        <f t="shared" si="3"/>
        <v>Yes</v>
      </c>
    </row>
    <row r="255">
      <c r="A255" s="4" t="str">
        <f>IFERROR(__xludf.DUMMYFUNCTION("vlookup(C255,IMPORTRANGE(""1Kgoo8qyo6zMtf_5B03ksZz228jg0XpZ4_KXsdHQ4Vks"",""14 Sept!A:B""),2,0)"),"DME2325")</f>
        <v>DME2325</v>
      </c>
      <c r="B255" s="5" t="str">
        <f>IFERROR(__xludf.DUMMYFUNCTION("""COMPUTED_VALUE"""),"Saikrishna Chakiri")</f>
        <v>Saikrishna Chakiri</v>
      </c>
      <c r="C255" s="5" t="str">
        <f>IFERROR(__xludf.DUMMYFUNCTION("""COMPUTED_VALUE"""),"sai.chakiri@onixnet.com")</f>
        <v>sai.chakiri@onixnet.com</v>
      </c>
      <c r="D255" s="4" t="s">
        <v>11</v>
      </c>
      <c r="E255" s="6" t="str">
        <f>IFERROR(__xludf.DUMMYFUNCTION("vlookup($A255,importrange(""1fyGnaViAX9kns28pvsfPvI9925sAI7kxPlM7jpuHVJM"",""Validation!A:Z""),11,0)"),"Delivery Services")</f>
        <v>Delivery Services</v>
      </c>
      <c r="F255" s="6" t="str">
        <f>IFERROR(__xludf.DUMMYFUNCTION("vlookup($A255,importrange(""1fyGnaViAX9kns28pvsfPvI9925sAI7kxPlM7jpuHVJM"",""Validation!A:Z""),23,0)"),"Upendra Rangisetti")</f>
        <v>Upendra Rangisetti</v>
      </c>
      <c r="G255" s="6" t="str">
        <f>IFERROR(__xludf.DUMMYFUNCTION("vlookup(A255,importrange(""1fyGnaViAX9kns28pvsfPvI9925sAI7kxPlM7jpuHVJM"",""Validation!A:Z""),22,0)"),"Cluster - Shreepad")</f>
        <v>Cluster - Shreepad</v>
      </c>
      <c r="H255" s="4" t="str">
        <f>IFERROR(__xludf.DUMMYFUNCTION("vlookup(C255,importrange(""1kw74ismGU34AsZ5x-W4x7F3Zt2xc8NSYcCVMrCJBmdQ"",""DRP for 8 products!B:C""),2,0)"),"ONISCVEG8")</f>
        <v>ONISCVEG8</v>
      </c>
      <c r="I255" s="7">
        <f>IFERROR(__xludf.DUMMYFUNCTION("vlookup(C255,importrange(""1kw74ismGU34AsZ5x-W4x7F3Zt2xc8NSYcCVMrCJBmdQ"",""DRP for 8 products!B:E""),4,0)"),53.0)</f>
        <v>53</v>
      </c>
      <c r="J255" s="8" t="str">
        <f t="shared" si="1"/>
        <v>Tier 1</v>
      </c>
      <c r="K255" s="9" t="str">
        <f t="shared" si="2"/>
        <v>Active</v>
      </c>
      <c r="L255" s="4" t="str">
        <f>IFERROR(__xludf.DUMMYFUNCTION("vlookup(C255,importrange(""1kw74ismGU34AsZ5x-W4x7F3Zt2xc8NSYcCVMrCJBmdQ"",""DRP for 8 products!B:H""),6,0)"),"BigQuery")</f>
        <v>BigQuery</v>
      </c>
      <c r="M255" s="10" t="str">
        <f t="shared" si="3"/>
        <v>Yes</v>
      </c>
    </row>
    <row r="256">
      <c r="A256" s="4" t="str">
        <f>IFERROR(__xludf.DUMMYFUNCTION("vlookup(C256,IMPORTRANGE(""1Kgoo8qyo6zMtf_5B03ksZz228jg0XpZ4_KXsdHQ4Vks"",""14 Sept!A:B""),2,0)"),"DME3156")</f>
        <v>DME3156</v>
      </c>
      <c r="B256" s="5" t="str">
        <f>IFERROR(__xludf.DUMMYFUNCTION("""COMPUTED_VALUE"""),"Boddu Rajkumar")</f>
        <v>Boddu Rajkumar</v>
      </c>
      <c r="C256" s="5" t="str">
        <f>IFERROR(__xludf.DUMMYFUNCTION("""COMPUTED_VALUE"""),"rajkumar.boddu@onixnet.com")</f>
        <v>rajkumar.boddu@onixnet.com</v>
      </c>
      <c r="D256" s="4" t="s">
        <v>11</v>
      </c>
      <c r="E256" s="6" t="str">
        <f>IFERROR(__xludf.DUMMYFUNCTION("vlookup($A256,importrange(""1fyGnaViAX9kns28pvsfPvI9925sAI7kxPlM7jpuHVJM"",""Validation!A:Z""),11,0)"),"Delivery Services")</f>
        <v>Delivery Services</v>
      </c>
      <c r="F256" s="6" t="str">
        <f>IFERROR(__xludf.DUMMYFUNCTION("vlookup($A256,importrange(""1fyGnaViAX9kns28pvsfPvI9925sAI7kxPlM7jpuHVJM"",""Validation!A:Z""),23,0)"),"Dinesh Bhamare")</f>
        <v>Dinesh Bhamare</v>
      </c>
      <c r="G256" s="6" t="str">
        <f>IFERROR(__xludf.DUMMYFUNCTION("vlookup(A256,importrange(""1fyGnaViAX9kns28pvsfPvI9925sAI7kxPlM7jpuHVJM"",""Validation!A:Z""),22,0)"),"Cluster - Shreepad")</f>
        <v>Cluster - Shreepad</v>
      </c>
      <c r="H256" s="4" t="str">
        <f>IFERROR(__xludf.DUMMYFUNCTION("vlookup(C256,importrange(""1kw74ismGU34AsZ5x-W4x7F3Zt2xc8NSYcCVMrCJBmdQ"",""DRP for 8 products!B:C""),2,0)"),"ONIBRGXE8")</f>
        <v>ONIBRGXE8</v>
      </c>
      <c r="I256" s="7">
        <f>IFERROR(__xludf.DUMMYFUNCTION("vlookup(C256,importrange(""1kw74ismGU34AsZ5x-W4x7F3Zt2xc8NSYcCVMrCJBmdQ"",""DRP for 8 products!B:E""),4,0)"),14.0)</f>
        <v>14</v>
      </c>
      <c r="J256" s="8" t="str">
        <f t="shared" si="1"/>
        <v>Tier 4</v>
      </c>
      <c r="K256" s="9" t="str">
        <f t="shared" si="2"/>
        <v>Active</v>
      </c>
      <c r="L256" s="4" t="str">
        <f>IFERROR(__xludf.DUMMYFUNCTION("vlookup(C256,importrange(""1kw74ismGU34AsZ5x-W4x7F3Zt2xc8NSYcCVMrCJBmdQ"",""DRP for 8 products!B:H""),6,0)"),"BigQuery")</f>
        <v>BigQuery</v>
      </c>
      <c r="M256" s="10" t="str">
        <f t="shared" si="3"/>
        <v>Yes</v>
      </c>
    </row>
    <row r="257">
      <c r="A257" s="4" t="str">
        <f>IFERROR(__xludf.DUMMYFUNCTION("vlookup(C257,IMPORTRANGE(""1Kgoo8qyo6zMtf_5B03ksZz228jg0XpZ4_KXsdHQ4Vks"",""14 Sept!A:B""),2,0)"),"DME3033")</f>
        <v>DME3033</v>
      </c>
      <c r="B257" s="5" t="str">
        <f>IFERROR(__xludf.DUMMYFUNCTION("""COMPUTED_VALUE"""),"Bhavya Chennu")</f>
        <v>Bhavya Chennu</v>
      </c>
      <c r="C257" s="5" t="str">
        <f>IFERROR(__xludf.DUMMYFUNCTION("""COMPUTED_VALUE"""),"chennu.bhavya@onixnet.com")</f>
        <v>chennu.bhavya@onixnet.com</v>
      </c>
      <c r="D257" s="4" t="s">
        <v>11</v>
      </c>
      <c r="E257" s="6" t="str">
        <f>IFERROR(__xludf.DUMMYFUNCTION("vlookup($A257,importrange(""1fyGnaViAX9kns28pvsfPvI9925sAI7kxPlM7jpuHVJM"",""Validation!A:Z""),11,0)"),"Delivery Services")</f>
        <v>Delivery Services</v>
      </c>
      <c r="F257" s="6" t="str">
        <f>IFERROR(__xludf.DUMMYFUNCTION("vlookup($A257,importrange(""1fyGnaViAX9kns28pvsfPvI9925sAI7kxPlM7jpuHVJM"",""Validation!A:Z""),23,0)"),"Deshabhotla Sravan")</f>
        <v>Deshabhotla Sravan</v>
      </c>
      <c r="G257" s="6" t="str">
        <f>IFERROR(__xludf.DUMMYFUNCTION("vlookup(A257,importrange(""1fyGnaViAX9kns28pvsfPvI9925sAI7kxPlM7jpuHVJM"",""Validation!A:Z""),22,0)"),"Cluster - Shreepad")</f>
        <v>Cluster - Shreepad</v>
      </c>
      <c r="H257" s="4" t="str">
        <f>IFERROR(__xludf.DUMMYFUNCTION("vlookup(C257,importrange(""1kw74ismGU34AsZ5x-W4x7F3Zt2xc8NSYcCVMrCJBmdQ"",""DRP for 8 products!B:C""),2,0)"),"ONIBCEYS4")</f>
        <v>ONIBCEYS4</v>
      </c>
      <c r="I257" s="7">
        <f>IFERROR(__xludf.DUMMYFUNCTION("vlookup(C257,importrange(""1kw74ismGU34AsZ5x-W4x7F3Zt2xc8NSYcCVMrCJBmdQ"",""DRP for 8 products!B:E""),4,0)"),5.0)</f>
        <v>5</v>
      </c>
      <c r="J257" s="8" t="str">
        <f t="shared" si="1"/>
        <v>Tier 4</v>
      </c>
      <c r="K257" s="9" t="str">
        <f t="shared" si="2"/>
        <v>Active</v>
      </c>
      <c r="L257" s="4" t="str">
        <f>IFERROR(__xludf.DUMMYFUNCTION("vlookup(C257,importrange(""1kw74ismGU34AsZ5x-W4x7F3Zt2xc8NSYcCVMrCJBmdQ"",""DRP for 8 products!B:H""),6,0)"),"BigQuery")</f>
        <v>BigQuery</v>
      </c>
      <c r="M257" s="10" t="str">
        <f t="shared" si="3"/>
        <v>Yes</v>
      </c>
    </row>
    <row r="258">
      <c r="A258" s="4" t="str">
        <f>IFERROR(__xludf.DUMMYFUNCTION("vlookup(C258,IMPORTRANGE(""1Kgoo8qyo6zMtf_5B03ksZz228jg0XpZ4_KXsdHQ4Vks"",""14 Sept!A:B""),2,0)"),"DME3394")</f>
        <v>DME3394</v>
      </c>
      <c r="B258" s="5" t="str">
        <f>IFERROR(__xludf.DUMMYFUNCTION("""COMPUTED_VALUE"""),"Sonali Chaudhari")</f>
        <v>Sonali Chaudhari</v>
      </c>
      <c r="C258" s="5" t="str">
        <f>IFERROR(__xludf.DUMMYFUNCTION("""COMPUTED_VALUE"""),"sonali.chaudhari@onixnet.com")</f>
        <v>sonali.chaudhari@onixnet.com</v>
      </c>
      <c r="D258" s="4" t="s">
        <v>11</v>
      </c>
      <c r="E258" s="6" t="str">
        <f>IFERROR(__xludf.DUMMYFUNCTION("vlookup($A258,importrange(""1fyGnaViAX9kns28pvsfPvI9925sAI7kxPlM7jpuHVJM"",""Validation!A:Z""),11,0)"),"Delivery Services")</f>
        <v>Delivery Services</v>
      </c>
      <c r="F258" s="6" t="str">
        <f>IFERROR(__xludf.DUMMYFUNCTION("vlookup($A258,importrange(""1fyGnaViAX9kns28pvsfPvI9925sAI7kxPlM7jpuHVJM"",""Validation!A:Z""),23,0)"),"Minal Patil")</f>
        <v>Minal Patil</v>
      </c>
      <c r="G258" s="6" t="str">
        <f>IFERROR(__xludf.DUMMYFUNCTION("vlookup(A258,importrange(""1fyGnaViAX9kns28pvsfPvI9925sAI7kxPlM7jpuHVJM"",""Validation!A:Z""),22,0)"),"Cluster - Devayani")</f>
        <v>Cluster - Devayani</v>
      </c>
      <c r="H258" s="4" t="str">
        <f>IFERROR(__xludf.DUMMYFUNCTION("vlookup(C258,importrange(""1kw74ismGU34AsZ5x-W4x7F3Zt2xc8NSYcCVMrCJBmdQ"",""DRP for 8 products!B:C""),2,0)"),"ONISCHKV5")</f>
        <v>ONISCHKV5</v>
      </c>
      <c r="I258" s="7">
        <f>IFERROR(__xludf.DUMMYFUNCTION("vlookup(C258,importrange(""1kw74ismGU34AsZ5x-W4x7F3Zt2xc8NSYcCVMrCJBmdQ"",""DRP for 8 products!B:E""),4,0)"),22.0)</f>
        <v>22</v>
      </c>
      <c r="J258" s="8" t="str">
        <f t="shared" si="1"/>
        <v>Tier 3</v>
      </c>
      <c r="K258" s="9" t="str">
        <f t="shared" si="2"/>
        <v>Active</v>
      </c>
      <c r="L258" s="4" t="str">
        <f>IFERROR(__xludf.DUMMYFUNCTION("vlookup(C258,importrange(""1kw74ismGU34AsZ5x-W4x7F3Zt2xc8NSYcCVMrCJBmdQ"",""DRP for 8 products!B:H""),6,0)"),"BigQuery")</f>
        <v>BigQuery</v>
      </c>
      <c r="M258" s="10" t="str">
        <f t="shared" si="3"/>
        <v>Yes</v>
      </c>
    </row>
    <row r="259">
      <c r="A259" s="4" t="str">
        <f>IFERROR(__xludf.DUMMYFUNCTION("vlookup(C259,IMPORTRANGE(""1Kgoo8qyo6zMtf_5B03ksZz228jg0XpZ4_KXsdHQ4Vks"",""14 Sept!A:B""),2,0)"),"DME3352")</f>
        <v>DME3352</v>
      </c>
      <c r="B259" s="5" t="str">
        <f>IFERROR(__xludf.DUMMYFUNCTION("""COMPUTED_VALUE"""),"Suvankar Bhattacharya")</f>
        <v>Suvankar Bhattacharya</v>
      </c>
      <c r="C259" s="5" t="str">
        <f>IFERROR(__xludf.DUMMYFUNCTION("""COMPUTED_VALUE"""),"suvankar.bhattacharya@onixnet.com")</f>
        <v>suvankar.bhattacharya@onixnet.com</v>
      </c>
      <c r="D259" s="4" t="s">
        <v>11</v>
      </c>
      <c r="E259" s="6" t="str">
        <f>IFERROR(__xludf.DUMMYFUNCTION("vlookup($A259,importrange(""1fyGnaViAX9kns28pvsfPvI9925sAI7kxPlM7jpuHVJM"",""Validation!A:Z""),11,0)"),"Delivery Services")</f>
        <v>Delivery Services</v>
      </c>
      <c r="F259" s="6" t="str">
        <f>IFERROR(__xludf.DUMMYFUNCTION("vlookup($A259,importrange(""1fyGnaViAX9kns28pvsfPvI9925sAI7kxPlM7jpuHVJM"",""Validation!A:Z""),23,0)"),"Anubhav Sharma")</f>
        <v>Anubhav Sharma</v>
      </c>
      <c r="G259" s="6" t="str">
        <f>IFERROR(__xludf.DUMMYFUNCTION("vlookup(A259,importrange(""1fyGnaViAX9kns28pvsfPvI9925sAI7kxPlM7jpuHVJM"",""Validation!A:Z""),22,0)"),"Cluster - Varun")</f>
        <v>Cluster - Varun</v>
      </c>
      <c r="H259" s="4" t="str">
        <f>IFERROR(__xludf.DUMMYFUNCTION("vlookup(C259,importrange(""1kw74ismGU34AsZ5x-W4x7F3Zt2xc8NSYcCVMrCJBmdQ"",""DRP for 8 products!B:C""),2,0)"),"ONISBJFG9")</f>
        <v>ONISBJFG9</v>
      </c>
      <c r="I259" s="7">
        <f>IFERROR(__xludf.DUMMYFUNCTION("vlookup(C259,importrange(""1kw74ismGU34AsZ5x-W4x7F3Zt2xc8NSYcCVMrCJBmdQ"",""DRP for 8 products!B:E""),4,0)"),19.0)</f>
        <v>19</v>
      </c>
      <c r="J259" s="8" t="str">
        <f t="shared" si="1"/>
        <v>Tier 4</v>
      </c>
      <c r="K259" s="9" t="str">
        <f t="shared" si="2"/>
        <v>Active</v>
      </c>
      <c r="L259" s="4" t="str">
        <f>IFERROR(__xludf.DUMMYFUNCTION("vlookup(C259,importrange(""1kw74ismGU34AsZ5x-W4x7F3Zt2xc8NSYcCVMrCJBmdQ"",""DRP for 8 products!B:H""),6,0)"),"AlloyDB for PostgreSQL")</f>
        <v>AlloyDB for PostgreSQL</v>
      </c>
      <c r="M259" s="10" t="str">
        <f t="shared" si="3"/>
        <v>Yes</v>
      </c>
    </row>
    <row r="260">
      <c r="A260" s="4" t="str">
        <f>IFERROR(__xludf.DUMMYFUNCTION("vlookup(C260,IMPORTRANGE(""1Kgoo8qyo6zMtf_5B03ksZz228jg0XpZ4_KXsdHQ4Vks"",""14 Sept!A:B""),2,0)"),"ONIX917")</f>
        <v>ONIX917</v>
      </c>
      <c r="B260" s="5" t="str">
        <f>IFERROR(__xludf.DUMMYFUNCTION("""COMPUTED_VALUE"""),"Sunny Jaiswal")</f>
        <v>Sunny Jaiswal</v>
      </c>
      <c r="C260" s="5" t="str">
        <f>IFERROR(__xludf.DUMMYFUNCTION("""COMPUTED_VALUE"""),"sunny.jaiswal@onixnet.com")</f>
        <v>sunny.jaiswal@onixnet.com</v>
      </c>
      <c r="D260" s="4" t="s">
        <v>11</v>
      </c>
      <c r="E260" s="6" t="str">
        <f>IFERROR(__xludf.DUMMYFUNCTION("vlookup($A260,importrange(""1fyGnaViAX9kns28pvsfPvI9925sAI7kxPlM7jpuHVJM"",""Validation!A:Z""),11,0)"),"Delivery Services")</f>
        <v>Delivery Services</v>
      </c>
      <c r="F260" s="6" t="str">
        <f>IFERROR(__xludf.DUMMYFUNCTION("vlookup($A260,importrange(""1fyGnaViAX9kns28pvsfPvI9925sAI7kxPlM7jpuHVJM"",""Validation!A:Z""),23,0)"),"Neeraj Arora")</f>
        <v>Neeraj Arora</v>
      </c>
      <c r="G260" s="6" t="str">
        <f>IFERROR(__xludf.DUMMYFUNCTION("vlookup(A260,importrange(""1fyGnaViAX9kns28pvsfPvI9925sAI7kxPlM7jpuHVJM"",""Validation!A:Z""),22,0)"),"Portfolio - Kanth")</f>
        <v>Portfolio - Kanth</v>
      </c>
      <c r="H260" s="4" t="str">
        <f>IFERROR(__xludf.DUMMYFUNCTION("vlookup(C260,importrange(""1kw74ismGU34AsZ5x-W4x7F3Zt2xc8NSYcCVMrCJBmdQ"",""DRP for 8 products!B:C""),2,0)"),"ONISJIWD3")</f>
        <v>ONISJIWD3</v>
      </c>
      <c r="I260" s="7">
        <f>IFERROR(__xludf.DUMMYFUNCTION("vlookup(C260,importrange(""1kw74ismGU34AsZ5x-W4x7F3Zt2xc8NSYcCVMrCJBmdQ"",""DRP for 8 products!B:E""),4,0)"),12.0)</f>
        <v>12</v>
      </c>
      <c r="J260" s="8" t="str">
        <f t="shared" si="1"/>
        <v>Tier 4</v>
      </c>
      <c r="K260" s="9" t="str">
        <f t="shared" si="2"/>
        <v>Active</v>
      </c>
      <c r="L260" s="4" t="str">
        <f>IFERROR(__xludf.DUMMYFUNCTION("vlookup(C260,importrange(""1kw74ismGU34AsZ5x-W4x7F3Zt2xc8NSYcCVMrCJBmdQ"",""DRP for 8 products!B:H""),6,0)"),"BigQuery")</f>
        <v>BigQuery</v>
      </c>
      <c r="M260" s="10" t="str">
        <f t="shared" si="3"/>
        <v>Yes</v>
      </c>
    </row>
    <row r="261">
      <c r="A261" s="4" t="str">
        <f>IFERROR(__xludf.DUMMYFUNCTION("vlookup(C261,IMPORTRANGE(""1Kgoo8qyo6zMtf_5B03ksZz228jg0XpZ4_KXsdHQ4Vks"",""14 Sept!A:B""),2,0)"),"DME3293")</f>
        <v>DME3293</v>
      </c>
      <c r="B261" s="5" t="str">
        <f>IFERROR(__xludf.DUMMYFUNCTION("""COMPUTED_VALUE"""),"Abdul kalam")</f>
        <v>Abdul kalam</v>
      </c>
      <c r="C261" s="5" t="str">
        <f>IFERROR(__xludf.DUMMYFUNCTION("""COMPUTED_VALUE"""),"abdulkalam.a@onixnet.com")</f>
        <v>abdulkalam.a@onixnet.com</v>
      </c>
      <c r="D261" s="4" t="s">
        <v>11</v>
      </c>
      <c r="E261" s="6" t="str">
        <f>IFERROR(__xludf.DUMMYFUNCTION("vlookup($A261,importrange(""1fyGnaViAX9kns28pvsfPvI9925sAI7kxPlM7jpuHVJM"",""Validation!A:Z""),11,0)"),"Delivery Services")</f>
        <v>Delivery Services</v>
      </c>
      <c r="F261" s="6" t="str">
        <f>IFERROR(__xludf.DUMMYFUNCTION("vlookup($A261,importrange(""1fyGnaViAX9kns28pvsfPvI9925sAI7kxPlM7jpuHVJM"",""Validation!A:Z""),23,0)"),"Vedant Bhogawade")</f>
        <v>Vedant Bhogawade</v>
      </c>
      <c r="G261" s="6" t="str">
        <f>IFERROR(__xludf.DUMMYFUNCTION("vlookup(A261,importrange(""1fyGnaViAX9kns28pvsfPvI9925sAI7kxPlM7jpuHVJM"",""Validation!A:Z""),22,0)"),"Cluster - Varun")</f>
        <v>Cluster - Varun</v>
      </c>
      <c r="H261" s="4" t="str">
        <f>IFERROR(__xludf.DUMMYFUNCTION("vlookup(C261,importrange(""1kw74ismGU34AsZ5x-W4x7F3Zt2xc8NSYcCVMrCJBmdQ"",""DRP for 8 products!B:C""),2,0)"),"ONIAKCTT7")</f>
        <v>ONIAKCTT7</v>
      </c>
      <c r="I261" s="7">
        <f>IFERROR(__xludf.DUMMYFUNCTION("vlookup(C261,importrange(""1kw74ismGU34AsZ5x-W4x7F3Zt2xc8NSYcCVMrCJBmdQ"",""DRP for 8 products!B:E""),4,0)"),5.0)</f>
        <v>5</v>
      </c>
      <c r="J261" s="8" t="str">
        <f t="shared" si="1"/>
        <v>Tier 4</v>
      </c>
      <c r="K261" s="9" t="str">
        <f t="shared" si="2"/>
        <v>Active</v>
      </c>
      <c r="L261" s="4" t="str">
        <f>IFERROR(__xludf.DUMMYFUNCTION("vlookup(C261,importrange(""1kw74ismGU34AsZ5x-W4x7F3Zt2xc8NSYcCVMrCJBmdQ"",""DRP for 8 products!B:H""),6,0)"),"BigQuery")</f>
        <v>BigQuery</v>
      </c>
      <c r="M261" s="10" t="str">
        <f t="shared" si="3"/>
        <v>Yes</v>
      </c>
    </row>
    <row r="262">
      <c r="A262" s="4" t="str">
        <f>IFERROR(__xludf.DUMMYFUNCTION("vlookup(C262,IMPORTRANGE(""1Kgoo8qyo6zMtf_5B03ksZz228jg0XpZ4_KXsdHQ4Vks"",""14 Sept!A:B""),2,0)"),"DME3077")</f>
        <v>DME3077</v>
      </c>
      <c r="B262" s="5" t="str">
        <f>IFERROR(__xludf.DUMMYFUNCTION("""COMPUTED_VALUE"""),"Annapurna Ananthula")</f>
        <v>Annapurna Ananthula</v>
      </c>
      <c r="C262" s="5" t="str">
        <f>IFERROR(__xludf.DUMMYFUNCTION("""COMPUTED_VALUE"""),"annapurna.ananthula@onixnet.com")</f>
        <v>annapurna.ananthula@onixnet.com</v>
      </c>
      <c r="D262" s="4" t="s">
        <v>11</v>
      </c>
      <c r="E262" s="6" t="str">
        <f>IFERROR(__xludf.DUMMYFUNCTION("vlookup($A262,importrange(""1fyGnaViAX9kns28pvsfPvI9925sAI7kxPlM7jpuHVJM"",""Validation!A:Z""),11,0)"),"Delivery Services")</f>
        <v>Delivery Services</v>
      </c>
      <c r="F262" s="6" t="str">
        <f>IFERROR(__xludf.DUMMYFUNCTION("vlookup($A262,importrange(""1fyGnaViAX9kns28pvsfPvI9925sAI7kxPlM7jpuHVJM"",""Validation!A:Z""),23,0)"),"Upendra Rangisetti")</f>
        <v>Upendra Rangisetti</v>
      </c>
      <c r="G262" s="6" t="str">
        <f>IFERROR(__xludf.DUMMYFUNCTION("vlookup(A262,importrange(""1fyGnaViAX9kns28pvsfPvI9925sAI7kxPlM7jpuHVJM"",""Validation!A:Z""),22,0)"),"Cluster - Shreepad")</f>
        <v>Cluster - Shreepad</v>
      </c>
      <c r="H262" s="4" t="str">
        <f>IFERROR(__xludf.DUMMYFUNCTION("vlookup(C262,importrange(""1kw74ismGU34AsZ5x-W4x7F3Zt2xc8NSYcCVMrCJBmdQ"",""DRP for 8 products!B:C""),2,0)"),"ONIAAJZA9")</f>
        <v>ONIAAJZA9</v>
      </c>
      <c r="I262" s="7">
        <f>IFERROR(__xludf.DUMMYFUNCTION("vlookup(C262,importrange(""1kw74ismGU34AsZ5x-W4x7F3Zt2xc8NSYcCVMrCJBmdQ"",""DRP for 8 products!B:E""),4,0)"),29.0)</f>
        <v>29</v>
      </c>
      <c r="J262" s="8" t="str">
        <f t="shared" si="1"/>
        <v>Tier 3</v>
      </c>
      <c r="K262" s="9" t="str">
        <f t="shared" si="2"/>
        <v>Active</v>
      </c>
      <c r="L262" s="4" t="str">
        <f>IFERROR(__xludf.DUMMYFUNCTION("vlookup(C262,importrange(""1kw74ismGU34AsZ5x-W4x7F3Zt2xc8NSYcCVMrCJBmdQ"",""DRP for 8 products!B:H""),6,0)"),"BigQuery")</f>
        <v>BigQuery</v>
      </c>
      <c r="M262" s="10" t="str">
        <f t="shared" si="3"/>
        <v>Yes</v>
      </c>
    </row>
    <row r="263">
      <c r="A263" s="4" t="str">
        <f>IFERROR(__xludf.DUMMYFUNCTION("vlookup(C263,IMPORTRANGE(""1Kgoo8qyo6zMtf_5B03ksZz228jg0XpZ4_KXsdHQ4Vks"",""14 Sept!A:B""),2,0)"),"ONIX805")</f>
        <v>ONIX805</v>
      </c>
      <c r="B263" s="5" t="str">
        <f>IFERROR(__xludf.DUMMYFUNCTION("""COMPUTED_VALUE"""),"Vandan Vaishya")</f>
        <v>Vandan Vaishya</v>
      </c>
      <c r="C263" s="5" t="str">
        <f>IFERROR(__xludf.DUMMYFUNCTION("""COMPUTED_VALUE"""),"vandan.vaishya@onixnet.us")</f>
        <v>vandan.vaishya@onixnet.us</v>
      </c>
      <c r="D263" s="4" t="s">
        <v>11</v>
      </c>
      <c r="E263" s="6" t="str">
        <f>IFERROR(__xludf.DUMMYFUNCTION("vlookup($A263,importrange(""1fyGnaViAX9kns28pvsfPvI9925sAI7kxPlM7jpuHVJM"",""Validation!A:Z""),11,0)"),"Delivery")</f>
        <v>Delivery</v>
      </c>
      <c r="F263" s="6" t="str">
        <f>IFERROR(__xludf.DUMMYFUNCTION("vlookup($A263,importrange(""1fyGnaViAX9kns28pvsfPvI9925sAI7kxPlM7jpuHVJM"",""Validation!A:Z""),23,0)"),"Venkat Srinivasan")</f>
        <v>Venkat Srinivasan</v>
      </c>
      <c r="G263" s="6" t="str">
        <f>IFERROR(__xludf.DUMMYFUNCTION("vlookup(A263,importrange(""1fyGnaViAX9kns28pvsfPvI9925sAI7kxPlM7jpuHVJM"",""Validation!A:Z""),22,0)"),"Portfolio - Rajesh")</f>
        <v>Portfolio - Rajesh</v>
      </c>
      <c r="H263" s="4" t="str">
        <f>IFERROR(__xludf.DUMMYFUNCTION("vlookup(C263,importrange(""1kw74ismGU34AsZ5x-W4x7F3Zt2xc8NSYcCVMrCJBmdQ"",""DRP for 8 products!B:C""),2,0)"),"ONIVVZDX1")</f>
        <v>ONIVVZDX1</v>
      </c>
      <c r="I263" s="7">
        <f>IFERROR(__xludf.DUMMYFUNCTION("vlookup(C263,importrange(""1kw74ismGU34AsZ5x-W4x7F3Zt2xc8NSYcCVMrCJBmdQ"",""DRP for 8 products!B:E""),4,0)"),48.0)</f>
        <v>48</v>
      </c>
      <c r="J263" s="8" t="str">
        <f t="shared" si="1"/>
        <v>Tier 2</v>
      </c>
      <c r="K263" s="9" t="str">
        <f t="shared" si="2"/>
        <v>Active</v>
      </c>
      <c r="L263" s="4" t="str">
        <f>IFERROR(__xludf.DUMMYFUNCTION("vlookup(C263,importrange(""1kw74ismGU34AsZ5x-W4x7F3Zt2xc8NSYcCVMrCJBmdQ"",""DRP for 8 products!B:H""),6,0)"),"BigQuery")</f>
        <v>BigQuery</v>
      </c>
      <c r="M263" s="10" t="str">
        <f t="shared" si="3"/>
        <v>Yes</v>
      </c>
    </row>
    <row r="264">
      <c r="A264" s="4" t="str">
        <f>IFERROR(__xludf.DUMMYFUNCTION("vlookup(C264,IMPORTRANGE(""1Kgoo8qyo6zMtf_5B03ksZz228jg0XpZ4_KXsdHQ4Vks"",""14 Sept!A:B""),2,0)"),"DME2710")</f>
        <v>DME2710</v>
      </c>
      <c r="B264" s="5" t="str">
        <f>IFERROR(__xludf.DUMMYFUNCTION("""COMPUTED_VALUE"""),"Aryesh Nair")</f>
        <v>Aryesh Nair</v>
      </c>
      <c r="C264" s="5" t="str">
        <f>IFERROR(__xludf.DUMMYFUNCTION("""COMPUTED_VALUE"""),"aryesh.nair@onixnet.com")</f>
        <v>aryesh.nair@onixnet.com</v>
      </c>
      <c r="D264" s="4" t="s">
        <v>11</v>
      </c>
      <c r="E264" s="6" t="str">
        <f>IFERROR(__xludf.DUMMYFUNCTION("vlookup($A264,importrange(""1fyGnaViAX9kns28pvsfPvI9925sAI7kxPlM7jpuHVJM"",""Validation!A:Z""),11,0)"),"Delivery Services")</f>
        <v>Delivery Services</v>
      </c>
      <c r="F264" s="6" t="str">
        <f>IFERROR(__xludf.DUMMYFUNCTION("vlookup($A264,importrange(""1fyGnaViAX9kns28pvsfPvI9925sAI7kxPlM7jpuHVJM"",""Validation!A:Z""),23,0)"),"Jitender Singh")</f>
        <v>Jitender Singh</v>
      </c>
      <c r="G264" s="6" t="str">
        <f>IFERROR(__xludf.DUMMYFUNCTION("vlookup(A264,importrange(""1fyGnaViAX9kns28pvsfPvI9925sAI7kxPlM7jpuHVJM"",""Validation!A:Z""),22,0)"),"Cluster - Gaurav")</f>
        <v>Cluster - Gaurav</v>
      </c>
      <c r="H264" s="4" t="str">
        <f>IFERROR(__xludf.DUMMYFUNCTION("vlookup(C264,importrange(""1kw74ismGU34AsZ5x-W4x7F3Zt2xc8NSYcCVMrCJBmdQ"",""DRP for 8 products!B:C""),2,0)"),"ONIANPDY8")</f>
        <v>ONIANPDY8</v>
      </c>
      <c r="I264" s="7">
        <f>IFERROR(__xludf.DUMMYFUNCTION("vlookup(C264,importrange(""1kw74ismGU34AsZ5x-W4x7F3Zt2xc8NSYcCVMrCJBmdQ"",""DRP for 8 products!B:E""),4,0)"),25.0)</f>
        <v>25</v>
      </c>
      <c r="J264" s="8" t="str">
        <f t="shared" si="1"/>
        <v>Tier 3</v>
      </c>
      <c r="K264" s="9" t="str">
        <f t="shared" si="2"/>
        <v>Active</v>
      </c>
      <c r="L264" s="4" t="str">
        <f>IFERROR(__xludf.DUMMYFUNCTION("vlookup(C264,importrange(""1kw74ismGU34AsZ5x-W4x7F3Zt2xc8NSYcCVMrCJBmdQ"",""DRP for 8 products!B:H""),6,0)"),"BigQuery")</f>
        <v>BigQuery</v>
      </c>
      <c r="M264" s="10" t="str">
        <f t="shared" si="3"/>
        <v>Yes</v>
      </c>
    </row>
    <row r="265">
      <c r="A265" s="4" t="str">
        <f>IFERROR(__xludf.DUMMYFUNCTION("vlookup(C265,IMPORTRANGE(""1Kgoo8qyo6zMtf_5B03ksZz228jg0XpZ4_KXsdHQ4Vks"",""14 Sept!A:B""),2,0)"),"DME3331")</f>
        <v>DME3331</v>
      </c>
      <c r="B265" s="5" t="str">
        <f>IFERROR(__xludf.DUMMYFUNCTION("""COMPUTED_VALUE"""),"Shivansh Rastogi")</f>
        <v>Shivansh Rastogi</v>
      </c>
      <c r="C265" s="5" t="str">
        <f>IFERROR(__xludf.DUMMYFUNCTION("""COMPUTED_VALUE"""),"shivansh.rastogi@onixnet.com")</f>
        <v>shivansh.rastogi@onixnet.com</v>
      </c>
      <c r="D265" s="4" t="s">
        <v>11</v>
      </c>
      <c r="E265" s="6" t="str">
        <f>IFERROR(__xludf.DUMMYFUNCTION("vlookup($A265,importrange(""1fyGnaViAX9kns28pvsfPvI9925sAI7kxPlM7jpuHVJM"",""Validation!A:Z""),11,0)"),"Delivery Services")</f>
        <v>Delivery Services</v>
      </c>
      <c r="F265" s="6" t="str">
        <f>IFERROR(__xludf.DUMMYFUNCTION("vlookup($A265,importrange(""1fyGnaViAX9kns28pvsfPvI9925sAI7kxPlM7jpuHVJM"",""Validation!A:Z""),23,0)"),"Varun Katyal")</f>
        <v>Varun Katyal</v>
      </c>
      <c r="G265" s="6" t="str">
        <f>IFERROR(__xludf.DUMMYFUNCTION("vlookup(A265,importrange(""1fyGnaViAX9kns28pvsfPvI9925sAI7kxPlM7jpuHVJM"",""Validation!A:Z""),22,0)"),"Cluster - Varun")</f>
        <v>Cluster - Varun</v>
      </c>
      <c r="H265" s="4" t="str">
        <f>IFERROR(__xludf.DUMMYFUNCTION("vlookup(C265,importrange(""1kw74ismGU34AsZ5x-W4x7F3Zt2xc8NSYcCVMrCJBmdQ"",""DRP for 8 products!B:C""),2,0)"),"ONISRACH1")</f>
        <v>ONISRACH1</v>
      </c>
      <c r="I265" s="7">
        <f>IFERROR(__xludf.DUMMYFUNCTION("vlookup(C265,importrange(""1kw74ismGU34AsZ5x-W4x7F3Zt2xc8NSYcCVMrCJBmdQ"",""DRP for 8 products!B:E""),4,0)"),24.0)</f>
        <v>24</v>
      </c>
      <c r="J265" s="8" t="str">
        <f t="shared" si="1"/>
        <v>Tier 3</v>
      </c>
      <c r="K265" s="9" t="str">
        <f t="shared" si="2"/>
        <v>Active</v>
      </c>
      <c r="L265" s="4" t="str">
        <f>IFERROR(__xludf.DUMMYFUNCTION("vlookup(C265,importrange(""1kw74ismGU34AsZ5x-W4x7F3Zt2xc8NSYcCVMrCJBmdQ"",""DRP for 8 products!B:H""),6,0)"),"AlloyDB for PostgreSQL")</f>
        <v>AlloyDB for PostgreSQL</v>
      </c>
      <c r="M265" s="10" t="str">
        <f t="shared" si="3"/>
        <v>Yes</v>
      </c>
    </row>
    <row r="266">
      <c r="A266" s="4" t="str">
        <f>IFERROR(__xludf.DUMMYFUNCTION("vlookup(C266,IMPORTRANGE(""1Kgoo8qyo6zMtf_5B03ksZz228jg0XpZ4_KXsdHQ4Vks"",""14 Sept!A:B""),2,0)"),"ONIX658")</f>
        <v>ONIX658</v>
      </c>
      <c r="B266" s="5" t="str">
        <f>IFERROR(__xludf.DUMMYFUNCTION("""COMPUTED_VALUE"""),"Katie Fulton")</f>
        <v>Katie Fulton</v>
      </c>
      <c r="C266" s="5" t="str">
        <f>IFERROR(__xludf.DUMMYFUNCTION("""COMPUTED_VALUE"""),"katie.fulton@onixnet.com")</f>
        <v>katie.fulton@onixnet.com</v>
      </c>
      <c r="D266" s="4" t="s">
        <v>11</v>
      </c>
      <c r="E266" s="6" t="str">
        <f>IFERROR(__xludf.DUMMYFUNCTION("vlookup($A266,importrange(""1fyGnaViAX9kns28pvsfPvI9925sAI7kxPlM7jpuHVJM"",""Validation!A:Z""),11,0)"),"Services")</f>
        <v>Services</v>
      </c>
      <c r="F266" s="6" t="str">
        <f>IFERROR(__xludf.DUMMYFUNCTION("vlookup($A266,importrange(""1fyGnaViAX9kns28pvsfPvI9925sAI7kxPlM7jpuHVJM"",""Validation!A:Z""),23,0)"),"Joshua Shnider")</f>
        <v>Joshua Shnider</v>
      </c>
      <c r="G266" s="6" t="str">
        <f>IFERROR(__xludf.DUMMYFUNCTION("vlookup(A266,importrange(""1fyGnaViAX9kns28pvsfPvI9925sAI7kxPlM7jpuHVJM"",""Validation!A:Z""),22,0)"),"Portfolio - Kanth")</f>
        <v>Portfolio - Kanth</v>
      </c>
      <c r="H266" s="4" t="str">
        <f>IFERROR(__xludf.DUMMYFUNCTION("vlookup(C266,importrange(""1kw74ismGU34AsZ5x-W4x7F3Zt2xc8NSYcCVMrCJBmdQ"",""DRP for 8 products!B:C""),2,0)"),"ONIKFTXU9")</f>
        <v>ONIKFTXU9</v>
      </c>
      <c r="I266" s="7">
        <f>IFERROR(__xludf.DUMMYFUNCTION("vlookup(C266,importrange(""1kw74ismGU34AsZ5x-W4x7F3Zt2xc8NSYcCVMrCJBmdQ"",""DRP for 8 products!B:E""),4,0)"),14.0)</f>
        <v>14</v>
      </c>
      <c r="J266" s="8" t="str">
        <f t="shared" si="1"/>
        <v>Tier 4</v>
      </c>
      <c r="K266" s="9" t="str">
        <f t="shared" si="2"/>
        <v>Active</v>
      </c>
      <c r="L266" s="4" t="str">
        <f>IFERROR(__xludf.DUMMYFUNCTION("vlookup(C266,importrange(""1kw74ismGU34AsZ5x-W4x7F3Zt2xc8NSYcCVMrCJBmdQ"",""DRP for 8 products!B:H""),6,0)"),"BigQuery")</f>
        <v>BigQuery</v>
      </c>
      <c r="M266" s="10" t="str">
        <f t="shared" si="3"/>
        <v>Yes</v>
      </c>
    </row>
    <row r="267">
      <c r="A267" s="4" t="str">
        <f>IFERROR(__xludf.DUMMYFUNCTION("vlookup(C267,IMPORTRANGE(""1Kgoo8qyo6zMtf_5B03ksZz228jg0XpZ4_KXsdHQ4Vks"",""14 Sept!A:B""),2,0)"),"DME3358")</f>
        <v>DME3358</v>
      </c>
      <c r="B267" s="5" t="str">
        <f>IFERROR(__xludf.DUMMYFUNCTION("""COMPUTED_VALUE"""),"Balasubramani Sundar")</f>
        <v>Balasubramani Sundar</v>
      </c>
      <c r="C267" s="5" t="str">
        <f>IFERROR(__xludf.DUMMYFUNCTION("""COMPUTED_VALUE"""),"balasubramani.sundar@onixnet.com")</f>
        <v>balasubramani.sundar@onixnet.com</v>
      </c>
      <c r="D267" s="4" t="s">
        <v>11</v>
      </c>
      <c r="E267" s="6" t="str">
        <f>IFERROR(__xludf.DUMMYFUNCTION("vlookup($A267,importrange(""1fyGnaViAX9kns28pvsfPvI9925sAI7kxPlM7jpuHVJM"",""Validation!A:Z""),11,0)"),"Delivery Services")</f>
        <v>Delivery Services</v>
      </c>
      <c r="F267" s="6" t="str">
        <f>IFERROR(__xludf.DUMMYFUNCTION("vlookup($A267,importrange(""1fyGnaViAX9kns28pvsfPvI9925sAI7kxPlM7jpuHVJM"",""Validation!A:Z""),23,0)"),"Indrajit Omprakash Bhagat")</f>
        <v>Indrajit Omprakash Bhagat</v>
      </c>
      <c r="G267" s="6" t="str">
        <f>IFERROR(__xludf.DUMMYFUNCTION("vlookup(A267,importrange(""1fyGnaViAX9kns28pvsfPvI9925sAI7kxPlM7jpuHVJM"",""Validation!A:Z""),22,0)"),"Cluster - Varun")</f>
        <v>Cluster - Varun</v>
      </c>
      <c r="H267" s="4" t="str">
        <f>IFERROR(__xludf.DUMMYFUNCTION("vlookup(C267,importrange(""1kw74ismGU34AsZ5x-W4x7F3Zt2xc8NSYcCVMrCJBmdQ"",""DRP for 8 products!B:C""),2,0)"),"ONIBSFFX7")</f>
        <v>ONIBSFFX7</v>
      </c>
      <c r="I267" s="7">
        <f>IFERROR(__xludf.DUMMYFUNCTION("vlookup(C267,importrange(""1kw74ismGU34AsZ5x-W4x7F3Zt2xc8NSYcCVMrCJBmdQ"",""DRP for 8 products!B:E""),4,0)"),24.0)</f>
        <v>24</v>
      </c>
      <c r="J267" s="8" t="str">
        <f t="shared" si="1"/>
        <v>Tier 3</v>
      </c>
      <c r="K267" s="9" t="str">
        <f t="shared" si="2"/>
        <v>Active</v>
      </c>
      <c r="L267" s="4" t="str">
        <f>IFERROR(__xludf.DUMMYFUNCTION("vlookup(C267,importrange(""1kw74ismGU34AsZ5x-W4x7F3Zt2xc8NSYcCVMrCJBmdQ"",""DRP for 8 products!B:H""),6,0)"),"BigQuery")</f>
        <v>BigQuery</v>
      </c>
      <c r="M267" s="10" t="str">
        <f t="shared" si="3"/>
        <v>Yes</v>
      </c>
    </row>
    <row r="268">
      <c r="A268" s="4" t="str">
        <f>IFERROR(__xludf.DUMMYFUNCTION("vlookup(C268,IMPORTRANGE(""1Kgoo8qyo6zMtf_5B03ksZz228jg0XpZ4_KXsdHQ4Vks"",""14 Sept!A:B""),2,0)"),"ONIX923")</f>
        <v>ONIX923</v>
      </c>
      <c r="B268" s="5" t="str">
        <f>IFERROR(__xludf.DUMMYFUNCTION("""COMPUTED_VALUE"""),"Megan Hostetter")</f>
        <v>Megan Hostetter</v>
      </c>
      <c r="C268" s="5" t="str">
        <f>IFERROR(__xludf.DUMMYFUNCTION("""COMPUTED_VALUE"""),"megan.hostetter@onixnet.com")</f>
        <v>megan.hostetter@onixnet.com</v>
      </c>
      <c r="D268" s="4" t="s">
        <v>11</v>
      </c>
      <c r="E268" s="6" t="str">
        <f>IFERROR(__xludf.DUMMYFUNCTION("vlookup($A268,importrange(""1fyGnaViAX9kns28pvsfPvI9925sAI7kxPlM7jpuHVJM"",""Validation!A:Z""),11,0)"),"Delivery Services")</f>
        <v>Delivery Services</v>
      </c>
      <c r="F268" s="6" t="str">
        <f>IFERROR(__xludf.DUMMYFUNCTION("vlookup($A268,importrange(""1fyGnaViAX9kns28pvsfPvI9925sAI7kxPlM7jpuHVJM"",""Validation!A:Z""),23,0)"),"Gaurav Agarwaal")</f>
        <v>Gaurav Agarwaal</v>
      </c>
      <c r="G268" s="6" t="str">
        <f>IFERROR(__xludf.DUMMYFUNCTION("vlookup(A268,importrange(""1fyGnaViAX9kns28pvsfPvI9925sAI7kxPlM7jpuHVJM"",""Validation!A:Z""),22,0)"),"Cluster - Gaurav")</f>
        <v>Cluster - Gaurav</v>
      </c>
      <c r="H268" s="4" t="str">
        <f>IFERROR(__xludf.DUMMYFUNCTION("vlookup(C268,importrange(""1kw74ismGU34AsZ5x-W4x7F3Zt2xc8NSYcCVMrCJBmdQ"",""DRP for 8 products!B:C""),2,0)"),"ONIMHFBO8")</f>
        <v>ONIMHFBO8</v>
      </c>
      <c r="I268" s="7">
        <f>IFERROR(__xludf.DUMMYFUNCTION("vlookup(C268,importrange(""1kw74ismGU34AsZ5x-W4x7F3Zt2xc8NSYcCVMrCJBmdQ"",""DRP for 8 products!B:E""),4,0)"),24.0)</f>
        <v>24</v>
      </c>
      <c r="J268" s="8" t="str">
        <f t="shared" si="1"/>
        <v>Tier 3</v>
      </c>
      <c r="K268" s="9" t="str">
        <f t="shared" si="2"/>
        <v>Active</v>
      </c>
      <c r="L268" s="4" t="str">
        <f>IFERROR(__xludf.DUMMYFUNCTION("vlookup(C268,importrange(""1kw74ismGU34AsZ5x-W4x7F3Zt2xc8NSYcCVMrCJBmdQ"",""DRP for 8 products!B:H""),6,0)"),"BigQuery")</f>
        <v>BigQuery</v>
      </c>
      <c r="M268" s="10" t="str">
        <f t="shared" si="3"/>
        <v>Yes</v>
      </c>
    </row>
    <row r="269">
      <c r="A269" s="4" t="str">
        <f>IFERROR(__xludf.DUMMYFUNCTION("vlookup(C269,IMPORTRANGE(""1Kgoo8qyo6zMtf_5B03ksZz228jg0XpZ4_KXsdHQ4Vks"",""14 Sept!A:B""),2,0)"),"ONIX750")</f>
        <v>ONIX750</v>
      </c>
      <c r="B269" s="5" t="str">
        <f>IFERROR(__xludf.DUMMYFUNCTION("""COMPUTED_VALUE"""),"Vijay Devidas Mali")</f>
        <v>Vijay Devidas Mali</v>
      </c>
      <c r="C269" s="5" t="str">
        <f>IFERROR(__xludf.DUMMYFUNCTION("""COMPUTED_VALUE"""),"vijay.mali@onixnet.com")</f>
        <v>vijay.mali@onixnet.com</v>
      </c>
      <c r="D269" s="4" t="s">
        <v>11</v>
      </c>
      <c r="E269" s="6" t="str">
        <f>IFERROR(__xludf.DUMMYFUNCTION("vlookup($A269,importrange(""1fyGnaViAX9kns28pvsfPvI9925sAI7kxPlM7jpuHVJM"",""Validation!A:Z""),11,0)"),"Solution Management")</f>
        <v>Solution Management</v>
      </c>
      <c r="F269" s="6" t="str">
        <f>IFERROR(__xludf.DUMMYFUNCTION("vlookup($A269,importrange(""1fyGnaViAX9kns28pvsfPvI9925sAI7kxPlM7jpuHVJM"",""Validation!A:Z""),23,0)"),"Venkat Srinivasan")</f>
        <v>Venkat Srinivasan</v>
      </c>
      <c r="G269" s="6" t="str">
        <f>IFERROR(__xludf.DUMMYFUNCTION("vlookup(A269,importrange(""1fyGnaViAX9kns28pvsfPvI9925sAI7kxPlM7jpuHVJM"",""Validation!A:Z""),22,0)"),"Portfolio - Rajesh")</f>
        <v>Portfolio - Rajesh</v>
      </c>
      <c r="H269" s="4" t="str">
        <f>IFERROR(__xludf.DUMMYFUNCTION("vlookup(C269,importrange(""1kw74ismGU34AsZ5x-W4x7F3Zt2xc8NSYcCVMrCJBmdQ"",""DRP for 8 products!B:C""),2,0)"),"ONIVMSWL7")</f>
        <v>ONIVMSWL7</v>
      </c>
      <c r="I269" s="7">
        <f>IFERROR(__xludf.DUMMYFUNCTION("vlookup(C269,importrange(""1kw74ismGU34AsZ5x-W4x7F3Zt2xc8NSYcCVMrCJBmdQ"",""DRP for 8 products!B:E""),4,0)"),44.0)</f>
        <v>44</v>
      </c>
      <c r="J269" s="8" t="str">
        <f t="shared" si="1"/>
        <v>Tier 2</v>
      </c>
      <c r="K269" s="9" t="str">
        <f t="shared" si="2"/>
        <v>Active</v>
      </c>
      <c r="L269" s="4" t="str">
        <f>IFERROR(__xludf.DUMMYFUNCTION("vlookup(C269,importrange(""1kw74ismGU34AsZ5x-W4x7F3Zt2xc8NSYcCVMrCJBmdQ"",""DRP for 8 products!B:H""),6,0)"),"BigQuery")</f>
        <v>BigQuery</v>
      </c>
      <c r="M269" s="10" t="str">
        <f t="shared" si="3"/>
        <v>Yes</v>
      </c>
    </row>
    <row r="270">
      <c r="A270" s="4" t="str">
        <f>IFERROR(__xludf.DUMMYFUNCTION("vlookup(C270,IMPORTRANGE(""1Kgoo8qyo6zMtf_5B03ksZz228jg0XpZ4_KXsdHQ4Vks"",""14 Sept!A:B""),2,0)"),"DME1546")</f>
        <v>DME1546</v>
      </c>
      <c r="B270" s="5" t="str">
        <f>IFERROR(__xludf.DUMMYFUNCTION("""COMPUTED_VALUE"""),"Gauri Jadhav")</f>
        <v>Gauri Jadhav</v>
      </c>
      <c r="C270" s="5" t="str">
        <f>IFERROR(__xludf.DUMMYFUNCTION("""COMPUTED_VALUE"""),"gauri.jadhav@onixnet.com")</f>
        <v>gauri.jadhav@onixnet.com</v>
      </c>
      <c r="D270" s="4" t="s">
        <v>11</v>
      </c>
      <c r="E270" s="6" t="str">
        <f>IFERROR(__xludf.DUMMYFUNCTION("vlookup($A270,importrange(""1fyGnaViAX9kns28pvsfPvI9925sAI7kxPlM7jpuHVJM"",""Validation!A:Z""),11,0)"),"Delivery Services")</f>
        <v>Delivery Services</v>
      </c>
      <c r="F270" s="6" t="str">
        <f>IFERROR(__xludf.DUMMYFUNCTION("vlookup($A270,importrange(""1fyGnaViAX9kns28pvsfPvI9925sAI7kxPlM7jpuHVJM"",""Validation!A:Z""),23,0)"),"Shubham Agnihotri")</f>
        <v>Shubham Agnihotri</v>
      </c>
      <c r="G270" s="6" t="str">
        <f>IFERROR(__xludf.DUMMYFUNCTION("vlookup(A270,importrange(""1fyGnaViAX9kns28pvsfPvI9925sAI7kxPlM7jpuHVJM"",""Validation!A:Z""),22,0)"),"Cluster - Gaurav")</f>
        <v>Cluster - Gaurav</v>
      </c>
      <c r="H270" s="4" t="str">
        <f>IFERROR(__xludf.DUMMYFUNCTION("vlookup(C270,importrange(""1kw74ismGU34AsZ5x-W4x7F3Zt2xc8NSYcCVMrCJBmdQ"",""DRP for 8 products!B:C""),2,0)"),"ONIGJYLQ2")</f>
        <v>ONIGJYLQ2</v>
      </c>
      <c r="I270" s="7">
        <f>IFERROR(__xludf.DUMMYFUNCTION("vlookup(C270,importrange(""1kw74ismGU34AsZ5x-W4x7F3Zt2xc8NSYcCVMrCJBmdQ"",""DRP for 8 products!B:E""),4,0)"),29.0)</f>
        <v>29</v>
      </c>
      <c r="J270" s="8" t="str">
        <f t="shared" si="1"/>
        <v>Tier 3</v>
      </c>
      <c r="K270" s="9" t="str">
        <f t="shared" si="2"/>
        <v>Active</v>
      </c>
      <c r="L270" s="4" t="str">
        <f>IFERROR(__xludf.DUMMYFUNCTION("vlookup(C270,importrange(""1kw74ismGU34AsZ5x-W4x7F3Zt2xc8NSYcCVMrCJBmdQ"",""DRP for 8 products!B:H""),6,0)"),"BigQuery")</f>
        <v>BigQuery</v>
      </c>
      <c r="M270" s="10" t="str">
        <f t="shared" si="3"/>
        <v>Yes</v>
      </c>
    </row>
    <row r="271">
      <c r="A271" s="4" t="str">
        <f>IFERROR(__xludf.DUMMYFUNCTION("vlookup(C271,IMPORTRANGE(""1Kgoo8qyo6zMtf_5B03ksZz228jg0XpZ4_KXsdHQ4Vks"",""14 Sept!A:B""),2,0)"),"DME2638")</f>
        <v>DME2638</v>
      </c>
      <c r="B271" s="5" t="str">
        <f>IFERROR(__xludf.DUMMYFUNCTION("""COMPUTED_VALUE"""),"Prakalp Pande")</f>
        <v>Prakalp Pande</v>
      </c>
      <c r="C271" s="5" t="str">
        <f>IFERROR(__xludf.DUMMYFUNCTION("""COMPUTED_VALUE"""),"prakalp.pande@onixnet.com")</f>
        <v>prakalp.pande@onixnet.com</v>
      </c>
      <c r="D271" s="4" t="s">
        <v>11</v>
      </c>
      <c r="E271" s="6" t="str">
        <f>IFERROR(__xludf.DUMMYFUNCTION("vlookup($A271,importrange(""1fyGnaViAX9kns28pvsfPvI9925sAI7kxPlM7jpuHVJM"",""Validation!A:Z""),11,0)"),"Delivery Services")</f>
        <v>Delivery Services</v>
      </c>
      <c r="F271" s="6" t="str">
        <f>IFERROR(__xludf.DUMMYFUNCTION("vlookup($A271,importrange(""1fyGnaViAX9kns28pvsfPvI9925sAI7kxPlM7jpuHVJM"",""Validation!A:Z""),23,0)"),"Prabhat Jain")</f>
        <v>Prabhat Jain</v>
      </c>
      <c r="G271" s="6" t="str">
        <f>IFERROR(__xludf.DUMMYFUNCTION("vlookup(A271,importrange(""1fyGnaViAX9kns28pvsfPvI9925sAI7kxPlM7jpuHVJM"",""Validation!A:Z""),22,0)"),"Cluster - Gaurav")</f>
        <v>Cluster - Gaurav</v>
      </c>
      <c r="H271" s="4" t="str">
        <f>IFERROR(__xludf.DUMMYFUNCTION("vlookup(C271,importrange(""1kw74ismGU34AsZ5x-W4x7F3Zt2xc8NSYcCVMrCJBmdQ"",""DRP for 8 products!B:C""),2,0)"),"ONIPPAYZ7")</f>
        <v>ONIPPAYZ7</v>
      </c>
      <c r="I271" s="7">
        <f>IFERROR(__xludf.DUMMYFUNCTION("vlookup(C271,importrange(""1kw74ismGU34AsZ5x-W4x7F3Zt2xc8NSYcCVMrCJBmdQ"",""DRP for 8 products!B:E""),4,0)"),46.0)</f>
        <v>46</v>
      </c>
      <c r="J271" s="8" t="str">
        <f t="shared" si="1"/>
        <v>Tier 2</v>
      </c>
      <c r="K271" s="9" t="str">
        <f t="shared" si="2"/>
        <v>Active</v>
      </c>
      <c r="L271" s="4" t="str">
        <f>IFERROR(__xludf.DUMMYFUNCTION("vlookup(C271,importrange(""1kw74ismGU34AsZ5x-W4x7F3Zt2xc8NSYcCVMrCJBmdQ"",""DRP for 8 products!B:H""),6,0)"),"BigQuery")</f>
        <v>BigQuery</v>
      </c>
      <c r="M271" s="10" t="str">
        <f t="shared" si="3"/>
        <v>Yes</v>
      </c>
    </row>
    <row r="272">
      <c r="A272" s="4" t="str">
        <f>IFERROR(__xludf.DUMMYFUNCTION("vlookup(C272,IMPORTRANGE(""1Kgoo8qyo6zMtf_5B03ksZz228jg0XpZ4_KXsdHQ4Vks"",""14 Sept!A:B""),2,0)"),"DME1742")</f>
        <v>DME1742</v>
      </c>
      <c r="B272" s="5" t="str">
        <f>IFERROR(__xludf.DUMMYFUNCTION("""COMPUTED_VALUE"""),"zameer karbelkar")</f>
        <v>zameer karbelkar</v>
      </c>
      <c r="C272" s="5" t="str">
        <f>IFERROR(__xludf.DUMMYFUNCTION("""COMPUTED_VALUE"""),"zameer.karbelkar@onixnet.com")</f>
        <v>zameer.karbelkar@onixnet.com</v>
      </c>
      <c r="D272" s="4" t="s">
        <v>11</v>
      </c>
      <c r="E272" s="6" t="str">
        <f>IFERROR(__xludf.DUMMYFUNCTION("vlookup($A272,importrange(""1fyGnaViAX9kns28pvsfPvI9925sAI7kxPlM7jpuHVJM"",""Validation!A:Z""),11,0)"),"Delivery Services")</f>
        <v>Delivery Services</v>
      </c>
      <c r="F272" s="6" t="str">
        <f>IFERROR(__xludf.DUMMYFUNCTION("vlookup($A272,importrange(""1fyGnaViAX9kns28pvsfPvI9925sAI7kxPlM7jpuHVJM"",""Validation!A:Z""),23,0)"),"Anushri Agrawal")</f>
        <v>Anushri Agrawal</v>
      </c>
      <c r="G272" s="6" t="str">
        <f>IFERROR(__xludf.DUMMYFUNCTION("vlookup(A272,importrange(""1fyGnaViAX9kns28pvsfPvI9925sAI7kxPlM7jpuHVJM"",""Validation!A:Z""),22,0)"),"Cluster - Gaurav")</f>
        <v>Cluster - Gaurav</v>
      </c>
      <c r="H272" s="4" t="str">
        <f>IFERROR(__xludf.DUMMYFUNCTION("vlookup(C272,importrange(""1kw74ismGU34AsZ5x-W4x7F3Zt2xc8NSYcCVMrCJBmdQ"",""DRP for 8 products!B:C""),2,0)"),"ONIZKPQI2")</f>
        <v>ONIZKPQI2</v>
      </c>
      <c r="I272" s="7">
        <f>IFERROR(__xludf.DUMMYFUNCTION("vlookup(C272,importrange(""1kw74ismGU34AsZ5x-W4x7F3Zt2xc8NSYcCVMrCJBmdQ"",""DRP for 8 products!B:E""),4,0)"),49.0)</f>
        <v>49</v>
      </c>
      <c r="J272" s="8" t="str">
        <f t="shared" si="1"/>
        <v>Tier 2</v>
      </c>
      <c r="K272" s="9" t="str">
        <f t="shared" si="2"/>
        <v>Active</v>
      </c>
      <c r="L272" s="4" t="str">
        <f>IFERROR(__xludf.DUMMYFUNCTION("vlookup(C272,importrange(""1kw74ismGU34AsZ5x-W4x7F3Zt2xc8NSYcCVMrCJBmdQ"",""DRP for 8 products!B:H""),6,0)"),"BigQuery")</f>
        <v>BigQuery</v>
      </c>
      <c r="M272" s="10" t="str">
        <f t="shared" si="3"/>
        <v>Yes</v>
      </c>
    </row>
    <row r="273">
      <c r="A273" s="4" t="str">
        <f>IFERROR(__xludf.DUMMYFUNCTION("vlookup(C273,IMPORTRANGE(""1Kgoo8qyo6zMtf_5B03ksZz228jg0XpZ4_KXsdHQ4Vks"",""14 Sept!A:B""),2,0)"),"DME2596")</f>
        <v>DME2596</v>
      </c>
      <c r="B273" s="5" t="str">
        <f>IFERROR(__xludf.DUMMYFUNCTION("""COMPUTED_VALUE"""),"kushal hedaoo")</f>
        <v>kushal hedaoo</v>
      </c>
      <c r="C273" s="5" t="str">
        <f>IFERROR(__xludf.DUMMYFUNCTION("""COMPUTED_VALUE"""),"kushal.hedaoo@onixnet.com")</f>
        <v>kushal.hedaoo@onixnet.com</v>
      </c>
      <c r="D273" s="4" t="s">
        <v>11</v>
      </c>
      <c r="E273" s="6" t="str">
        <f>IFERROR(__xludf.DUMMYFUNCTION("vlookup($A273,importrange(""1fyGnaViAX9kns28pvsfPvI9925sAI7kxPlM7jpuHVJM"",""Validation!A:Z""),11,0)"),"Professional Services")</f>
        <v>Professional Services</v>
      </c>
      <c r="F273" s="6" t="str">
        <f>IFERROR(__xludf.DUMMYFUNCTION("vlookup($A273,importrange(""1fyGnaViAX9kns28pvsfPvI9925sAI7kxPlM7jpuHVJM"",""Validation!A:Z""),23,0)"),"Manoj Patil")</f>
        <v>Manoj Patil</v>
      </c>
      <c r="G273" s="6" t="str">
        <f>IFERROR(__xludf.DUMMYFUNCTION("vlookup(A273,importrange(""1fyGnaViAX9kns28pvsfPvI9925sAI7kxPlM7jpuHVJM"",""Validation!A:Z""),22,0)"),"Cluster - Shreepad")</f>
        <v>Cluster - Shreepad</v>
      </c>
      <c r="H273" s="4" t="str">
        <f>IFERROR(__xludf.DUMMYFUNCTION("vlookup(C273,importrange(""1kw74ismGU34AsZ5x-W4x7F3Zt2xc8NSYcCVMrCJBmdQ"",""DRP for 8 products!B:C""),2,0)"),"ONIKHCEQ5")</f>
        <v>ONIKHCEQ5</v>
      </c>
      <c r="I273" s="7">
        <f>IFERROR(__xludf.DUMMYFUNCTION("vlookup(C273,importrange(""1kw74ismGU34AsZ5x-W4x7F3Zt2xc8NSYcCVMrCJBmdQ"",""DRP for 8 products!B:E""),4,0)"),53.0)</f>
        <v>53</v>
      </c>
      <c r="J273" s="8" t="str">
        <f t="shared" si="1"/>
        <v>Tier 1</v>
      </c>
      <c r="K273" s="9" t="str">
        <f t="shared" si="2"/>
        <v>Active</v>
      </c>
      <c r="L273" s="4" t="str">
        <f>IFERROR(__xludf.DUMMYFUNCTION("vlookup(C273,importrange(""1kw74ismGU34AsZ5x-W4x7F3Zt2xc8NSYcCVMrCJBmdQ"",""DRP for 8 products!B:H""),6,0)"),"BigQuery")</f>
        <v>BigQuery</v>
      </c>
      <c r="M273" s="10" t="str">
        <f t="shared" si="3"/>
        <v>Yes</v>
      </c>
    </row>
    <row r="274">
      <c r="A274" s="4" t="str">
        <f>IFERROR(__xludf.DUMMYFUNCTION("vlookup(C274,IMPORTRANGE(""1Kgoo8qyo6zMtf_5B03ksZz228jg0XpZ4_KXsdHQ4Vks"",""14 Sept!A:B""),2,0)"),"DME1858")</f>
        <v>DME1858</v>
      </c>
      <c r="B274" s="5" t="str">
        <f>IFERROR(__xludf.DUMMYFUNCTION("""COMPUTED_VALUE"""),"Sagar Thakare")</f>
        <v>Sagar Thakare</v>
      </c>
      <c r="C274" s="5" t="str">
        <f>IFERROR(__xludf.DUMMYFUNCTION("""COMPUTED_VALUE"""),"sagar.thakre@onixnet.com")</f>
        <v>sagar.thakre@onixnet.com</v>
      </c>
      <c r="D274" s="4" t="s">
        <v>11</v>
      </c>
      <c r="E274" s="6" t="str">
        <f>IFERROR(__xludf.DUMMYFUNCTION("vlookup($A274,importrange(""1fyGnaViAX9kns28pvsfPvI9925sAI7kxPlM7jpuHVJM"",""Validation!A:Z""),11,0)"),"Eagle Assessment")</f>
        <v>Eagle Assessment</v>
      </c>
      <c r="F274" s="6" t="str">
        <f>IFERROR(__xludf.DUMMYFUNCTION("vlookup($A274,importrange(""1fyGnaViAX9kns28pvsfPvI9925sAI7kxPlM7jpuHVJM"",""Validation!A:Z""),23,0)"),"Ankit Khandelwal")</f>
        <v>Ankit Khandelwal</v>
      </c>
      <c r="G274" s="6" t="str">
        <f>IFERROR(__xludf.DUMMYFUNCTION("vlookup(A274,importrange(""1fyGnaViAX9kns28pvsfPvI9925sAI7kxPlM7jpuHVJM"",""Validation!A:Z""),22,0)"),"Cluster - Kalpa")</f>
        <v>Cluster - Kalpa</v>
      </c>
      <c r="H274" s="4" t="str">
        <f>IFERROR(__xludf.DUMMYFUNCTION("vlookup(C274,importrange(""1kw74ismGU34AsZ5x-W4x7F3Zt2xc8NSYcCVMrCJBmdQ"",""DRP for 8 products!B:C""),2,0)"),"ONISTNVJ8")</f>
        <v>ONISTNVJ8</v>
      </c>
      <c r="I274" s="7">
        <f>IFERROR(__xludf.DUMMYFUNCTION("vlookup(C274,importrange(""1kw74ismGU34AsZ5x-W4x7F3Zt2xc8NSYcCVMrCJBmdQ"",""DRP for 8 products!B:E""),4,0)"),10.0)</f>
        <v>10</v>
      </c>
      <c r="J274" s="8" t="str">
        <f t="shared" si="1"/>
        <v>Tier 4</v>
      </c>
      <c r="K274" s="9" t="str">
        <f t="shared" si="2"/>
        <v>Active</v>
      </c>
      <c r="L274" s="4" t="str">
        <f>IFERROR(__xludf.DUMMYFUNCTION("vlookup(C274,importrange(""1kw74ismGU34AsZ5x-W4x7F3Zt2xc8NSYcCVMrCJBmdQ"",""DRP for 8 products!B:H""),6,0)"),"AlloyDB for PostgreSQL")</f>
        <v>AlloyDB for PostgreSQL</v>
      </c>
      <c r="M274" s="10" t="str">
        <f t="shared" si="3"/>
        <v>Yes</v>
      </c>
    </row>
    <row r="275">
      <c r="A275" s="4" t="str">
        <f>IFERROR(__xludf.DUMMYFUNCTION("vlookup(C275,IMPORTRANGE(""1Kgoo8qyo6zMtf_5B03ksZz228jg0XpZ4_KXsdHQ4Vks"",""14 Sept!A:B""),2,0)"),"DME3381")</f>
        <v>DME3381</v>
      </c>
      <c r="B275" s="5" t="str">
        <f>IFERROR(__xludf.DUMMYFUNCTION("""COMPUTED_VALUE"""),"Akshay Pawar")</f>
        <v>Akshay Pawar</v>
      </c>
      <c r="C275" s="5" t="str">
        <f>IFERROR(__xludf.DUMMYFUNCTION("""COMPUTED_VALUE"""),"akshay.pawar@onixnet.com")</f>
        <v>akshay.pawar@onixnet.com</v>
      </c>
      <c r="D275" s="4" t="s">
        <v>11</v>
      </c>
      <c r="E275" s="6" t="str">
        <f>IFERROR(__xludf.DUMMYFUNCTION("vlookup($A275,importrange(""1fyGnaViAX9kns28pvsfPvI9925sAI7kxPlM7jpuHVJM"",""Validation!A:Z""),11,0)"),"Delivery Services")</f>
        <v>Delivery Services</v>
      </c>
      <c r="F275" s="6" t="str">
        <f>IFERROR(__xludf.DUMMYFUNCTION("vlookup($A275,importrange(""1fyGnaViAX9kns28pvsfPvI9925sAI7kxPlM7jpuHVJM"",""Validation!A:Z""),23,0)"),"Vishal Khare")</f>
        <v>Vishal Khare</v>
      </c>
      <c r="G275" s="6" t="str">
        <f>IFERROR(__xludf.DUMMYFUNCTION("vlookup(A275,importrange(""1fyGnaViAX9kns28pvsfPvI9925sAI7kxPlM7jpuHVJM"",""Validation!A:Z""),22,0)"),"Cluster - Sagar")</f>
        <v>Cluster - Sagar</v>
      </c>
      <c r="H275" s="4" t="str">
        <f>IFERROR(__xludf.DUMMYFUNCTION("vlookup(C275,importrange(""1kw74ismGU34AsZ5x-W4x7F3Zt2xc8NSYcCVMrCJBmdQ"",""DRP for 8 products!B:C""),2,0)"),"ONIAPBUH6")</f>
        <v>ONIAPBUH6</v>
      </c>
      <c r="I275" s="7">
        <f>IFERROR(__xludf.DUMMYFUNCTION("vlookup(C275,importrange(""1kw74ismGU34AsZ5x-W4x7F3Zt2xc8NSYcCVMrCJBmdQ"",""DRP for 8 products!B:E""),4,0)"),27.0)</f>
        <v>27</v>
      </c>
      <c r="J275" s="8" t="str">
        <f t="shared" si="1"/>
        <v>Tier 3</v>
      </c>
      <c r="K275" s="9" t="str">
        <f t="shared" si="2"/>
        <v>Active</v>
      </c>
      <c r="L275" s="4" t="str">
        <f>IFERROR(__xludf.DUMMYFUNCTION("vlookup(C275,importrange(""1kw74ismGU34AsZ5x-W4x7F3Zt2xc8NSYcCVMrCJBmdQ"",""DRP for 8 products!B:H""),6,0)"),"BigQuery")</f>
        <v>BigQuery</v>
      </c>
      <c r="M275" s="10" t="str">
        <f t="shared" si="3"/>
        <v>Yes</v>
      </c>
    </row>
    <row r="276">
      <c r="A276" s="4" t="str">
        <f>IFERROR(__xludf.DUMMYFUNCTION("vlookup(C276,IMPORTRANGE(""1Kgoo8qyo6zMtf_5B03ksZz228jg0XpZ4_KXsdHQ4Vks"",""14 Sept!A:B""),2,0)"),"DME2675")</f>
        <v>DME2675</v>
      </c>
      <c r="B276" s="5" t="str">
        <f>IFERROR(__xludf.DUMMYFUNCTION("""COMPUTED_VALUE"""),"Abhishek Jagtap")</f>
        <v>Abhishek Jagtap</v>
      </c>
      <c r="C276" s="5" t="str">
        <f>IFERROR(__xludf.DUMMYFUNCTION("""COMPUTED_VALUE"""),"abhishek.jagtap@onixnet.com")</f>
        <v>abhishek.jagtap@onixnet.com</v>
      </c>
      <c r="D276" s="4" t="s">
        <v>11</v>
      </c>
      <c r="E276" s="6" t="str">
        <f>IFERROR(__xludf.DUMMYFUNCTION("vlookup($A276,importrange(""1fyGnaViAX9kns28pvsfPvI9925sAI7kxPlM7jpuHVJM"",""Validation!A:Z""),11,0)"),"Product Engineering")</f>
        <v>Product Engineering</v>
      </c>
      <c r="F276" s="6" t="str">
        <f>IFERROR(__xludf.DUMMYFUNCTION("vlookup($A276,importrange(""1fyGnaViAX9kns28pvsfPvI9925sAI7kxPlM7jpuHVJM"",""Validation!A:Z""),23,0)"),"Savan Tak")</f>
        <v>Savan Tak</v>
      </c>
      <c r="G276" s="6" t="str">
        <f>IFERROR(__xludf.DUMMYFUNCTION("vlookup(A276,importrange(""1fyGnaViAX9kns28pvsfPvI9925sAI7kxPlM7jpuHVJM"",""Validation!A:Z""),22,0)"),"Cluster - Mayur")</f>
        <v>Cluster - Mayur</v>
      </c>
      <c r="H276" s="4" t="str">
        <f>IFERROR(__xludf.DUMMYFUNCTION("vlookup(C276,importrange(""1kw74ismGU34AsZ5x-W4x7F3Zt2xc8NSYcCVMrCJBmdQ"",""DRP for 8 products!B:C""),2,0)"),"ONIAJHTL4")</f>
        <v>ONIAJHTL4</v>
      </c>
      <c r="I276" s="7">
        <f>IFERROR(__xludf.DUMMYFUNCTION("vlookup(C276,importrange(""1kw74ismGU34AsZ5x-W4x7F3Zt2xc8NSYcCVMrCJBmdQ"",""DRP for 8 products!B:E""),4,0)"),11.0)</f>
        <v>11</v>
      </c>
      <c r="J276" s="8" t="str">
        <f t="shared" si="1"/>
        <v>Tier 4</v>
      </c>
      <c r="K276" s="9" t="str">
        <f t="shared" si="2"/>
        <v>Active</v>
      </c>
      <c r="L276" s="4" t="str">
        <f>IFERROR(__xludf.DUMMYFUNCTION("vlookup(C276,importrange(""1kw74ismGU34AsZ5x-W4x7F3Zt2xc8NSYcCVMrCJBmdQ"",""DRP for 8 products!B:H""),6,0)"),"BigQuery")</f>
        <v>BigQuery</v>
      </c>
      <c r="M276" s="10" t="str">
        <f t="shared" si="3"/>
        <v>Yes</v>
      </c>
    </row>
    <row r="277">
      <c r="A277" s="4" t="str">
        <f>IFERROR(__xludf.DUMMYFUNCTION("vlookup(C277,IMPORTRANGE(""1Kgoo8qyo6zMtf_5B03ksZz228jg0XpZ4_KXsdHQ4Vks"",""14 Sept!A:B""),2,0)"),"DME3368")</f>
        <v>DME3368</v>
      </c>
      <c r="B277" s="5" t="str">
        <f>IFERROR(__xludf.DUMMYFUNCTION("""COMPUTED_VALUE"""),"Pratik Chemate")</f>
        <v>Pratik Chemate</v>
      </c>
      <c r="C277" s="5" t="str">
        <f>IFERROR(__xludf.DUMMYFUNCTION("""COMPUTED_VALUE"""),"pratik.chemate@onixnet.com")</f>
        <v>pratik.chemate@onixnet.com</v>
      </c>
      <c r="D277" s="4" t="s">
        <v>11</v>
      </c>
      <c r="E277" s="6" t="str">
        <f>IFERROR(__xludf.DUMMYFUNCTION("vlookup($A277,importrange(""1fyGnaViAX9kns28pvsfPvI9925sAI7kxPlM7jpuHVJM"",""Validation!A:Z""),11,0)"),"Delivery Services")</f>
        <v>Delivery Services</v>
      </c>
      <c r="F277" s="6" t="str">
        <f>IFERROR(__xludf.DUMMYFUNCTION("vlookup($A277,importrange(""1fyGnaViAX9kns28pvsfPvI9925sAI7kxPlM7jpuHVJM"",""Validation!A:Z""),23,0)"),"Minal Patil")</f>
        <v>Minal Patil</v>
      </c>
      <c r="G277" s="6" t="str">
        <f>IFERROR(__xludf.DUMMYFUNCTION("vlookup(A277,importrange(""1fyGnaViAX9kns28pvsfPvI9925sAI7kxPlM7jpuHVJM"",""Validation!A:Z""),22,0)"),"Cluster - Devayani")</f>
        <v>Cluster - Devayani</v>
      </c>
      <c r="H277" s="4" t="str">
        <f>IFERROR(__xludf.DUMMYFUNCTION("vlookup(C277,importrange(""1kw74ismGU34AsZ5x-W4x7F3Zt2xc8NSYcCVMrCJBmdQ"",""DRP for 8 products!B:C""),2,0)"),"ONIPCIJH9")</f>
        <v>ONIPCIJH9</v>
      </c>
      <c r="I277" s="7">
        <f>IFERROR(__xludf.DUMMYFUNCTION("vlookup(C277,importrange(""1kw74ismGU34AsZ5x-W4x7F3Zt2xc8NSYcCVMrCJBmdQ"",""DRP for 8 products!B:E""),4,0)"),21.0)</f>
        <v>21</v>
      </c>
      <c r="J277" s="8" t="str">
        <f t="shared" si="1"/>
        <v>Tier 3</v>
      </c>
      <c r="K277" s="9" t="str">
        <f t="shared" si="2"/>
        <v>Active</v>
      </c>
      <c r="L277" s="4" t="str">
        <f>IFERROR(__xludf.DUMMYFUNCTION("vlookup(C277,importrange(""1kw74ismGU34AsZ5x-W4x7F3Zt2xc8NSYcCVMrCJBmdQ"",""DRP for 8 products!B:H""),6,0)"),"BigQuery")</f>
        <v>BigQuery</v>
      </c>
      <c r="M277" s="10" t="str">
        <f t="shared" si="3"/>
        <v>Yes</v>
      </c>
    </row>
    <row r="278">
      <c r="A278" s="4" t="str">
        <f>IFERROR(__xludf.DUMMYFUNCTION("vlookup(C278,IMPORTRANGE(""1Kgoo8qyo6zMtf_5B03ksZz228jg0XpZ4_KXsdHQ4Vks"",""14 Sept!A:B""),2,0)"),"DME1989")</f>
        <v>DME1989</v>
      </c>
      <c r="B278" s="5" t="str">
        <f>IFERROR(__xludf.DUMMYFUNCTION("""COMPUTED_VALUE"""),"Akshada Daphal")</f>
        <v>Akshada Daphal</v>
      </c>
      <c r="C278" s="5" t="str">
        <f>IFERROR(__xludf.DUMMYFUNCTION("""COMPUTED_VALUE"""),"akshada.daphal@onixnet.com")</f>
        <v>akshada.daphal@onixnet.com</v>
      </c>
      <c r="D278" s="4" t="s">
        <v>11</v>
      </c>
      <c r="E278" s="6" t="str">
        <f>IFERROR(__xludf.DUMMYFUNCTION("vlookup($A278,importrange(""1fyGnaViAX9kns28pvsfPvI9925sAI7kxPlM7jpuHVJM"",""Validation!A:Z""),11,0)"),"Delivery Services")</f>
        <v>Delivery Services</v>
      </c>
      <c r="F278" s="6" t="str">
        <f>IFERROR(__xludf.DUMMYFUNCTION("vlookup($A278,importrange(""1fyGnaViAX9kns28pvsfPvI9925sAI7kxPlM7jpuHVJM"",""Validation!A:Z""),23,0)"),"Manoj Patil")</f>
        <v>Manoj Patil</v>
      </c>
      <c r="G278" s="6" t="str">
        <f>IFERROR(__xludf.DUMMYFUNCTION("vlookup(A278,importrange(""1fyGnaViAX9kns28pvsfPvI9925sAI7kxPlM7jpuHVJM"",""Validation!A:Z""),22,0)"),"Cluster - Shreepad")</f>
        <v>Cluster - Shreepad</v>
      </c>
      <c r="H278" s="4" t="str">
        <f>IFERROR(__xludf.DUMMYFUNCTION("vlookup(C278,importrange(""1kw74ismGU34AsZ5x-W4x7F3Zt2xc8NSYcCVMrCJBmdQ"",""DRP for 8 products!B:C""),2,0)"),"ONIADUCQ0")</f>
        <v>ONIADUCQ0</v>
      </c>
      <c r="I278" s="7">
        <f>IFERROR(__xludf.DUMMYFUNCTION("vlookup(C278,importrange(""1kw74ismGU34AsZ5x-W4x7F3Zt2xc8NSYcCVMrCJBmdQ"",""DRP for 8 products!B:E""),4,0)"),29.0)</f>
        <v>29</v>
      </c>
      <c r="J278" s="8" t="str">
        <f t="shared" si="1"/>
        <v>Tier 3</v>
      </c>
      <c r="K278" s="9" t="str">
        <f t="shared" si="2"/>
        <v>Active</v>
      </c>
      <c r="L278" s="4" t="str">
        <f>IFERROR(__xludf.DUMMYFUNCTION("vlookup(C278,importrange(""1kw74ismGU34AsZ5x-W4x7F3Zt2xc8NSYcCVMrCJBmdQ"",""DRP for 8 products!B:H""),6,0)"),"BigQuery")</f>
        <v>BigQuery</v>
      </c>
      <c r="M278" s="10" t="str">
        <f t="shared" si="3"/>
        <v>Yes</v>
      </c>
    </row>
    <row r="279">
      <c r="A279" s="4" t="str">
        <f>IFERROR(__xludf.DUMMYFUNCTION("vlookup(C279,IMPORTRANGE(""1Kgoo8qyo6zMtf_5B03ksZz228jg0XpZ4_KXsdHQ4Vks"",""14 Sept!A:B""),2,0)"),"DME2062")</f>
        <v>DME2062</v>
      </c>
      <c r="B279" s="5" t="str">
        <f>IFERROR(__xludf.DUMMYFUNCTION("""COMPUTED_VALUE"""),"Saurabh Magar")</f>
        <v>Saurabh Magar</v>
      </c>
      <c r="C279" s="5" t="str">
        <f>IFERROR(__xludf.DUMMYFUNCTION("""COMPUTED_VALUE"""),"saurabh.magar@onixnet.com")</f>
        <v>saurabh.magar@onixnet.com</v>
      </c>
      <c r="D279" s="4" t="s">
        <v>11</v>
      </c>
      <c r="E279" s="6" t="str">
        <f>IFERROR(__xludf.DUMMYFUNCTION("vlookup($A279,importrange(""1fyGnaViAX9kns28pvsfPvI9925sAI7kxPlM7jpuHVJM"",""Validation!A:Z""),11,0)"),"Delivery Services")</f>
        <v>Delivery Services</v>
      </c>
      <c r="F279" s="6" t="str">
        <f>IFERROR(__xludf.DUMMYFUNCTION("vlookup($A279,importrange(""1fyGnaViAX9kns28pvsfPvI9925sAI7kxPlM7jpuHVJM"",""Validation!A:Z""),23,0)"),"Birendra Kumar Negi")</f>
        <v>Birendra Kumar Negi</v>
      </c>
      <c r="G279" s="6" t="str">
        <f>IFERROR(__xludf.DUMMYFUNCTION("vlookup(A279,importrange(""1fyGnaViAX9kns28pvsfPvI9925sAI7kxPlM7jpuHVJM"",""Validation!A:Z""),22,0)"),"Cluster - Sachin")</f>
        <v>Cluster - Sachin</v>
      </c>
      <c r="H279" s="4" t="str">
        <f>IFERROR(__xludf.DUMMYFUNCTION("vlookup(C279,importrange(""1kw74ismGU34AsZ5x-W4x7F3Zt2xc8NSYcCVMrCJBmdQ"",""DRP for 8 products!B:C""),2,0)"),"ONISMXBP6")</f>
        <v>ONISMXBP6</v>
      </c>
      <c r="I279" s="7">
        <f>IFERROR(__xludf.DUMMYFUNCTION("vlookup(C279,importrange(""1kw74ismGU34AsZ5x-W4x7F3Zt2xc8NSYcCVMrCJBmdQ"",""DRP for 8 products!B:E""),4,0)"),53.0)</f>
        <v>53</v>
      </c>
      <c r="J279" s="8" t="str">
        <f t="shared" si="1"/>
        <v>Tier 1</v>
      </c>
      <c r="K279" s="9" t="str">
        <f t="shared" si="2"/>
        <v>Active</v>
      </c>
      <c r="L279" s="4" t="str">
        <f>IFERROR(__xludf.DUMMYFUNCTION("vlookup(C279,importrange(""1kw74ismGU34AsZ5x-W4x7F3Zt2xc8NSYcCVMrCJBmdQ"",""DRP for 8 products!B:H""),6,0)"),"BigQuery")</f>
        <v>BigQuery</v>
      </c>
      <c r="M279" s="10" t="str">
        <f t="shared" si="3"/>
        <v>Yes</v>
      </c>
    </row>
    <row r="280">
      <c r="A280" s="4" t="str">
        <f>IFERROR(__xludf.DUMMYFUNCTION("vlookup(C280,IMPORTRANGE(""1Kgoo8qyo6zMtf_5B03ksZz228jg0XpZ4_KXsdHQ4Vks"",""14 Sept!A:B""),2,0)"),"DME1191")</f>
        <v>DME1191</v>
      </c>
      <c r="B280" s="5" t="str">
        <f>IFERROR(__xludf.DUMMYFUNCTION("""COMPUTED_VALUE"""),"Aayush Sahu")</f>
        <v>Aayush Sahu</v>
      </c>
      <c r="C280" s="5" t="str">
        <f>IFERROR(__xludf.DUMMYFUNCTION("""COMPUTED_VALUE"""),"aayush.sahu@onixnet.com")</f>
        <v>aayush.sahu@onixnet.com</v>
      </c>
      <c r="D280" s="4" t="s">
        <v>11</v>
      </c>
      <c r="E280" s="6" t="str">
        <f>IFERROR(__xludf.DUMMYFUNCTION("vlookup($A280,importrange(""1fyGnaViAX9kns28pvsfPvI9925sAI7kxPlM7jpuHVJM"",""Validation!A:Z""),11,0)"),"Product Engineering")</f>
        <v>Product Engineering</v>
      </c>
      <c r="F280" s="6" t="str">
        <f>IFERROR(__xludf.DUMMYFUNCTION("vlookup($A280,importrange(""1fyGnaViAX9kns28pvsfPvI9925sAI7kxPlM7jpuHVJM"",""Validation!A:Z""),23,0)"),"Amruta Sikchi")</f>
        <v>Amruta Sikchi</v>
      </c>
      <c r="G280" s="6" t="str">
        <f>IFERROR(__xludf.DUMMYFUNCTION("vlookup(A280,importrange(""1fyGnaViAX9kns28pvsfPvI9925sAI7kxPlM7jpuHVJM"",""Validation!A:Z""),22,0)"),"Cluster - Mayur")</f>
        <v>Cluster - Mayur</v>
      </c>
      <c r="H280" s="4" t="str">
        <f>IFERROR(__xludf.DUMMYFUNCTION("vlookup(C280,importrange(""1kw74ismGU34AsZ5x-W4x7F3Zt2xc8NSYcCVMrCJBmdQ"",""DRP for 8 products!B:C""),2,0)"),"ONIASBAW1")</f>
        <v>ONIASBAW1</v>
      </c>
      <c r="I280" s="7">
        <f>IFERROR(__xludf.DUMMYFUNCTION("vlookup(C280,importrange(""1kw74ismGU34AsZ5x-W4x7F3Zt2xc8NSYcCVMrCJBmdQ"",""DRP for 8 products!B:E""),4,0)"),19.0)</f>
        <v>19</v>
      </c>
      <c r="J280" s="8" t="str">
        <f t="shared" si="1"/>
        <v>Tier 4</v>
      </c>
      <c r="K280" s="9" t="str">
        <f t="shared" si="2"/>
        <v>Active</v>
      </c>
      <c r="L280" s="4" t="str">
        <f>IFERROR(__xludf.DUMMYFUNCTION("vlookup(C280,importrange(""1kw74ismGU34AsZ5x-W4x7F3Zt2xc8NSYcCVMrCJBmdQ"",""DRP for 8 products!B:H""),6,0)"),"BigQuery")</f>
        <v>BigQuery</v>
      </c>
      <c r="M280" s="10" t="str">
        <f t="shared" si="3"/>
        <v>Yes</v>
      </c>
    </row>
    <row r="281">
      <c r="A281" s="4" t="str">
        <f>IFERROR(__xludf.DUMMYFUNCTION("vlookup(C281,IMPORTRANGE(""1Kgoo8qyo6zMtf_5B03ksZz228jg0XpZ4_KXsdHQ4Vks"",""14 Sept!A:B""),2,0)"),"DME1903")</f>
        <v>DME1903</v>
      </c>
      <c r="B281" s="5" t="str">
        <f>IFERROR(__xludf.DUMMYFUNCTION("""COMPUTED_VALUE"""),"Anand Hulmani")</f>
        <v>Anand Hulmani</v>
      </c>
      <c r="C281" s="5" t="str">
        <f>IFERROR(__xludf.DUMMYFUNCTION("""COMPUTED_VALUE"""),"anand.hulmani@onixnet.com")</f>
        <v>anand.hulmani@onixnet.com</v>
      </c>
      <c r="D281" s="4" t="s">
        <v>11</v>
      </c>
      <c r="E281" s="6" t="str">
        <f>IFERROR(__xludf.DUMMYFUNCTION("vlookup($A281,importrange(""1fyGnaViAX9kns28pvsfPvI9925sAI7kxPlM7jpuHVJM"",""Validation!A:Z""),11,0)"),"Delivery Services")</f>
        <v>Delivery Services</v>
      </c>
      <c r="F281" s="6" t="str">
        <f>IFERROR(__xludf.DUMMYFUNCTION("vlookup($A281,importrange(""1fyGnaViAX9kns28pvsfPvI9925sAI7kxPlM7jpuHVJM"",""Validation!A:Z""),23,0)"),"Priyanka Jain")</f>
        <v>Priyanka Jain</v>
      </c>
      <c r="G281" s="6" t="str">
        <f>IFERROR(__xludf.DUMMYFUNCTION("vlookup(A281,importrange(""1fyGnaViAX9kns28pvsfPvI9925sAI7kxPlM7jpuHVJM"",""Validation!A:Z""),22,0)"),"Cluster - Sagar")</f>
        <v>Cluster - Sagar</v>
      </c>
      <c r="H281" s="4" t="str">
        <f>IFERROR(__xludf.DUMMYFUNCTION("vlookup(C281,importrange(""1kw74ismGU34AsZ5x-W4x7F3Zt2xc8NSYcCVMrCJBmdQ"",""DRP for 8 products!B:C""),2,0)"),"ONIAHSST9")</f>
        <v>ONIAHSST9</v>
      </c>
      <c r="I281" s="7">
        <f>IFERROR(__xludf.DUMMYFUNCTION("vlookup(C281,importrange(""1kw74ismGU34AsZ5x-W4x7F3Zt2xc8NSYcCVMrCJBmdQ"",""DRP for 8 products!B:E""),4,0)"),54.0)</f>
        <v>54</v>
      </c>
      <c r="J281" s="8" t="str">
        <f t="shared" si="1"/>
        <v>Tier 1</v>
      </c>
      <c r="K281" s="9" t="str">
        <f t="shared" si="2"/>
        <v>Active</v>
      </c>
      <c r="L281" s="4" t="str">
        <f>IFERROR(__xludf.DUMMYFUNCTION("vlookup(C281,importrange(""1kw74ismGU34AsZ5x-W4x7F3Zt2xc8NSYcCVMrCJBmdQ"",""DRP for 8 products!B:H""),6,0)"),"BigQuery")</f>
        <v>BigQuery</v>
      </c>
      <c r="M281" s="10" t="str">
        <f t="shared" si="3"/>
        <v>Yes</v>
      </c>
    </row>
    <row r="282">
      <c r="A282" s="4" t="str">
        <f>IFERROR(__xludf.DUMMYFUNCTION("vlookup(C282,IMPORTRANGE(""1Kgoo8qyo6zMtf_5B03ksZz228jg0XpZ4_KXsdHQ4Vks"",""14 Sept!A:B""),2,0)"),"DME1436")</f>
        <v>DME1436</v>
      </c>
      <c r="B282" s="5" t="str">
        <f>IFERROR(__xludf.DUMMYFUNCTION("""COMPUTED_VALUE"""),"ankita patil")</f>
        <v>ankita patil</v>
      </c>
      <c r="C282" s="5" t="str">
        <f>IFERROR(__xludf.DUMMYFUNCTION("""COMPUTED_VALUE"""),"ankita.patil@onixnet.com")</f>
        <v>ankita.patil@onixnet.com</v>
      </c>
      <c r="D282" s="4" t="s">
        <v>11</v>
      </c>
      <c r="E282" s="6" t="str">
        <f>IFERROR(__xludf.DUMMYFUNCTION("vlookup($A282,importrange(""1fyGnaViAX9kns28pvsfPvI9925sAI7kxPlM7jpuHVJM"",""Validation!A:Z""),11,0)"),"Product Engineering")</f>
        <v>Product Engineering</v>
      </c>
      <c r="F282" s="6" t="str">
        <f>IFERROR(__xludf.DUMMYFUNCTION("vlookup($A282,importrange(""1fyGnaViAX9kns28pvsfPvI9925sAI7kxPlM7jpuHVJM"",""Validation!A:Z""),23,0)"),"Amruta Sikchi")</f>
        <v>Amruta Sikchi</v>
      </c>
      <c r="G282" s="6" t="str">
        <f>IFERROR(__xludf.DUMMYFUNCTION("vlookup(A282,importrange(""1fyGnaViAX9kns28pvsfPvI9925sAI7kxPlM7jpuHVJM"",""Validation!A:Z""),22,0)"),"Cluster - Mayur")</f>
        <v>Cluster - Mayur</v>
      </c>
      <c r="H282" s="4" t="str">
        <f>IFERROR(__xludf.DUMMYFUNCTION("vlookup(C282,importrange(""1kw74ismGU34AsZ5x-W4x7F3Zt2xc8NSYcCVMrCJBmdQ"",""DRP for 8 products!B:C""),2,0)"),"ONIAPWVH3")</f>
        <v>ONIAPWVH3</v>
      </c>
      <c r="I282" s="7">
        <f>IFERROR(__xludf.DUMMYFUNCTION("vlookup(C282,importrange(""1kw74ismGU34AsZ5x-W4x7F3Zt2xc8NSYcCVMrCJBmdQ"",""DRP for 8 products!B:E""),4,0)"),13.0)</f>
        <v>13</v>
      </c>
      <c r="J282" s="8" t="str">
        <f t="shared" si="1"/>
        <v>Tier 4</v>
      </c>
      <c r="K282" s="9" t="str">
        <f t="shared" si="2"/>
        <v>Active</v>
      </c>
      <c r="L282" s="4" t="str">
        <f>IFERROR(__xludf.DUMMYFUNCTION("vlookup(C282,importrange(""1kw74ismGU34AsZ5x-W4x7F3Zt2xc8NSYcCVMrCJBmdQ"",""DRP for 8 products!B:H""),6,0)"),"AlloyDB for PostgreSQL")</f>
        <v>AlloyDB for PostgreSQL</v>
      </c>
      <c r="M282" s="10" t="str">
        <f t="shared" si="3"/>
        <v>Yes</v>
      </c>
    </row>
    <row r="283">
      <c r="A283" s="4" t="str">
        <f>IFERROR(__xludf.DUMMYFUNCTION("vlookup(C283,IMPORTRANGE(""1Kgoo8qyo6zMtf_5B03ksZz228jg0XpZ4_KXsdHQ4Vks"",""14 Sept!A:B""),2,0)"),"DME1743")</f>
        <v>DME1743</v>
      </c>
      <c r="B283" s="5" t="str">
        <f>IFERROR(__xludf.DUMMYFUNCTION("""COMPUTED_VALUE"""),"Afrin Mujawar")</f>
        <v>Afrin Mujawar</v>
      </c>
      <c r="C283" s="5" t="str">
        <f>IFERROR(__xludf.DUMMYFUNCTION("""COMPUTED_VALUE"""),"afrin.mujawar@onixnet.com")</f>
        <v>afrin.mujawar@onixnet.com</v>
      </c>
      <c r="D283" s="4" t="s">
        <v>11</v>
      </c>
      <c r="E283" s="6" t="str">
        <f>IFERROR(__xludf.DUMMYFUNCTION("vlookup($A283,importrange(""1fyGnaViAX9kns28pvsfPvI9925sAI7kxPlM7jpuHVJM"",""Validation!A:Z""),11,0)"),"Delivery Services")</f>
        <v>Delivery Services</v>
      </c>
      <c r="F283" s="6" t="str">
        <f>IFERROR(__xludf.DUMMYFUNCTION("vlookup($A283,importrange(""1fyGnaViAX9kns28pvsfPvI9925sAI7kxPlM7jpuHVJM"",""Validation!A:Z""),23,0)"),"Shubhendu Shubhendu")</f>
        <v>Shubhendu Shubhendu</v>
      </c>
      <c r="G283" s="6" t="str">
        <f>IFERROR(__xludf.DUMMYFUNCTION("vlookup(A283,importrange(""1fyGnaViAX9kns28pvsfPvI9925sAI7kxPlM7jpuHVJM"",""Validation!A:Z""),22,0)"),"Cluster - Kanhaiya")</f>
        <v>Cluster - Kanhaiya</v>
      </c>
      <c r="H283" s="4" t="str">
        <f>IFERROR(__xludf.DUMMYFUNCTION("vlookup(C283,importrange(""1kw74ismGU34AsZ5x-W4x7F3Zt2xc8NSYcCVMrCJBmdQ"",""DRP for 8 products!B:C""),2,0)"),"ONIAMJRH0")</f>
        <v>ONIAMJRH0</v>
      </c>
      <c r="I283" s="7">
        <f>IFERROR(__xludf.DUMMYFUNCTION("vlookup(C283,importrange(""1kw74ismGU34AsZ5x-W4x7F3Zt2xc8NSYcCVMrCJBmdQ"",""DRP for 8 products!B:E""),4,0)"),11.0)</f>
        <v>11</v>
      </c>
      <c r="J283" s="8" t="str">
        <f t="shared" si="1"/>
        <v>Tier 4</v>
      </c>
      <c r="K283" s="9" t="str">
        <f t="shared" si="2"/>
        <v>Active</v>
      </c>
      <c r="L283" s="4" t="str">
        <f>IFERROR(__xludf.DUMMYFUNCTION("vlookup(C283,importrange(""1kw74ismGU34AsZ5x-W4x7F3Zt2xc8NSYcCVMrCJBmdQ"",""DRP for 8 products!B:H""),6,0)"),"Oracle")</f>
        <v>Oracle</v>
      </c>
      <c r="M283" s="10" t="str">
        <f t="shared" si="3"/>
        <v>Yes</v>
      </c>
    </row>
    <row r="284">
      <c r="A284" s="4" t="str">
        <f>IFERROR(__xludf.DUMMYFUNCTION("vlookup(C284,IMPORTRANGE(""1Kgoo8qyo6zMtf_5B03ksZz228jg0XpZ4_KXsdHQ4Vks"",""14 Sept!A:B""),2,0)"),"DME2405")</f>
        <v>DME2405</v>
      </c>
      <c r="B284" s="5" t="str">
        <f>IFERROR(__xludf.DUMMYFUNCTION("""COMPUTED_VALUE"""),"Shaheed Shaik")</f>
        <v>Shaheed Shaik</v>
      </c>
      <c r="C284" s="5" t="str">
        <f>IFERROR(__xludf.DUMMYFUNCTION("""COMPUTED_VALUE"""),"shaheed.shaik@onixnet.com")</f>
        <v>shaheed.shaik@onixnet.com</v>
      </c>
      <c r="D284" s="4" t="s">
        <v>11</v>
      </c>
      <c r="E284" s="6" t="str">
        <f>IFERROR(__xludf.DUMMYFUNCTION("vlookup($A284,importrange(""1fyGnaViAX9kns28pvsfPvI9925sAI7kxPlM7jpuHVJM"",""Validation!A:Z""),11,0)"),"Product Engineering")</f>
        <v>Product Engineering</v>
      </c>
      <c r="F284" s="6" t="str">
        <f>IFERROR(__xludf.DUMMYFUNCTION("vlookup($A284,importrange(""1fyGnaViAX9kns28pvsfPvI9925sAI7kxPlM7jpuHVJM"",""Validation!A:Z""),23,0)"),"Venkat Shivkumar")</f>
        <v>Venkat Shivkumar</v>
      </c>
      <c r="G284" s="6" t="str">
        <f>IFERROR(__xludf.DUMMYFUNCTION("vlookup(A284,importrange(""1fyGnaViAX9kns28pvsfPvI9925sAI7kxPlM7jpuHVJM"",""Validation!A:Z""),22,0)"),"Cluster - Mayur")</f>
        <v>Cluster - Mayur</v>
      </c>
      <c r="H284" s="4" t="str">
        <f>IFERROR(__xludf.DUMMYFUNCTION("vlookup(C284,importrange(""1kw74ismGU34AsZ5x-W4x7F3Zt2xc8NSYcCVMrCJBmdQ"",""DRP for 8 products!B:C""),2,0)"),"ONISSGJH8")</f>
        <v>ONISSGJH8</v>
      </c>
      <c r="I284" s="7">
        <f>IFERROR(__xludf.DUMMYFUNCTION("vlookup(C284,importrange(""1kw74ismGU34AsZ5x-W4x7F3Zt2xc8NSYcCVMrCJBmdQ"",""DRP for 8 products!B:E""),4,0)"),17.0)</f>
        <v>17</v>
      </c>
      <c r="J284" s="8" t="str">
        <f t="shared" si="1"/>
        <v>Tier 4</v>
      </c>
      <c r="K284" s="9" t="str">
        <f t="shared" si="2"/>
        <v>Active</v>
      </c>
      <c r="L284" s="4" t="str">
        <f>IFERROR(__xludf.DUMMYFUNCTION("vlookup(C284,importrange(""1kw74ismGU34AsZ5x-W4x7F3Zt2xc8NSYcCVMrCJBmdQ"",""DRP for 8 products!B:H""),6,0)"),"BigQuery")</f>
        <v>BigQuery</v>
      </c>
      <c r="M284" s="10" t="str">
        <f t="shared" si="3"/>
        <v>Yes</v>
      </c>
    </row>
    <row r="285">
      <c r="A285" s="4" t="str">
        <f>IFERROR(__xludf.DUMMYFUNCTION("vlookup(C285,IMPORTRANGE(""1Kgoo8qyo6zMtf_5B03ksZz228jg0XpZ4_KXsdHQ4Vks"",""14 Sept!A:B""),2,0)"),"DME2859")</f>
        <v>DME2859</v>
      </c>
      <c r="B285" s="5" t="str">
        <f>IFERROR(__xludf.DUMMYFUNCTION("""COMPUTED_VALUE"""),"Prachi Singh")</f>
        <v>Prachi Singh</v>
      </c>
      <c r="C285" s="5" t="str">
        <f>IFERROR(__xludf.DUMMYFUNCTION("""COMPUTED_VALUE"""),"prachi.singh@onixnet.com")</f>
        <v>prachi.singh@onixnet.com</v>
      </c>
      <c r="D285" s="4" t="s">
        <v>11</v>
      </c>
      <c r="E285" s="6" t="str">
        <f>IFERROR(__xludf.DUMMYFUNCTION("vlookup($A285,importrange(""1fyGnaViAX9kns28pvsfPvI9925sAI7kxPlM7jpuHVJM"",""Validation!A:Z""),11,0)"),"Solutions and Pre-Sales")</f>
        <v>Solutions and Pre-Sales</v>
      </c>
      <c r="F285" s="6" t="str">
        <f>IFERROR(__xludf.DUMMYFUNCTION("vlookup($A285,importrange(""1fyGnaViAX9kns28pvsfPvI9925sAI7kxPlM7jpuHVJM"",""Validation!A:Z""),23,0)"),"Priya Ranjan")</f>
        <v>Priya Ranjan</v>
      </c>
      <c r="G285" s="6" t="str">
        <f>IFERROR(__xludf.DUMMYFUNCTION("vlookup(A285,importrange(""1fyGnaViAX9kns28pvsfPvI9925sAI7kxPlM7jpuHVJM"",""Validation!A:Z""),22,0)"),"Portfolio - Gaurav A (Presales)")</f>
        <v>Portfolio - Gaurav A (Presales)</v>
      </c>
      <c r="H285" s="4" t="str">
        <f>IFERROR(__xludf.DUMMYFUNCTION("vlookup(C285,importrange(""1kw74ismGU34AsZ5x-W4x7F3Zt2xc8NSYcCVMrCJBmdQ"",""DRP for 8 products!B:C""),2,0)"),"ONIPSIYZ7")</f>
        <v>ONIPSIYZ7</v>
      </c>
      <c r="I285" s="7">
        <f>IFERROR(__xludf.DUMMYFUNCTION("vlookup(C285,importrange(""1kw74ismGU34AsZ5x-W4x7F3Zt2xc8NSYcCVMrCJBmdQ"",""DRP for 8 products!B:E""),4,0)"),5.0)</f>
        <v>5</v>
      </c>
      <c r="J285" s="8" t="str">
        <f t="shared" si="1"/>
        <v>Tier 4</v>
      </c>
      <c r="K285" s="9" t="str">
        <f t="shared" si="2"/>
        <v>Active</v>
      </c>
      <c r="L285" s="4" t="str">
        <f>IFERROR(__xludf.DUMMYFUNCTION("vlookup(C285,importrange(""1kw74ismGU34AsZ5x-W4x7F3Zt2xc8NSYcCVMrCJBmdQ"",""DRP for 8 products!B:H""),6,0)"),"Looker")</f>
        <v>Looker</v>
      </c>
      <c r="M285" s="10" t="str">
        <f t="shared" si="3"/>
        <v>Yes</v>
      </c>
    </row>
    <row r="286">
      <c r="A286" s="4" t="str">
        <f>IFERROR(__xludf.DUMMYFUNCTION("vlookup(C286,IMPORTRANGE(""1Kgoo8qyo6zMtf_5B03ksZz228jg0XpZ4_KXsdHQ4Vks"",""14 Sept!A:B""),2,0)"),"DME1400")</f>
        <v>DME1400</v>
      </c>
      <c r="B286" s="5" t="str">
        <f>IFERROR(__xludf.DUMMYFUNCTION("""COMPUTED_VALUE"""),"Pratiksha Mane")</f>
        <v>Pratiksha Mane</v>
      </c>
      <c r="C286" s="5" t="str">
        <f>IFERROR(__xludf.DUMMYFUNCTION("""COMPUTED_VALUE"""),"pratiksha.mane@onixnet.com")</f>
        <v>pratiksha.mane@onixnet.com</v>
      </c>
      <c r="D286" s="4" t="s">
        <v>11</v>
      </c>
      <c r="E286" s="6" t="str">
        <f>IFERROR(__xludf.DUMMYFUNCTION("vlookup($A286,importrange(""1fyGnaViAX9kns28pvsfPvI9925sAI7kxPlM7jpuHVJM"",""Validation!A:Z""),11,0)"),"Delivery Services")</f>
        <v>Delivery Services</v>
      </c>
      <c r="F286" s="6" t="str">
        <f>IFERROR(__xludf.DUMMYFUNCTION("vlookup($A286,importrange(""1fyGnaViAX9kns28pvsfPvI9925sAI7kxPlM7jpuHVJM"",""Validation!A:Z""),23,0)"),"Poonam Sharma")</f>
        <v>Poonam Sharma</v>
      </c>
      <c r="G286" s="6" t="str">
        <f>IFERROR(__xludf.DUMMYFUNCTION("vlookup(A286,importrange(""1fyGnaViAX9kns28pvsfPvI9925sAI7kxPlM7jpuHVJM"",""Validation!A:Z""),22,0)"),"Cluster - Sachin")</f>
        <v>Cluster - Sachin</v>
      </c>
      <c r="H286" s="4" t="str">
        <f>IFERROR(__xludf.DUMMYFUNCTION("vlookup(C286,importrange(""1kw74ismGU34AsZ5x-W4x7F3Zt2xc8NSYcCVMrCJBmdQ"",""DRP for 8 products!B:C""),2,0)"),"ONIPMLPR0")</f>
        <v>ONIPMLPR0</v>
      </c>
      <c r="I286" s="7">
        <f>IFERROR(__xludf.DUMMYFUNCTION("vlookup(C286,importrange(""1kw74ismGU34AsZ5x-W4x7F3Zt2xc8NSYcCVMrCJBmdQ"",""DRP for 8 products!B:E""),4,0)"),24.0)</f>
        <v>24</v>
      </c>
      <c r="J286" s="8" t="str">
        <f t="shared" si="1"/>
        <v>Tier 3</v>
      </c>
      <c r="K286" s="9" t="str">
        <f t="shared" si="2"/>
        <v>Active</v>
      </c>
      <c r="L286" s="4" t="str">
        <f>IFERROR(__xludf.DUMMYFUNCTION("vlookup(C286,importrange(""1kw74ismGU34AsZ5x-W4x7F3Zt2xc8NSYcCVMrCJBmdQ"",""DRP for 8 products!B:H""),6,0)"),"BigQuery")</f>
        <v>BigQuery</v>
      </c>
      <c r="M286" s="10" t="str">
        <f t="shared" si="3"/>
        <v>Yes</v>
      </c>
    </row>
    <row r="287">
      <c r="A287" s="4" t="str">
        <f>IFERROR(__xludf.DUMMYFUNCTION("vlookup(C287,IMPORTRANGE(""1Kgoo8qyo6zMtf_5B03ksZz228jg0XpZ4_KXsdHQ4Vks"",""14 Sept!A:B""),2,0)"),"DME2683")</f>
        <v>DME2683</v>
      </c>
      <c r="B287" s="5" t="str">
        <f>IFERROR(__xludf.DUMMYFUNCTION("""COMPUTED_VALUE"""),"suresh rasal")</f>
        <v>suresh rasal</v>
      </c>
      <c r="C287" s="5" t="str">
        <f>IFERROR(__xludf.DUMMYFUNCTION("""COMPUTED_VALUE"""),"suresh.rasal@onixnet.com")</f>
        <v>suresh.rasal@onixnet.com</v>
      </c>
      <c r="D287" s="4" t="s">
        <v>11</v>
      </c>
      <c r="E287" s="6" t="str">
        <f>IFERROR(__xludf.DUMMYFUNCTION("vlookup($A287,importrange(""1fyGnaViAX9kns28pvsfPvI9925sAI7kxPlM7jpuHVJM"",""Validation!A:Z""),11,0)"),"Delivery Services")</f>
        <v>Delivery Services</v>
      </c>
      <c r="F287" s="6" t="str">
        <f>IFERROR(__xludf.DUMMYFUNCTION("vlookup($A287,importrange(""1fyGnaViAX9kns28pvsfPvI9925sAI7kxPlM7jpuHVJM"",""Validation!A:Z""),23,0)"),"Amit Malav")</f>
        <v>Amit Malav</v>
      </c>
      <c r="G287" s="6" t="str">
        <f>IFERROR(__xludf.DUMMYFUNCTION("vlookup(A287,importrange(""1fyGnaViAX9kns28pvsfPvI9925sAI7kxPlM7jpuHVJM"",""Validation!A:Z""),22,0)"),"Cluster - Gaurav")</f>
        <v>Cluster - Gaurav</v>
      </c>
      <c r="H287" s="4" t="str">
        <f>IFERROR(__xludf.DUMMYFUNCTION("vlookup(C287,importrange(""1kw74ismGU34AsZ5x-W4x7F3Zt2xc8NSYcCVMrCJBmdQ"",""DRP for 8 products!B:C""),2,0)"),"ONISRPLY0")</f>
        <v>ONISRPLY0</v>
      </c>
      <c r="I287" s="7">
        <f>IFERROR(__xludf.DUMMYFUNCTION("vlookup(C287,importrange(""1kw74ismGU34AsZ5x-W4x7F3Zt2xc8NSYcCVMrCJBmdQ"",""DRP for 8 products!B:E""),4,0)"),52.0)</f>
        <v>52</v>
      </c>
      <c r="J287" s="8" t="str">
        <f t="shared" si="1"/>
        <v>Tier 1</v>
      </c>
      <c r="K287" s="9" t="str">
        <f t="shared" si="2"/>
        <v>Active</v>
      </c>
      <c r="L287" s="4" t="str">
        <f>IFERROR(__xludf.DUMMYFUNCTION("vlookup(C287,importrange(""1kw74ismGU34AsZ5x-W4x7F3Zt2xc8NSYcCVMrCJBmdQ"",""DRP for 8 products!B:H""),6,0)"),"BigQuery")</f>
        <v>BigQuery</v>
      </c>
      <c r="M287" s="10" t="str">
        <f t="shared" si="3"/>
        <v>Yes</v>
      </c>
    </row>
    <row r="288">
      <c r="A288" s="4" t="str">
        <f>IFERROR(__xludf.DUMMYFUNCTION("vlookup(C288,IMPORTRANGE(""1Kgoo8qyo6zMtf_5B03ksZz228jg0XpZ4_KXsdHQ4Vks"",""14 Sept!A:B""),2,0)"),"DME3054")</f>
        <v>DME3054</v>
      </c>
      <c r="B288" s="5" t="str">
        <f>IFERROR(__xludf.DUMMYFUNCTION("""COMPUTED_VALUE"""),"Pawan Bonde")</f>
        <v>Pawan Bonde</v>
      </c>
      <c r="C288" s="5" t="str">
        <f>IFERROR(__xludf.DUMMYFUNCTION("""COMPUTED_VALUE"""),"pawan.bonde@onixnet.com")</f>
        <v>pawan.bonde@onixnet.com</v>
      </c>
      <c r="D288" s="4" t="s">
        <v>11</v>
      </c>
      <c r="E288" s="6" t="str">
        <f>IFERROR(__xludf.DUMMYFUNCTION("vlookup($A288,importrange(""1fyGnaViAX9kns28pvsfPvI9925sAI7kxPlM7jpuHVJM"",""Validation!A:Z""),11,0)"),"Product Engineering")</f>
        <v>Product Engineering</v>
      </c>
      <c r="F288" s="6" t="str">
        <f>IFERROR(__xludf.DUMMYFUNCTION("vlookup($A288,importrange(""1fyGnaViAX9kns28pvsfPvI9925sAI7kxPlM7jpuHVJM"",""Validation!A:Z""),23,0)"),"Saurabh Singh")</f>
        <v>Saurabh Singh</v>
      </c>
      <c r="G288" s="6" t="str">
        <f>IFERROR(__xludf.DUMMYFUNCTION("vlookup(A288,importrange(""1fyGnaViAX9kns28pvsfPvI9925sAI7kxPlM7jpuHVJM"",""Validation!A:Z""),22,0)"),"Cluster - Mayur")</f>
        <v>Cluster - Mayur</v>
      </c>
      <c r="H288" s="4" t="str">
        <f>IFERROR(__xludf.DUMMYFUNCTION("vlookup(C288,importrange(""1kw74ismGU34AsZ5x-W4x7F3Zt2xc8NSYcCVMrCJBmdQ"",""DRP for 8 products!B:C""),2,0)"),"ONIPBQYE8")</f>
        <v>ONIPBQYE8</v>
      </c>
      <c r="I288" s="7">
        <f>IFERROR(__xludf.DUMMYFUNCTION("vlookup(C288,importrange(""1kw74ismGU34AsZ5x-W4x7F3Zt2xc8NSYcCVMrCJBmdQ"",""DRP for 8 products!B:E""),4,0)"),25.0)</f>
        <v>25</v>
      </c>
      <c r="J288" s="8" t="str">
        <f t="shared" si="1"/>
        <v>Tier 3</v>
      </c>
      <c r="K288" s="9" t="str">
        <f t="shared" si="2"/>
        <v>Active</v>
      </c>
      <c r="L288" s="4" t="str">
        <f>IFERROR(__xludf.DUMMYFUNCTION("vlookup(C288,importrange(""1kw74ismGU34AsZ5x-W4x7F3Zt2xc8NSYcCVMrCJBmdQ"",""DRP for 8 products!B:H""),6,0)"),"BigQuery")</f>
        <v>BigQuery</v>
      </c>
      <c r="M288" s="10" t="str">
        <f t="shared" si="3"/>
        <v>Yes</v>
      </c>
    </row>
    <row r="289">
      <c r="A289" s="4" t="str">
        <f>IFERROR(__xludf.DUMMYFUNCTION("vlookup(C289,IMPORTRANGE(""1Kgoo8qyo6zMtf_5B03ksZz228jg0XpZ4_KXsdHQ4Vks"",""14 Sept!A:B""),2,0)"),"DME1364")</f>
        <v>DME1364</v>
      </c>
      <c r="B289" s="5" t="str">
        <f>IFERROR(__xludf.DUMMYFUNCTION("""COMPUTED_VALUE"""),"Pradnya Bombale")</f>
        <v>Pradnya Bombale</v>
      </c>
      <c r="C289" s="5" t="str">
        <f>IFERROR(__xludf.DUMMYFUNCTION("""COMPUTED_VALUE"""),"pradnya.bombale@onixnet.com")</f>
        <v>pradnya.bombale@onixnet.com</v>
      </c>
      <c r="D289" s="4" t="s">
        <v>11</v>
      </c>
      <c r="E289" s="6" t="str">
        <f>IFERROR(__xludf.DUMMYFUNCTION("vlookup($A289,importrange(""1fyGnaViAX9kns28pvsfPvI9925sAI7kxPlM7jpuHVJM"",""Validation!A:Z""),11,0)"),"Delivery Services")</f>
        <v>Delivery Services</v>
      </c>
      <c r="F289" s="6" t="str">
        <f>IFERROR(__xludf.DUMMYFUNCTION("vlookup($A289,importrange(""1fyGnaViAX9kns28pvsfPvI9925sAI7kxPlM7jpuHVJM"",""Validation!A:Z""),23,0)"),"Birendra Kumar Negi")</f>
        <v>Birendra Kumar Negi</v>
      </c>
      <c r="G289" s="6" t="str">
        <f>IFERROR(__xludf.DUMMYFUNCTION("vlookup(A289,importrange(""1fyGnaViAX9kns28pvsfPvI9925sAI7kxPlM7jpuHVJM"",""Validation!A:Z""),22,0)"),"Cluster - Sachin")</f>
        <v>Cluster - Sachin</v>
      </c>
      <c r="H289" s="4" t="str">
        <f>IFERROR(__xludf.DUMMYFUNCTION("vlookup(C289,importrange(""1kw74ismGU34AsZ5x-W4x7F3Zt2xc8NSYcCVMrCJBmdQ"",""DRP for 8 products!B:C""),2,0)"),"ONIPBJEA5")</f>
        <v>ONIPBJEA5</v>
      </c>
      <c r="I289" s="7">
        <f>IFERROR(__xludf.DUMMYFUNCTION("vlookup(C289,importrange(""1kw74ismGU34AsZ5x-W4x7F3Zt2xc8NSYcCVMrCJBmdQ"",""DRP for 8 products!B:E""),4,0)"),59.0)</f>
        <v>59</v>
      </c>
      <c r="J289" s="8" t="str">
        <f t="shared" si="1"/>
        <v>Tier 1</v>
      </c>
      <c r="K289" s="9" t="str">
        <f t="shared" si="2"/>
        <v>Active</v>
      </c>
      <c r="L289" s="4" t="str">
        <f>IFERROR(__xludf.DUMMYFUNCTION("vlookup(C289,importrange(""1kw74ismGU34AsZ5x-W4x7F3Zt2xc8NSYcCVMrCJBmdQ"",""DRP for 8 products!B:H""),6,0)"),"BigQuery")</f>
        <v>BigQuery</v>
      </c>
      <c r="M289" s="10" t="str">
        <f t="shared" si="3"/>
        <v>Yes</v>
      </c>
    </row>
    <row r="290">
      <c r="A290" s="4" t="str">
        <f>IFERROR(__xludf.DUMMYFUNCTION("vlookup(C290,IMPORTRANGE(""1Kgoo8qyo6zMtf_5B03ksZz228jg0XpZ4_KXsdHQ4Vks"",""14 Sept!A:B""),2,0)"),"DME2715")</f>
        <v>DME2715</v>
      </c>
      <c r="B290" s="5" t="str">
        <f>IFERROR(__xludf.DUMMYFUNCTION("""COMPUTED_VALUE"""),"Atharva Gokhare")</f>
        <v>Atharva Gokhare</v>
      </c>
      <c r="C290" s="5" t="str">
        <f>IFERROR(__xludf.DUMMYFUNCTION("""COMPUTED_VALUE"""),"atharva.gokhare@onixnet.com")</f>
        <v>atharva.gokhare@onixnet.com</v>
      </c>
      <c r="D290" s="4" t="s">
        <v>11</v>
      </c>
      <c r="E290" s="6" t="str">
        <f>IFERROR(__xludf.DUMMYFUNCTION("vlookup($A290,importrange(""1fyGnaViAX9kns28pvsfPvI9925sAI7kxPlM7jpuHVJM"",""Validation!A:Z""),11,0)"),"Delivery Services")</f>
        <v>Delivery Services</v>
      </c>
      <c r="F290" s="6" t="str">
        <f>IFERROR(__xludf.DUMMYFUNCTION("vlookup($A290,importrange(""1fyGnaViAX9kns28pvsfPvI9925sAI7kxPlM7jpuHVJM"",""Validation!A:Z""),23,0)"),"Mayuresh Kedari")</f>
        <v>Mayuresh Kedari</v>
      </c>
      <c r="G290" s="6" t="str">
        <f>IFERROR(__xludf.DUMMYFUNCTION("vlookup(A290,importrange(""1fyGnaViAX9kns28pvsfPvI9925sAI7kxPlM7jpuHVJM"",""Validation!A:Z""),22,0)"),"Cluster - Gaurav")</f>
        <v>Cluster - Gaurav</v>
      </c>
      <c r="H290" s="4" t="str">
        <f>IFERROR(__xludf.DUMMYFUNCTION("vlookup(C290,importrange(""1kw74ismGU34AsZ5x-W4x7F3Zt2xc8NSYcCVMrCJBmdQ"",""DRP for 8 products!B:C""),2,0)"),"ONIAGXHU7")</f>
        <v>ONIAGXHU7</v>
      </c>
      <c r="I290" s="7">
        <f>IFERROR(__xludf.DUMMYFUNCTION("vlookup(C290,importrange(""1kw74ismGU34AsZ5x-W4x7F3Zt2xc8NSYcCVMrCJBmdQ"",""DRP for 8 products!B:E""),4,0)"),55.0)</f>
        <v>55</v>
      </c>
      <c r="J290" s="8" t="str">
        <f t="shared" si="1"/>
        <v>Tier 1</v>
      </c>
      <c r="K290" s="9" t="str">
        <f t="shared" si="2"/>
        <v>Active</v>
      </c>
      <c r="L290" s="4" t="str">
        <f>IFERROR(__xludf.DUMMYFUNCTION("vlookup(C290,importrange(""1kw74ismGU34AsZ5x-W4x7F3Zt2xc8NSYcCVMrCJBmdQ"",""DRP for 8 products!B:H""),6,0)"),"BigQuery")</f>
        <v>BigQuery</v>
      </c>
      <c r="M290" s="10" t="str">
        <f t="shared" si="3"/>
        <v>Yes</v>
      </c>
    </row>
    <row r="291">
      <c r="A291" s="4" t="str">
        <f>IFERROR(__xludf.DUMMYFUNCTION("vlookup(C291,IMPORTRANGE(""1Kgoo8qyo6zMtf_5B03ksZz228jg0XpZ4_KXsdHQ4Vks"",""14 Sept!A:B""),2,0)"),"DME1741")</f>
        <v>DME1741</v>
      </c>
      <c r="B291" s="5" t="str">
        <f>IFERROR(__xludf.DUMMYFUNCTION("""COMPUTED_VALUE"""),"Tejas Patil")</f>
        <v>Tejas Patil</v>
      </c>
      <c r="C291" s="5" t="str">
        <f>IFERROR(__xludf.DUMMYFUNCTION("""COMPUTED_VALUE"""),"tejas.patil@onixnet.com")</f>
        <v>tejas.patil@onixnet.com</v>
      </c>
      <c r="D291" s="4" t="s">
        <v>11</v>
      </c>
      <c r="E291" s="6" t="str">
        <f>IFERROR(__xludf.DUMMYFUNCTION("vlookup($A291,importrange(""1fyGnaViAX9kns28pvsfPvI9925sAI7kxPlM7jpuHVJM"",""Validation!A:Z""),11,0)"),"Delivery Services")</f>
        <v>Delivery Services</v>
      </c>
      <c r="F291" s="6" t="str">
        <f>IFERROR(__xludf.DUMMYFUNCTION("vlookup($A291,importrange(""1fyGnaViAX9kns28pvsfPvI9925sAI7kxPlM7jpuHVJM"",""Validation!A:Z""),23,0)"),"Venkatavivekananda Sala")</f>
        <v>Venkatavivekananda Sala</v>
      </c>
      <c r="G291" s="6" t="str">
        <f>IFERROR(__xludf.DUMMYFUNCTION("vlookup(A291,importrange(""1fyGnaViAX9kns28pvsfPvI9925sAI7kxPlM7jpuHVJM"",""Validation!A:Z""),22,0)"),"Cluster - Sachin")</f>
        <v>Cluster - Sachin</v>
      </c>
      <c r="H291" s="4" t="str">
        <f>IFERROR(__xludf.DUMMYFUNCTION("vlookup(C291,importrange(""1kw74ismGU34AsZ5x-W4x7F3Zt2xc8NSYcCVMrCJBmdQ"",""DRP for 8 products!B:C""),2,0)"),"DATTPKVB1")</f>
        <v>DATTPKVB1</v>
      </c>
      <c r="I291" s="7">
        <f>IFERROR(__xludf.DUMMYFUNCTION("vlookup(C291,importrange(""1kw74ismGU34AsZ5x-W4x7F3Zt2xc8NSYcCVMrCJBmdQ"",""DRP for 8 products!B:E""),4,0)"),19.0)</f>
        <v>19</v>
      </c>
      <c r="J291" s="8" t="str">
        <f t="shared" si="1"/>
        <v>Tier 4</v>
      </c>
      <c r="K291" s="9" t="str">
        <f t="shared" si="2"/>
        <v>Active</v>
      </c>
      <c r="L291" s="4" t="str">
        <f>IFERROR(__xludf.DUMMYFUNCTION("vlookup(C291,importrange(""1kw74ismGU34AsZ5x-W4x7F3Zt2xc8NSYcCVMrCJBmdQ"",""DRP for 8 products!B:H""),6,0)"),"BigQuery")</f>
        <v>BigQuery</v>
      </c>
      <c r="M291" s="10" t="str">
        <f t="shared" si="3"/>
        <v>Yes</v>
      </c>
    </row>
    <row r="292">
      <c r="A292" s="4" t="str">
        <f>IFERROR(__xludf.DUMMYFUNCTION("vlookup(C292,IMPORTRANGE(""1Kgoo8qyo6zMtf_5B03ksZz228jg0XpZ4_KXsdHQ4Vks"",""14 Sept!A:B""),2,0)"),"DME2283")</f>
        <v>DME2283</v>
      </c>
      <c r="B292" s="5" t="str">
        <f>IFERROR(__xludf.DUMMYFUNCTION("""COMPUTED_VALUE"""),"Tejas Kolhe")</f>
        <v>Tejas Kolhe</v>
      </c>
      <c r="C292" s="5" t="str">
        <f>IFERROR(__xludf.DUMMYFUNCTION("""COMPUTED_VALUE"""),"tejas.kolhe@onixnet.com")</f>
        <v>tejas.kolhe@onixnet.com</v>
      </c>
      <c r="D292" s="4" t="s">
        <v>11</v>
      </c>
      <c r="E292" s="6" t="str">
        <f>IFERROR(__xludf.DUMMYFUNCTION("vlookup($A292,importrange(""1fyGnaViAX9kns28pvsfPvI9925sAI7kxPlM7jpuHVJM"",""Validation!A:Z""),11,0)"),"Delivery Services")</f>
        <v>Delivery Services</v>
      </c>
      <c r="F292" s="6" t="str">
        <f>IFERROR(__xludf.DUMMYFUNCTION("vlookup($A292,importrange(""1fyGnaViAX9kns28pvsfPvI9925sAI7kxPlM7jpuHVJM"",""Validation!A:Z""),23,0)"),"Sneha Bhatambrekar")</f>
        <v>Sneha Bhatambrekar</v>
      </c>
      <c r="G292" s="6" t="str">
        <f>IFERROR(__xludf.DUMMYFUNCTION("vlookup(A292,importrange(""1fyGnaViAX9kns28pvsfPvI9925sAI7kxPlM7jpuHVJM"",""Validation!A:Z""),22,0)"),"Cluster - Sandeep")</f>
        <v>Cluster - Sandeep</v>
      </c>
      <c r="H292" s="4" t="str">
        <f>IFERROR(__xludf.DUMMYFUNCTION("vlookup(C292,importrange(""1kw74ismGU34AsZ5x-W4x7F3Zt2xc8NSYcCVMrCJBmdQ"",""DRP for 8 products!B:C""),2,0)"),"ONITKTWO6")</f>
        <v>ONITKTWO6</v>
      </c>
      <c r="I292" s="7">
        <f>IFERROR(__xludf.DUMMYFUNCTION("vlookup(C292,importrange(""1kw74ismGU34AsZ5x-W4x7F3Zt2xc8NSYcCVMrCJBmdQ"",""DRP for 8 products!B:E""),4,0)"),10.0)</f>
        <v>10</v>
      </c>
      <c r="J292" s="8" t="str">
        <f t="shared" si="1"/>
        <v>Tier 4</v>
      </c>
      <c r="K292" s="9" t="str">
        <f t="shared" si="2"/>
        <v>Active</v>
      </c>
      <c r="L292" s="4" t="str">
        <f>IFERROR(__xludf.DUMMYFUNCTION("vlookup(C292,importrange(""1kw74ismGU34AsZ5x-W4x7F3Zt2xc8NSYcCVMrCJBmdQ"",""DRP for 8 products!B:H""),6,0)"),"AlloyDB for PostgreSQL")</f>
        <v>AlloyDB for PostgreSQL</v>
      </c>
      <c r="M292" s="10" t="str">
        <f t="shared" si="3"/>
        <v>Yes</v>
      </c>
    </row>
    <row r="293">
      <c r="A293" s="4" t="str">
        <f>IFERROR(__xludf.DUMMYFUNCTION("vlookup(C293,IMPORTRANGE(""1Kgoo8qyo6zMtf_5B03ksZz228jg0XpZ4_KXsdHQ4Vks"",""14 Sept!A:B""),2,0)"),"DME2142")</f>
        <v>DME2142</v>
      </c>
      <c r="B293" s="5" t="str">
        <f>IFERROR(__xludf.DUMMYFUNCTION("""COMPUTED_VALUE"""),"Mayur Nagpure")</f>
        <v>Mayur Nagpure</v>
      </c>
      <c r="C293" s="5" t="str">
        <f>IFERROR(__xludf.DUMMYFUNCTION("""COMPUTED_VALUE"""),"mayur.nagpure@onixnet.com")</f>
        <v>mayur.nagpure@onixnet.com</v>
      </c>
      <c r="D293" s="4" t="s">
        <v>11</v>
      </c>
      <c r="E293" s="6" t="str">
        <f>IFERROR(__xludf.DUMMYFUNCTION("vlookup($A293,importrange(""1fyGnaViAX9kns28pvsfPvI9925sAI7kxPlM7jpuHVJM"",""Validation!A:Z""),11,0)"),"Delivery Services")</f>
        <v>Delivery Services</v>
      </c>
      <c r="F293" s="6" t="str">
        <f>IFERROR(__xludf.DUMMYFUNCTION("vlookup($A293,importrange(""1fyGnaViAX9kns28pvsfPvI9925sAI7kxPlM7jpuHVJM"",""Validation!A:Z""),23,0)"),"Dinesh Bhamare")</f>
        <v>Dinesh Bhamare</v>
      </c>
      <c r="G293" s="6" t="str">
        <f>IFERROR(__xludf.DUMMYFUNCTION("vlookup(A293,importrange(""1fyGnaViAX9kns28pvsfPvI9925sAI7kxPlM7jpuHVJM"",""Validation!A:Z""),22,0)"),"Cluster - Shreepad")</f>
        <v>Cluster - Shreepad</v>
      </c>
      <c r="H293" s="4" t="str">
        <f>IFERROR(__xludf.DUMMYFUNCTION("vlookup(C293,importrange(""1kw74ismGU34AsZ5x-W4x7F3Zt2xc8NSYcCVMrCJBmdQ"",""DRP for 8 products!B:C""),2,0)"),"DATMNOWC6")</f>
        <v>DATMNOWC6</v>
      </c>
      <c r="I293" s="7">
        <f>IFERROR(__xludf.DUMMYFUNCTION("vlookup(C293,importrange(""1kw74ismGU34AsZ5x-W4x7F3Zt2xc8NSYcCVMrCJBmdQ"",""DRP for 8 products!B:E""),4,0)"),54.0)</f>
        <v>54</v>
      </c>
      <c r="J293" s="8" t="str">
        <f t="shared" si="1"/>
        <v>Tier 1</v>
      </c>
      <c r="K293" s="9" t="str">
        <f t="shared" si="2"/>
        <v>Active</v>
      </c>
      <c r="L293" s="4" t="str">
        <f>IFERROR(__xludf.DUMMYFUNCTION("vlookup(C293,importrange(""1kw74ismGU34AsZ5x-W4x7F3Zt2xc8NSYcCVMrCJBmdQ"",""DRP for 8 products!B:H""),6,0)"),"BigQuery")</f>
        <v>BigQuery</v>
      </c>
      <c r="M293" s="10" t="str">
        <f t="shared" si="3"/>
        <v>Yes</v>
      </c>
    </row>
    <row r="294">
      <c r="A294" s="4" t="str">
        <f>IFERROR(__xludf.DUMMYFUNCTION("vlookup(C294,IMPORTRANGE(""1Kgoo8qyo6zMtf_5B03ksZz228jg0XpZ4_KXsdHQ4Vks"",""14 Sept!A:B""),2,0)"),"DME1068")</f>
        <v>DME1068</v>
      </c>
      <c r="B294" s="5" t="str">
        <f>IFERROR(__xludf.DUMMYFUNCTION("""COMPUTED_VALUE"""),"Lokesh Bhardwaj")</f>
        <v>Lokesh Bhardwaj</v>
      </c>
      <c r="C294" s="5" t="str">
        <f>IFERROR(__xludf.DUMMYFUNCTION("""COMPUTED_VALUE"""),"lokesh.bhardwaj@onixnet.com")</f>
        <v>lokesh.bhardwaj@onixnet.com</v>
      </c>
      <c r="D294" s="4" t="s">
        <v>11</v>
      </c>
      <c r="E294" s="6" t="str">
        <f>IFERROR(__xludf.DUMMYFUNCTION("vlookup($A294,importrange(""1fyGnaViAX9kns28pvsfPvI9925sAI7kxPlM7jpuHVJM"",""Validation!A:Z""),11,0)"),"Eagle Assessment")</f>
        <v>Eagle Assessment</v>
      </c>
      <c r="F294" s="6" t="str">
        <f>IFERROR(__xludf.DUMMYFUNCTION("vlookup($A294,importrange(""1fyGnaViAX9kns28pvsfPvI9925sAI7kxPlM7jpuHVJM"",""Validation!A:Z""),23,0)"),"Ashish Taman")</f>
        <v>Ashish Taman</v>
      </c>
      <c r="G294" s="6" t="str">
        <f>IFERROR(__xludf.DUMMYFUNCTION("vlookup(A294,importrange(""1fyGnaViAX9kns28pvsfPvI9925sAI7kxPlM7jpuHVJM"",""Validation!A:Z""),22,0)"),"Cluster - Kalpa")</f>
        <v>Cluster - Kalpa</v>
      </c>
      <c r="H294" s="4" t="str">
        <f>IFERROR(__xludf.DUMMYFUNCTION("vlookup(C294,importrange(""1kw74ismGU34AsZ5x-W4x7F3Zt2xc8NSYcCVMrCJBmdQ"",""DRP for 8 products!B:C""),2,0)"),"DATLBIMZ9")</f>
        <v>DATLBIMZ9</v>
      </c>
      <c r="I294" s="7">
        <f>IFERROR(__xludf.DUMMYFUNCTION("vlookup(C294,importrange(""1kw74ismGU34AsZ5x-W4x7F3Zt2xc8NSYcCVMrCJBmdQ"",""DRP for 8 products!B:E""),4,0)"),65.0)</f>
        <v>65</v>
      </c>
      <c r="J294" s="8" t="str">
        <f t="shared" si="1"/>
        <v>Tier 1</v>
      </c>
      <c r="K294" s="9" t="str">
        <f t="shared" si="2"/>
        <v>Active</v>
      </c>
      <c r="L294" s="4" t="str">
        <f>IFERROR(__xludf.DUMMYFUNCTION("vlookup(C294,importrange(""1kw74ismGU34AsZ5x-W4x7F3Zt2xc8NSYcCVMrCJBmdQ"",""DRP for 8 products!B:H""),6,0)"),"BigQuery")</f>
        <v>BigQuery</v>
      </c>
      <c r="M294" s="10" t="str">
        <f t="shared" si="3"/>
        <v>Yes</v>
      </c>
    </row>
    <row r="295">
      <c r="A295" s="4" t="str">
        <f>IFERROR(__xludf.DUMMYFUNCTION("vlookup(C295,IMPORTRANGE(""1Kgoo8qyo6zMtf_5B03ksZz228jg0XpZ4_KXsdHQ4Vks"",""14 Sept!A:B""),2,0)"),"DME1701")</f>
        <v>DME1701</v>
      </c>
      <c r="B295" s="5" t="str">
        <f>IFERROR(__xludf.DUMMYFUNCTION("""COMPUTED_VALUE"""),"Shruti Sasane")</f>
        <v>Shruti Sasane</v>
      </c>
      <c r="C295" s="5" t="str">
        <f>IFERROR(__xludf.DUMMYFUNCTION("""COMPUTED_VALUE"""),"shruti.sasane@onixnet.com")</f>
        <v>shruti.sasane@onixnet.com</v>
      </c>
      <c r="D295" s="4" t="s">
        <v>11</v>
      </c>
      <c r="E295" s="6" t="str">
        <f>IFERROR(__xludf.DUMMYFUNCTION("vlookup($A295,importrange(""1fyGnaViAX9kns28pvsfPvI9925sAI7kxPlM7jpuHVJM"",""Validation!A:Z""),11,0)"),"Delivery Services")</f>
        <v>Delivery Services</v>
      </c>
      <c r="F295" s="6" t="str">
        <f>IFERROR(__xludf.DUMMYFUNCTION("vlookup($A295,importrange(""1fyGnaViAX9kns28pvsfPvI9925sAI7kxPlM7jpuHVJM"",""Validation!A:Z""),23,0)"),"Sneha Bhatambrekar")</f>
        <v>Sneha Bhatambrekar</v>
      </c>
      <c r="G295" s="6" t="str">
        <f>IFERROR(__xludf.DUMMYFUNCTION("vlookup(A295,importrange(""1fyGnaViAX9kns28pvsfPvI9925sAI7kxPlM7jpuHVJM"",""Validation!A:Z""),22,0)"),"Cluster - Sandeep")</f>
        <v>Cluster - Sandeep</v>
      </c>
      <c r="H295" s="4" t="str">
        <f>IFERROR(__xludf.DUMMYFUNCTION("vlookup(C295,importrange(""1kw74ismGU34AsZ5x-W4x7F3Zt2xc8NSYcCVMrCJBmdQ"",""DRP for 8 products!B:C""),2,0)"),"DATSSKQS9")</f>
        <v>DATSSKQS9</v>
      </c>
      <c r="I295" s="7">
        <f>IFERROR(__xludf.DUMMYFUNCTION("vlookup(C295,importrange(""1kw74ismGU34AsZ5x-W4x7F3Zt2xc8NSYcCVMrCJBmdQ"",""DRP for 8 products!B:E""),4,0)"),32.0)</f>
        <v>32</v>
      </c>
      <c r="J295" s="8" t="str">
        <f t="shared" si="1"/>
        <v>Tier 3</v>
      </c>
      <c r="K295" s="9" t="str">
        <f t="shared" si="2"/>
        <v>Active</v>
      </c>
      <c r="L295" s="4" t="str">
        <f>IFERROR(__xludf.DUMMYFUNCTION("vlookup(C295,importrange(""1kw74ismGU34AsZ5x-W4x7F3Zt2xc8NSYcCVMrCJBmdQ"",""DRP for 8 products!B:H""),6,0)"),"BigQuery")</f>
        <v>BigQuery</v>
      </c>
      <c r="M295" s="10" t="str">
        <f t="shared" si="3"/>
        <v>Yes</v>
      </c>
    </row>
    <row r="296">
      <c r="A296" s="4" t="str">
        <f>IFERROR(__xludf.DUMMYFUNCTION("vlookup(C296,IMPORTRANGE(""1Kgoo8qyo6zMtf_5B03ksZz228jg0XpZ4_KXsdHQ4Vks"",""14 Sept!A:B""),2,0)"),"DME3204")</f>
        <v>DME3204</v>
      </c>
      <c r="B296" s="5" t="str">
        <f>IFERROR(__xludf.DUMMYFUNCTION("""COMPUTED_VALUE"""),"Raisa Jamadar")</f>
        <v>Raisa Jamadar</v>
      </c>
      <c r="C296" s="5" t="str">
        <f>IFERROR(__xludf.DUMMYFUNCTION("""COMPUTED_VALUE"""),"raisa.jamadar@onixnet.com")</f>
        <v>raisa.jamadar@onixnet.com</v>
      </c>
      <c r="D296" s="4" t="s">
        <v>11</v>
      </c>
      <c r="E296" s="6" t="str">
        <f>IFERROR(__xludf.DUMMYFUNCTION("vlookup($A296,importrange(""1fyGnaViAX9kns28pvsfPvI9925sAI7kxPlM7jpuHVJM"",""Validation!A:Z""),11,0)"),"Delivery Services")</f>
        <v>Delivery Services</v>
      </c>
      <c r="F296" s="6" t="str">
        <f>IFERROR(__xludf.DUMMYFUNCTION("vlookup($A296,importrange(""1fyGnaViAX9kns28pvsfPvI9925sAI7kxPlM7jpuHVJM"",""Validation!A:Z""),23,0)"),"Sneha Bhatambrekar")</f>
        <v>Sneha Bhatambrekar</v>
      </c>
      <c r="G296" s="6" t="str">
        <f>IFERROR(__xludf.DUMMYFUNCTION("vlookup(A296,importrange(""1fyGnaViAX9kns28pvsfPvI9925sAI7kxPlM7jpuHVJM"",""Validation!A:Z""),22,0)"),"Cluster - Sandeep")</f>
        <v>Cluster - Sandeep</v>
      </c>
      <c r="H296" s="4" t="str">
        <f>IFERROR(__xludf.DUMMYFUNCTION("vlookup(C296,importrange(""1kw74ismGU34AsZ5x-W4x7F3Zt2xc8NSYcCVMrCJBmdQ"",""DRP for 8 products!B:C""),2,0)"),"ONIRJDNW4")</f>
        <v>ONIRJDNW4</v>
      </c>
      <c r="I296" s="7">
        <f>IFERROR(__xludf.DUMMYFUNCTION("vlookup(C296,importrange(""1kw74ismGU34AsZ5x-W4x7F3Zt2xc8NSYcCVMrCJBmdQ"",""DRP for 8 products!B:E""),4,0)"),10.0)</f>
        <v>10</v>
      </c>
      <c r="J296" s="8" t="str">
        <f t="shared" si="1"/>
        <v>Tier 4</v>
      </c>
      <c r="K296" s="9" t="str">
        <f t="shared" si="2"/>
        <v>Active</v>
      </c>
      <c r="L296" s="4" t="str">
        <f>IFERROR(__xludf.DUMMYFUNCTION("vlookup(C296,importrange(""1kw74ismGU34AsZ5x-W4x7F3Zt2xc8NSYcCVMrCJBmdQ"",""DRP for 8 products!B:H""),6,0)"),"BigQuery")</f>
        <v>BigQuery</v>
      </c>
      <c r="M296" s="10" t="str">
        <f t="shared" si="3"/>
        <v>Yes</v>
      </c>
    </row>
    <row r="297">
      <c r="A297" s="4" t="str">
        <f>IFERROR(__xludf.DUMMYFUNCTION("vlookup(C297,IMPORTRANGE(""1Kgoo8qyo6zMtf_5B03ksZz228jg0XpZ4_KXsdHQ4Vks"",""14 Sept!A:B""),2,0)"),"DME3383")</f>
        <v>DME3383</v>
      </c>
      <c r="B297" s="5" t="str">
        <f>IFERROR(__xludf.DUMMYFUNCTION("""COMPUTED_VALUE"""),"Vinayak Khavare")</f>
        <v>Vinayak Khavare</v>
      </c>
      <c r="C297" s="5" t="str">
        <f>IFERROR(__xludf.DUMMYFUNCTION("""COMPUTED_VALUE"""),"vinayak.khavare@onixnet.com")</f>
        <v>vinayak.khavare@onixnet.com</v>
      </c>
      <c r="D297" s="4" t="s">
        <v>11</v>
      </c>
      <c r="E297" s="6" t="str">
        <f>IFERROR(__xludf.DUMMYFUNCTION("vlookup($A297,importrange(""1fyGnaViAX9kns28pvsfPvI9925sAI7kxPlM7jpuHVJM"",""Validation!A:Z""),11,0)"),"Delivery Services")</f>
        <v>Delivery Services</v>
      </c>
      <c r="F297" s="6" t="str">
        <f>IFERROR(__xludf.DUMMYFUNCTION("vlookup($A297,importrange(""1fyGnaViAX9kns28pvsfPvI9925sAI7kxPlM7jpuHVJM"",""Validation!A:Z""),23,0)"),"Rashid Anwar")</f>
        <v>Rashid Anwar</v>
      </c>
      <c r="G297" s="6" t="str">
        <f>IFERROR(__xludf.DUMMYFUNCTION("vlookup(A297,importrange(""1fyGnaViAX9kns28pvsfPvI9925sAI7kxPlM7jpuHVJM"",""Validation!A:Z""),22,0)"),"Cluster - Sagar")</f>
        <v>Cluster - Sagar</v>
      </c>
      <c r="H297" s="4" t="str">
        <f>IFERROR(__xludf.DUMMYFUNCTION("vlookup(C297,importrange(""1kw74ismGU34AsZ5x-W4x7F3Zt2xc8NSYcCVMrCJBmdQ"",""DRP for 8 products!B:C""),2,0)"),"ONIVKDIM0")</f>
        <v>ONIVKDIM0</v>
      </c>
      <c r="I297" s="7">
        <f>IFERROR(__xludf.DUMMYFUNCTION("vlookup(C297,importrange(""1kw74ismGU34AsZ5x-W4x7F3Zt2xc8NSYcCVMrCJBmdQ"",""DRP for 8 products!B:E""),4,0)"),36.0)</f>
        <v>36</v>
      </c>
      <c r="J297" s="8" t="str">
        <f t="shared" si="1"/>
        <v>Tier 2</v>
      </c>
      <c r="K297" s="9" t="str">
        <f t="shared" si="2"/>
        <v>Active</v>
      </c>
      <c r="L297" s="4" t="str">
        <f>IFERROR(__xludf.DUMMYFUNCTION("vlookup(C297,importrange(""1kw74ismGU34AsZ5x-W4x7F3Zt2xc8NSYcCVMrCJBmdQ"",""DRP for 8 products!B:H""),6,0)"),"Looker")</f>
        <v>Looker</v>
      </c>
      <c r="M297" s="10" t="str">
        <f t="shared" si="3"/>
        <v>Yes</v>
      </c>
    </row>
    <row r="298">
      <c r="A298" s="4" t="str">
        <f>IFERROR(__xludf.DUMMYFUNCTION("vlookup(C298,IMPORTRANGE(""1Kgoo8qyo6zMtf_5B03ksZz228jg0XpZ4_KXsdHQ4Vks"",""14 Sept!A:B""),2,0)"),"DME3215")</f>
        <v>DME3215</v>
      </c>
      <c r="B298" s="5" t="str">
        <f>IFERROR(__xludf.DUMMYFUNCTION("""COMPUTED_VALUE"""),"Teja Krishna Pulaganti")</f>
        <v>Teja Krishna Pulaganti</v>
      </c>
      <c r="C298" s="5" t="str">
        <f>IFERROR(__xludf.DUMMYFUNCTION("""COMPUTED_VALUE"""),"tejakrishna.pulaganti@onixnet.com")</f>
        <v>tejakrishna.pulaganti@onixnet.com</v>
      </c>
      <c r="D298" s="4" t="s">
        <v>11</v>
      </c>
      <c r="E298" s="6" t="str">
        <f>IFERROR(__xludf.DUMMYFUNCTION("vlookup($A298,importrange(""1fyGnaViAX9kns28pvsfPvI9925sAI7kxPlM7jpuHVJM"",""Validation!A:Z""),11,0)"),"Delivery Services")</f>
        <v>Delivery Services</v>
      </c>
      <c r="F298" s="6" t="str">
        <f>IFERROR(__xludf.DUMMYFUNCTION("vlookup($A298,importrange(""1fyGnaViAX9kns28pvsfPvI9925sAI7kxPlM7jpuHVJM"",""Validation!A:Z""),23,0)"),"Manoj Patil")</f>
        <v>Manoj Patil</v>
      </c>
      <c r="G298" s="6" t="str">
        <f>IFERROR(__xludf.DUMMYFUNCTION("vlookup(A298,importrange(""1fyGnaViAX9kns28pvsfPvI9925sAI7kxPlM7jpuHVJM"",""Validation!A:Z""),22,0)"),"Cluster - Shreepad")</f>
        <v>Cluster - Shreepad</v>
      </c>
      <c r="H298" s="4" t="str">
        <f>IFERROR(__xludf.DUMMYFUNCTION("vlookup(C298,importrange(""1kw74ismGU34AsZ5x-W4x7F3Zt2xc8NSYcCVMrCJBmdQ"",""DRP for 8 products!B:C""),2,0)"),"ONITPMHM5")</f>
        <v>ONITPMHM5</v>
      </c>
      <c r="I298" s="7">
        <f>IFERROR(__xludf.DUMMYFUNCTION("vlookup(C298,importrange(""1kw74ismGU34AsZ5x-W4x7F3Zt2xc8NSYcCVMrCJBmdQ"",""DRP for 8 products!B:E""),4,0)"),19.0)</f>
        <v>19</v>
      </c>
      <c r="J298" s="8" t="str">
        <f t="shared" si="1"/>
        <v>Tier 4</v>
      </c>
      <c r="K298" s="9" t="str">
        <f t="shared" si="2"/>
        <v>Active</v>
      </c>
      <c r="L298" s="4" t="str">
        <f>IFERROR(__xludf.DUMMYFUNCTION("vlookup(C298,importrange(""1kw74ismGU34AsZ5x-W4x7F3Zt2xc8NSYcCVMrCJBmdQ"",""DRP for 8 products!B:H""),6,0)"),"BigQuery")</f>
        <v>BigQuery</v>
      </c>
      <c r="M298" s="10" t="str">
        <f t="shared" si="3"/>
        <v>Yes</v>
      </c>
    </row>
    <row r="299">
      <c r="A299" s="4" t="str">
        <f>IFERROR(__xludf.DUMMYFUNCTION("vlookup(C299,IMPORTRANGE(""1Kgoo8qyo6zMtf_5B03ksZz228jg0XpZ4_KXsdHQ4Vks"",""14 Sept!A:B""),2,0)"),"DME3193")</f>
        <v>DME3193</v>
      </c>
      <c r="B299" s="5" t="str">
        <f>IFERROR(__xludf.DUMMYFUNCTION("""COMPUTED_VALUE"""),"Pooja Maske")</f>
        <v>Pooja Maske</v>
      </c>
      <c r="C299" s="5" t="str">
        <f>IFERROR(__xludf.DUMMYFUNCTION("""COMPUTED_VALUE"""),"pooja.maske@onixnet.com")</f>
        <v>pooja.maske@onixnet.com</v>
      </c>
      <c r="D299" s="4" t="s">
        <v>11</v>
      </c>
      <c r="E299" s="6" t="str">
        <f>IFERROR(__xludf.DUMMYFUNCTION("vlookup($A299,importrange(""1fyGnaViAX9kns28pvsfPvI9925sAI7kxPlM7jpuHVJM"",""Validation!A:Z""),11,0)"),"Delivery Services")</f>
        <v>Delivery Services</v>
      </c>
      <c r="F299" s="6" t="str">
        <f>IFERROR(__xludf.DUMMYFUNCTION("vlookup($A299,importrange(""1fyGnaViAX9kns28pvsfPvI9925sAI7kxPlM7jpuHVJM"",""Validation!A:Z""),23,0)"),"Jitender Singh")</f>
        <v>Jitender Singh</v>
      </c>
      <c r="G299" s="6" t="str">
        <f>IFERROR(__xludf.DUMMYFUNCTION("vlookup(A299,importrange(""1fyGnaViAX9kns28pvsfPvI9925sAI7kxPlM7jpuHVJM"",""Validation!A:Z""),22,0)"),"Cluster - Gaurav")</f>
        <v>Cluster - Gaurav</v>
      </c>
      <c r="H299" s="4" t="str">
        <f>IFERROR(__xludf.DUMMYFUNCTION("vlookup(C299,importrange(""1kw74ismGU34AsZ5x-W4x7F3Zt2xc8NSYcCVMrCJBmdQ"",""DRP for 8 products!B:C""),2,0)"),"ONIPMQBU6")</f>
        <v>ONIPMQBU6</v>
      </c>
      <c r="I299" s="7">
        <f>IFERROR(__xludf.DUMMYFUNCTION("vlookup(C299,importrange(""1kw74ismGU34AsZ5x-W4x7F3Zt2xc8NSYcCVMrCJBmdQ"",""DRP for 8 products!B:E""),4,0)"),18.0)</f>
        <v>18</v>
      </c>
      <c r="J299" s="8" t="str">
        <f t="shared" si="1"/>
        <v>Tier 4</v>
      </c>
      <c r="K299" s="9" t="str">
        <f t="shared" si="2"/>
        <v>Active</v>
      </c>
      <c r="L299" s="4" t="str">
        <f>IFERROR(__xludf.DUMMYFUNCTION("vlookup(C299,importrange(""1kw74ismGU34AsZ5x-W4x7F3Zt2xc8NSYcCVMrCJBmdQ"",""DRP for 8 products!B:H""),6,0)"),"BigQuery")</f>
        <v>BigQuery</v>
      </c>
      <c r="M299" s="10" t="str">
        <f t="shared" si="3"/>
        <v>Yes</v>
      </c>
    </row>
    <row r="300">
      <c r="A300" s="4" t="str">
        <f>IFERROR(__xludf.DUMMYFUNCTION("vlookup(C300,IMPORTRANGE(""1Kgoo8qyo6zMtf_5B03ksZz228jg0XpZ4_KXsdHQ4Vks"",""14 Sept!A:B""),2,0)"),"DME2919")</f>
        <v>DME2919</v>
      </c>
      <c r="B300" s="5" t="str">
        <f>IFERROR(__xludf.DUMMYFUNCTION("""COMPUTED_VALUE"""),"Rama Shelar")</f>
        <v>Rama Shelar</v>
      </c>
      <c r="C300" s="5" t="str">
        <f>IFERROR(__xludf.DUMMYFUNCTION("""COMPUTED_VALUE"""),"rama.shelar@onixnet.com")</f>
        <v>rama.shelar@onixnet.com</v>
      </c>
      <c r="D300" s="4" t="s">
        <v>11</v>
      </c>
      <c r="E300" s="6" t="str">
        <f>IFERROR(__xludf.DUMMYFUNCTION("vlookup($A300,importrange(""1fyGnaViAX9kns28pvsfPvI9925sAI7kxPlM7jpuHVJM"",""Validation!A:Z""),11,0)"),"Eagle Assessment")</f>
        <v>Eagle Assessment</v>
      </c>
      <c r="F300" s="6" t="str">
        <f>IFERROR(__xludf.DUMMYFUNCTION("vlookup($A300,importrange(""1fyGnaViAX9kns28pvsfPvI9925sAI7kxPlM7jpuHVJM"",""Validation!A:Z""),23,0)"),"Amruta Shreerang Urane")</f>
        <v>Amruta Shreerang Urane</v>
      </c>
      <c r="G300" s="6" t="str">
        <f>IFERROR(__xludf.DUMMYFUNCTION("vlookup(A300,importrange(""1fyGnaViAX9kns28pvsfPvI9925sAI7kxPlM7jpuHVJM"",""Validation!A:Z""),22,0)"),"Cluster - Kalpa")</f>
        <v>Cluster - Kalpa</v>
      </c>
      <c r="H300" s="4" t="str">
        <f>IFERROR(__xludf.DUMMYFUNCTION("vlookup(C300,importrange(""1kw74ismGU34AsZ5x-W4x7F3Zt2xc8NSYcCVMrCJBmdQ"",""DRP for 8 products!B:C""),2,0)"),"ONIRSEUF5")</f>
        <v>ONIRSEUF5</v>
      </c>
      <c r="I300" s="7">
        <f>IFERROR(__xludf.DUMMYFUNCTION("vlookup(C300,importrange(""1kw74ismGU34AsZ5x-W4x7F3Zt2xc8NSYcCVMrCJBmdQ"",""DRP for 8 products!B:E""),4,0)"),39.0)</f>
        <v>39</v>
      </c>
      <c r="J300" s="8" t="str">
        <f t="shared" si="1"/>
        <v>Tier 2</v>
      </c>
      <c r="K300" s="9" t="str">
        <f t="shared" si="2"/>
        <v>Active</v>
      </c>
      <c r="L300" s="4" t="str">
        <f>IFERROR(__xludf.DUMMYFUNCTION("vlookup(C300,importrange(""1kw74ismGU34AsZ5x-W4x7F3Zt2xc8NSYcCVMrCJBmdQ"",""DRP for 8 products!B:H""),6,0)"),"Dataproc")</f>
        <v>Dataproc</v>
      </c>
      <c r="M300" s="10" t="str">
        <f t="shared" si="3"/>
        <v>Yes</v>
      </c>
    </row>
    <row r="301">
      <c r="A301" s="4" t="str">
        <f>IFERROR(__xludf.DUMMYFUNCTION("vlookup(C301,IMPORTRANGE(""1Kgoo8qyo6zMtf_5B03ksZz228jg0XpZ4_KXsdHQ4Vks"",""14 Sept!A:B""),2,0)"),"DME3391")</f>
        <v>DME3391</v>
      </c>
      <c r="B301" s="5" t="str">
        <f>IFERROR(__xludf.DUMMYFUNCTION("""COMPUTED_VALUE"""),"Saras Jadhav")</f>
        <v>Saras Jadhav</v>
      </c>
      <c r="C301" s="5" t="str">
        <f>IFERROR(__xludf.DUMMYFUNCTION("""COMPUTED_VALUE"""),"saras.jadhav@onixnet.com")</f>
        <v>saras.jadhav@onixnet.com</v>
      </c>
      <c r="D301" s="4" t="s">
        <v>11</v>
      </c>
      <c r="E301" s="6" t="str">
        <f>IFERROR(__xludf.DUMMYFUNCTION("vlookup($A301,importrange(""1fyGnaViAX9kns28pvsfPvI9925sAI7kxPlM7jpuHVJM"",""Validation!A:Z""),11,0)"),"Delivery Services")</f>
        <v>Delivery Services</v>
      </c>
      <c r="F301" s="6" t="str">
        <f>IFERROR(__xludf.DUMMYFUNCTION("vlookup($A301,importrange(""1fyGnaViAX9kns28pvsfPvI9925sAI7kxPlM7jpuHVJM"",""Validation!A:Z""),23,0)"),"Sunny Mathur")</f>
        <v>Sunny Mathur</v>
      </c>
      <c r="G301" s="6" t="str">
        <f>IFERROR(__xludf.DUMMYFUNCTION("vlookup(A301,importrange(""1fyGnaViAX9kns28pvsfPvI9925sAI7kxPlM7jpuHVJM"",""Validation!A:Z""),22,0)"),"Cluster - Sagar")</f>
        <v>Cluster - Sagar</v>
      </c>
      <c r="H301" s="4" t="str">
        <f>IFERROR(__xludf.DUMMYFUNCTION("vlookup(C301,importrange(""1kw74ismGU34AsZ5x-W4x7F3Zt2xc8NSYcCVMrCJBmdQ"",""DRP for 8 products!B:C""),2,0)"),"ONISJVFY1")</f>
        <v>ONISJVFY1</v>
      </c>
      <c r="I301" s="7">
        <f>IFERROR(__xludf.DUMMYFUNCTION("vlookup(C301,importrange(""1kw74ismGU34AsZ5x-W4x7F3Zt2xc8NSYcCVMrCJBmdQ"",""DRP for 8 products!B:E""),4,0)"),10.0)</f>
        <v>10</v>
      </c>
      <c r="J301" s="8" t="str">
        <f t="shared" si="1"/>
        <v>Tier 4</v>
      </c>
      <c r="K301" s="9" t="str">
        <f t="shared" si="2"/>
        <v>Active</v>
      </c>
      <c r="L301" s="4" t="str">
        <f>IFERROR(__xludf.DUMMYFUNCTION("vlookup(C301,importrange(""1kw74ismGU34AsZ5x-W4x7F3Zt2xc8NSYcCVMrCJBmdQ"",""DRP for 8 products!B:H""),6,0)"),"BigQuery")</f>
        <v>BigQuery</v>
      </c>
      <c r="M301" s="10" t="str">
        <f t="shared" si="3"/>
        <v>Yes</v>
      </c>
    </row>
    <row r="302">
      <c r="A302" s="4" t="str">
        <f>IFERROR(__xludf.DUMMYFUNCTION("vlookup(C302,IMPORTRANGE(""1Kgoo8qyo6zMtf_5B03ksZz228jg0XpZ4_KXsdHQ4Vks"",""14 Sept!A:B""),2,0)"),"DME3022")</f>
        <v>DME3022</v>
      </c>
      <c r="B302" s="5" t="str">
        <f>IFERROR(__xludf.DUMMYFUNCTION("""COMPUTED_VALUE"""),"kajal Gawade")</f>
        <v>kajal Gawade</v>
      </c>
      <c r="C302" s="5" t="str">
        <f>IFERROR(__xludf.DUMMYFUNCTION("""COMPUTED_VALUE"""),"kajal.gawade@onixnet.com")</f>
        <v>kajal.gawade@onixnet.com</v>
      </c>
      <c r="D302" s="4" t="s">
        <v>11</v>
      </c>
      <c r="E302" s="6" t="str">
        <f>IFERROR(__xludf.DUMMYFUNCTION("vlookup($A302,importrange(""1fyGnaViAX9kns28pvsfPvI9925sAI7kxPlM7jpuHVJM"",""Validation!A:Z""),11,0)"),"Delivery Services")</f>
        <v>Delivery Services</v>
      </c>
      <c r="F302" s="6" t="str">
        <f>IFERROR(__xludf.DUMMYFUNCTION("vlookup($A302,importrange(""1fyGnaViAX9kns28pvsfPvI9925sAI7kxPlM7jpuHVJM"",""Validation!A:Z""),23,0)"),"Jitender Singh")</f>
        <v>Jitender Singh</v>
      </c>
      <c r="G302" s="6" t="str">
        <f>IFERROR(__xludf.DUMMYFUNCTION("vlookup(A302,importrange(""1fyGnaViAX9kns28pvsfPvI9925sAI7kxPlM7jpuHVJM"",""Validation!A:Z""),22,0)"),"Cluster - Gaurav")</f>
        <v>Cluster - Gaurav</v>
      </c>
      <c r="H302" s="4" t="str">
        <f>IFERROR(__xludf.DUMMYFUNCTION("vlookup(C302,importrange(""1kw74ismGU34AsZ5x-W4x7F3Zt2xc8NSYcCVMrCJBmdQ"",""DRP for 8 products!B:C""),2,0)"),"ONIKGHIE8")</f>
        <v>ONIKGHIE8</v>
      </c>
      <c r="I302" s="7">
        <f>IFERROR(__xludf.DUMMYFUNCTION("vlookup(C302,importrange(""1kw74ismGU34AsZ5x-W4x7F3Zt2xc8NSYcCVMrCJBmdQ"",""DRP for 8 products!B:E""),4,0)"),9.0)</f>
        <v>9</v>
      </c>
      <c r="J302" s="8" t="str">
        <f t="shared" si="1"/>
        <v>Tier 4</v>
      </c>
      <c r="K302" s="9" t="str">
        <f t="shared" si="2"/>
        <v>Active</v>
      </c>
      <c r="L302" s="4" t="str">
        <f>IFERROR(__xludf.DUMMYFUNCTION("vlookup(C302,importrange(""1kw74ismGU34AsZ5x-W4x7F3Zt2xc8NSYcCVMrCJBmdQ"",""DRP for 8 products!B:H""),6,0)"),"BigQuery")</f>
        <v>BigQuery</v>
      </c>
      <c r="M302" s="10" t="str">
        <f t="shared" si="3"/>
        <v>Yes</v>
      </c>
    </row>
    <row r="303">
      <c r="A303" s="4" t="str">
        <f>IFERROR(__xludf.DUMMYFUNCTION("vlookup(C303,IMPORTRANGE(""1Kgoo8qyo6zMtf_5B03ksZz228jg0XpZ4_KXsdHQ4Vks"",""14 Sept!A:B""),2,0)"),"DME2092")</f>
        <v>DME2092</v>
      </c>
      <c r="B303" s="5" t="str">
        <f>IFERROR(__xludf.DUMMYFUNCTION("""COMPUTED_VALUE"""),"Jagruti Sonawane")</f>
        <v>Jagruti Sonawane</v>
      </c>
      <c r="C303" s="5" t="str">
        <f>IFERROR(__xludf.DUMMYFUNCTION("""COMPUTED_VALUE"""),"jagruti.sonawane@onixnet.com")</f>
        <v>jagruti.sonawane@onixnet.com</v>
      </c>
      <c r="D303" s="4" t="s">
        <v>11</v>
      </c>
      <c r="E303" s="6" t="str">
        <f>IFERROR(__xludf.DUMMYFUNCTION("vlookup($A303,importrange(""1fyGnaViAX9kns28pvsfPvI9925sAI7kxPlM7jpuHVJM"",""Validation!A:Z""),11,0)"),"Delivery Services")</f>
        <v>Delivery Services</v>
      </c>
      <c r="F303" s="6" t="str">
        <f>IFERROR(__xludf.DUMMYFUNCTION("vlookup($A303,importrange(""1fyGnaViAX9kns28pvsfPvI9925sAI7kxPlM7jpuHVJM"",""Validation!A:Z""),23,0)"),"Hemanth Kolluru")</f>
        <v>Hemanth Kolluru</v>
      </c>
      <c r="G303" s="6" t="str">
        <f>IFERROR(__xludf.DUMMYFUNCTION("vlookup(A303,importrange(""1fyGnaViAX9kns28pvsfPvI9925sAI7kxPlM7jpuHVJM"",""Validation!A:Z""),22,0)"),"Cluster - Sachin")</f>
        <v>Cluster - Sachin</v>
      </c>
      <c r="H303" s="4" t="str">
        <f>IFERROR(__xludf.DUMMYFUNCTION("vlookup(C303,importrange(""1kw74ismGU34AsZ5x-W4x7F3Zt2xc8NSYcCVMrCJBmdQ"",""DRP for 8 products!B:C""),2,0)"),"DATJSUPR5")</f>
        <v>DATJSUPR5</v>
      </c>
      <c r="I303" s="7">
        <f>IFERROR(__xludf.DUMMYFUNCTION("vlookup(C303,importrange(""1kw74ismGU34AsZ5x-W4x7F3Zt2xc8NSYcCVMrCJBmdQ"",""DRP for 8 products!B:E""),4,0)"),59.0)</f>
        <v>59</v>
      </c>
      <c r="J303" s="8" t="str">
        <f t="shared" si="1"/>
        <v>Tier 1</v>
      </c>
      <c r="K303" s="9" t="str">
        <f t="shared" si="2"/>
        <v>Active</v>
      </c>
      <c r="L303" s="4" t="str">
        <f>IFERROR(__xludf.DUMMYFUNCTION("vlookup(C303,importrange(""1kw74ismGU34AsZ5x-W4x7F3Zt2xc8NSYcCVMrCJBmdQ"",""DRP for 8 products!B:H""),6,0)"),"BigQuery")</f>
        <v>BigQuery</v>
      </c>
      <c r="M303" s="10" t="str">
        <f t="shared" si="3"/>
        <v>Yes</v>
      </c>
    </row>
    <row r="304">
      <c r="A304" s="4" t="str">
        <f>IFERROR(__xludf.DUMMYFUNCTION("vlookup(C304,IMPORTRANGE(""1Kgoo8qyo6zMtf_5B03ksZz228jg0XpZ4_KXsdHQ4Vks"",""14 Sept!A:B""),2,0)"),"DME3286")</f>
        <v>DME3286</v>
      </c>
      <c r="B304" s="5" t="str">
        <f>IFERROR(__xludf.DUMMYFUNCTION("""COMPUTED_VALUE"""),"Nikhil Vaidya")</f>
        <v>Nikhil Vaidya</v>
      </c>
      <c r="C304" s="5" t="str">
        <f>IFERROR(__xludf.DUMMYFUNCTION("""COMPUTED_VALUE"""),"nikhil.vaidya@onixnet.com")</f>
        <v>nikhil.vaidya@onixnet.com</v>
      </c>
      <c r="D304" s="4" t="s">
        <v>11</v>
      </c>
      <c r="E304" s="6" t="str">
        <f>IFERROR(__xludf.DUMMYFUNCTION("vlookup($A304,importrange(""1fyGnaViAX9kns28pvsfPvI9925sAI7kxPlM7jpuHVJM"",""Validation!A:Z""),11,0)"),"Delivery Services")</f>
        <v>Delivery Services</v>
      </c>
      <c r="F304" s="6" t="str">
        <f>IFERROR(__xludf.DUMMYFUNCTION("vlookup($A304,importrange(""1fyGnaViAX9kns28pvsfPvI9925sAI7kxPlM7jpuHVJM"",""Validation!A:Z""),23,0)"),"Punam S Paliwal")</f>
        <v>Punam S Paliwal</v>
      </c>
      <c r="G304" s="6" t="str">
        <f>IFERROR(__xludf.DUMMYFUNCTION("vlookup(A304,importrange(""1fyGnaViAX9kns28pvsfPvI9925sAI7kxPlM7jpuHVJM"",""Validation!A:Z""),22,0)"),"Cluster - Sagar")</f>
        <v>Cluster - Sagar</v>
      </c>
      <c r="H304" s="4" t="str">
        <f>IFERROR(__xludf.DUMMYFUNCTION("vlookup(C304,importrange(""1kw74ismGU34AsZ5x-W4x7F3Zt2xc8NSYcCVMrCJBmdQ"",""DRP for 8 products!B:C""),2,0)"),"DATNVZTT6")</f>
        <v>DATNVZTT6</v>
      </c>
      <c r="I304" s="7">
        <f>IFERROR(__xludf.DUMMYFUNCTION("vlookup(C304,importrange(""1kw74ismGU34AsZ5x-W4x7F3Zt2xc8NSYcCVMrCJBmdQ"",""DRP for 8 products!B:E""),4,0)"),44.0)</f>
        <v>44</v>
      </c>
      <c r="J304" s="8" t="str">
        <f t="shared" si="1"/>
        <v>Tier 2</v>
      </c>
      <c r="K304" s="9" t="str">
        <f t="shared" si="2"/>
        <v>Active</v>
      </c>
      <c r="L304" s="4" t="str">
        <f>IFERROR(__xludf.DUMMYFUNCTION("vlookup(C304,importrange(""1kw74ismGU34AsZ5x-W4x7F3Zt2xc8NSYcCVMrCJBmdQ"",""DRP for 8 products!B:H""),6,0)"),"BigQuery")</f>
        <v>BigQuery</v>
      </c>
      <c r="M304" s="10" t="str">
        <f t="shared" si="3"/>
        <v>Yes</v>
      </c>
    </row>
    <row r="305">
      <c r="A305" s="4" t="str">
        <f>IFERROR(__xludf.DUMMYFUNCTION("vlookup(C305,IMPORTRANGE(""1Kgoo8qyo6zMtf_5B03ksZz228jg0XpZ4_KXsdHQ4Vks"",""14 Sept!A:B""),2,0)"),"DME2370")</f>
        <v>DME2370</v>
      </c>
      <c r="B305" s="5" t="str">
        <f>IFERROR(__xludf.DUMMYFUNCTION("""COMPUTED_VALUE"""),"SACHIN NIKRAD")</f>
        <v>SACHIN NIKRAD</v>
      </c>
      <c r="C305" s="5" t="str">
        <f>IFERROR(__xludf.DUMMYFUNCTION("""COMPUTED_VALUE"""),"sachin.nikrad@onixnet.com")</f>
        <v>sachin.nikrad@onixnet.com</v>
      </c>
      <c r="D305" s="4" t="s">
        <v>11</v>
      </c>
      <c r="E305" s="6" t="str">
        <f>IFERROR(__xludf.DUMMYFUNCTION("vlookup($A305,importrange(""1fyGnaViAX9kns28pvsfPvI9925sAI7kxPlM7jpuHVJM"",""Validation!A:Z""),11,0)"),"Delivery Services")</f>
        <v>Delivery Services</v>
      </c>
      <c r="F305" s="6" t="str">
        <f>IFERROR(__xludf.DUMMYFUNCTION("vlookup($A305,importrange(""1fyGnaViAX9kns28pvsfPvI9925sAI7kxPlM7jpuHVJM"",""Validation!A:Z""),23,0)"),"Aakash Vinod Tolani")</f>
        <v>Aakash Vinod Tolani</v>
      </c>
      <c r="G305" s="6" t="str">
        <f>IFERROR(__xludf.DUMMYFUNCTION("vlookup(A305,importrange(""1fyGnaViAX9kns28pvsfPvI9925sAI7kxPlM7jpuHVJM"",""Validation!A:Z""),22,0)"),"Cluster - Shreepad")</f>
        <v>Cluster - Shreepad</v>
      </c>
      <c r="H305" s="4" t="str">
        <f>IFERROR(__xludf.DUMMYFUNCTION("vlookup(C305,importrange(""1kw74ismGU34AsZ5x-W4x7F3Zt2xc8NSYcCVMrCJBmdQ"",""DRP for 8 products!B:C""),2,0)"),"DATSNZKC6")</f>
        <v>DATSNZKC6</v>
      </c>
      <c r="I305" s="7">
        <f>IFERROR(__xludf.DUMMYFUNCTION("vlookup(C305,importrange(""1kw74ismGU34AsZ5x-W4x7F3Zt2xc8NSYcCVMrCJBmdQ"",""DRP for 8 products!B:E""),4,0)"),64.0)</f>
        <v>64</v>
      </c>
      <c r="J305" s="8" t="str">
        <f t="shared" si="1"/>
        <v>Tier 1</v>
      </c>
      <c r="K305" s="9" t="str">
        <f t="shared" si="2"/>
        <v>Active</v>
      </c>
      <c r="L305" s="4" t="str">
        <f>IFERROR(__xludf.DUMMYFUNCTION("vlookup(C305,importrange(""1kw74ismGU34AsZ5x-W4x7F3Zt2xc8NSYcCVMrCJBmdQ"",""DRP for 8 products!B:H""),6,0)"),"BigQuery")</f>
        <v>BigQuery</v>
      </c>
      <c r="M305" s="10" t="str">
        <f t="shared" si="3"/>
        <v>Yes</v>
      </c>
    </row>
    <row r="306">
      <c r="A306" s="4" t="str">
        <f>IFERROR(__xludf.DUMMYFUNCTION("vlookup(C306,IMPORTRANGE(""1Kgoo8qyo6zMtf_5B03ksZz228jg0XpZ4_KXsdHQ4Vks"",""14 Sept!A:B""),2,0)"),"DME1358")</f>
        <v>DME1358</v>
      </c>
      <c r="B306" s="5" t="str">
        <f>IFERROR(__xludf.DUMMYFUNCTION("""COMPUTED_VALUE"""),"Rahul Aage")</f>
        <v>Rahul Aage</v>
      </c>
      <c r="C306" s="5" t="str">
        <f>IFERROR(__xludf.DUMMYFUNCTION("""COMPUTED_VALUE"""),"rahul.aage@onixnet.com")</f>
        <v>rahul.aage@onixnet.com</v>
      </c>
      <c r="D306" s="4" t="s">
        <v>11</v>
      </c>
      <c r="E306" s="6" t="str">
        <f>IFERROR(__xludf.DUMMYFUNCTION("vlookup($A306,importrange(""1fyGnaViAX9kns28pvsfPvI9925sAI7kxPlM7jpuHVJM"",""Validation!A:Z""),11,0)"),"Delivery Services")</f>
        <v>Delivery Services</v>
      </c>
      <c r="F306" s="6" t="str">
        <f>IFERROR(__xludf.DUMMYFUNCTION("vlookup($A306,importrange(""1fyGnaViAX9kns28pvsfPvI9925sAI7kxPlM7jpuHVJM"",""Validation!A:Z""),23,0)"),"Rahul Gupta")</f>
        <v>Rahul Gupta</v>
      </c>
      <c r="G306" s="6" t="str">
        <f>IFERROR(__xludf.DUMMYFUNCTION("vlookup(A306,importrange(""1fyGnaViAX9kns28pvsfPvI9925sAI7kxPlM7jpuHVJM"",""Validation!A:Z""),22,0)"),"Cluster - Sachin")</f>
        <v>Cluster - Sachin</v>
      </c>
      <c r="H306" s="4" t="str">
        <f>IFERROR(__xludf.DUMMYFUNCTION("vlookup(C306,importrange(""1kw74ismGU34AsZ5x-W4x7F3Zt2xc8NSYcCVMrCJBmdQ"",""DRP for 8 products!B:C""),2,0)"),"DATRA7G30")</f>
        <v>DATRA7G30</v>
      </c>
      <c r="I306" s="7">
        <f>IFERROR(__xludf.DUMMYFUNCTION("vlookup(C306,importrange(""1kw74ismGU34AsZ5x-W4x7F3Zt2xc8NSYcCVMrCJBmdQ"",""DRP for 8 products!B:E""),4,0)"),61.0)</f>
        <v>61</v>
      </c>
      <c r="J306" s="8" t="str">
        <f t="shared" si="1"/>
        <v>Tier 1</v>
      </c>
      <c r="K306" s="9" t="str">
        <f t="shared" si="2"/>
        <v>Active</v>
      </c>
      <c r="L306" s="4" t="str">
        <f>IFERROR(__xludf.DUMMYFUNCTION("vlookup(C306,importrange(""1kw74ismGU34AsZ5x-W4x7F3Zt2xc8NSYcCVMrCJBmdQ"",""DRP for 8 products!B:H""),6,0)"),"BigQuery")</f>
        <v>BigQuery</v>
      </c>
      <c r="M306" s="10" t="str">
        <f t="shared" si="3"/>
        <v>Yes</v>
      </c>
    </row>
    <row r="307">
      <c r="A307" s="4" t="str">
        <f>IFERROR(__xludf.DUMMYFUNCTION("vlookup(C307,IMPORTRANGE(""1Kgoo8qyo6zMtf_5B03ksZz228jg0XpZ4_KXsdHQ4Vks"",""14 Sept!A:B""),2,0)"),"DMSI0117")</f>
        <v>DMSI0117</v>
      </c>
      <c r="B307" s="5" t="str">
        <f>IFERROR(__xludf.DUMMYFUNCTION("""COMPUTED_VALUE"""),"Prashant Ahire")</f>
        <v>Prashant Ahire</v>
      </c>
      <c r="C307" s="5" t="str">
        <f>IFERROR(__xludf.DUMMYFUNCTION("""COMPUTED_VALUE"""),"prashant.ahire@onixnet.com")</f>
        <v>prashant.ahire@onixnet.com</v>
      </c>
      <c r="D307" s="4" t="s">
        <v>11</v>
      </c>
      <c r="E307" s="6" t="str">
        <f>IFERROR(__xludf.DUMMYFUNCTION("vlookup($A307,importrange(""1fyGnaViAX9kns28pvsfPvI9925sAI7kxPlM7jpuHVJM"",""Validation!A:Z""),11,0)"),"Services")</f>
        <v>Services</v>
      </c>
      <c r="F307" s="6" t="str">
        <f>IFERROR(__xludf.DUMMYFUNCTION("vlookup($A307,importrange(""1fyGnaViAX9kns28pvsfPvI9925sAI7kxPlM7jpuHVJM"",""Validation!A:Z""),23,0)"),"Kavindra Yerolkar")</f>
        <v>Kavindra Yerolkar</v>
      </c>
      <c r="G307" s="6" t="str">
        <f>IFERROR(__xludf.DUMMYFUNCTION("vlookup(A307,importrange(""1fyGnaViAX9kns28pvsfPvI9925sAI7kxPlM7jpuHVJM"",""Validation!A:Z""),22,0)"),"Portfolio - Rajesh")</f>
        <v>Portfolio - Rajesh</v>
      </c>
      <c r="H307" s="4" t="str">
        <f>IFERROR(__xludf.DUMMYFUNCTION("vlookup(C307,importrange(""1kw74ismGU34AsZ5x-W4x7F3Zt2xc8NSYcCVMrCJBmdQ"",""DRP for 8 products!B:C""),2,0)"),"DATPABWB5")</f>
        <v>DATPABWB5</v>
      </c>
      <c r="I307" s="7">
        <f>IFERROR(__xludf.DUMMYFUNCTION("vlookup(C307,importrange(""1kw74ismGU34AsZ5x-W4x7F3Zt2xc8NSYcCVMrCJBmdQ"",""DRP for 8 products!B:E""),4,0)"),14.0)</f>
        <v>14</v>
      </c>
      <c r="J307" s="8" t="str">
        <f t="shared" si="1"/>
        <v>Tier 4</v>
      </c>
      <c r="K307" s="9" t="str">
        <f t="shared" si="2"/>
        <v>Active</v>
      </c>
      <c r="L307" s="4" t="str">
        <f>IFERROR(__xludf.DUMMYFUNCTION("vlookup(C307,importrange(""1kw74ismGU34AsZ5x-W4x7F3Zt2xc8NSYcCVMrCJBmdQ"",""DRP for 8 products!B:H""),6,0)"),"BigQuery")</f>
        <v>BigQuery</v>
      </c>
      <c r="M307" s="10" t="str">
        <f t="shared" si="3"/>
        <v>Yes</v>
      </c>
    </row>
    <row r="308">
      <c r="A308" s="4" t="str">
        <f>IFERROR(__xludf.DUMMYFUNCTION("vlookup(C308,IMPORTRANGE(""1Kgoo8qyo6zMtf_5B03ksZz228jg0XpZ4_KXsdHQ4Vks"",""14 Sept!A:B""),2,0)"),"DME3151")</f>
        <v>DME3151</v>
      </c>
      <c r="B308" s="5" t="str">
        <f>IFERROR(__xludf.DUMMYFUNCTION("""COMPUTED_VALUE"""),"Aaradhy Vijaywat")</f>
        <v>Aaradhy Vijaywat</v>
      </c>
      <c r="C308" s="5" t="str">
        <f>IFERROR(__xludf.DUMMYFUNCTION("""COMPUTED_VALUE"""),"aaradhy.vijaywat@onixnet.com")</f>
        <v>aaradhy.vijaywat@onixnet.com</v>
      </c>
      <c r="D308" s="4" t="s">
        <v>11</v>
      </c>
      <c r="E308" s="6" t="str">
        <f>IFERROR(__xludf.DUMMYFUNCTION("vlookup($A308,importrange(""1fyGnaViAX9kns28pvsfPvI9925sAI7kxPlM7jpuHVJM"",""Validation!A:Z""),11,0)"),"Delivery Services")</f>
        <v>Delivery Services</v>
      </c>
      <c r="F308" s="6" t="str">
        <f>IFERROR(__xludf.DUMMYFUNCTION("vlookup($A308,importrange(""1fyGnaViAX9kns28pvsfPvI9925sAI7kxPlM7jpuHVJM"",""Validation!A:Z""),23,0)"),"Sneha Bhatambrekar")</f>
        <v>Sneha Bhatambrekar</v>
      </c>
      <c r="G308" s="6" t="str">
        <f>IFERROR(__xludf.DUMMYFUNCTION("vlookup(A308,importrange(""1fyGnaViAX9kns28pvsfPvI9925sAI7kxPlM7jpuHVJM"",""Validation!A:Z""),22,0)"),"Cluster - Sandeep")</f>
        <v>Cluster - Sandeep</v>
      </c>
      <c r="H308" s="4" t="str">
        <f>IFERROR(__xludf.DUMMYFUNCTION("vlookup(C308,importrange(""1kw74ismGU34AsZ5x-W4x7F3Zt2xc8NSYcCVMrCJBmdQ"",""DRP for 8 products!B:C""),2,0)"),"ONIAVYAX8")</f>
        <v>ONIAVYAX8</v>
      </c>
      <c r="I308" s="7">
        <f>IFERROR(__xludf.DUMMYFUNCTION("vlookup(C308,importrange(""1kw74ismGU34AsZ5x-W4x7F3Zt2xc8NSYcCVMrCJBmdQ"",""DRP for 8 products!B:E""),4,0)"),36.0)</f>
        <v>36</v>
      </c>
      <c r="J308" s="8" t="str">
        <f t="shared" si="1"/>
        <v>Tier 2</v>
      </c>
      <c r="K308" s="9" t="str">
        <f t="shared" si="2"/>
        <v>Active</v>
      </c>
      <c r="L308" s="4" t="str">
        <f>IFERROR(__xludf.DUMMYFUNCTION("vlookup(C308,importrange(""1kw74ismGU34AsZ5x-W4x7F3Zt2xc8NSYcCVMrCJBmdQ"",""DRP for 8 products!B:H""),6,0)"),"BigQuery")</f>
        <v>BigQuery</v>
      </c>
      <c r="M308" s="10" t="str">
        <f t="shared" si="3"/>
        <v>Yes</v>
      </c>
    </row>
    <row r="309">
      <c r="A309" s="4" t="str">
        <f>IFERROR(__xludf.DUMMYFUNCTION("vlookup(C309,IMPORTRANGE(""1Kgoo8qyo6zMtf_5B03ksZz228jg0XpZ4_KXsdHQ4Vks"",""14 Sept!A:B""),2,0)"),"DME2144")</f>
        <v>DME2144</v>
      </c>
      <c r="B309" s="5" t="str">
        <f>IFERROR(__xludf.DUMMYFUNCTION("""COMPUTED_VALUE"""),"Pankaj Arangale")</f>
        <v>Pankaj Arangale</v>
      </c>
      <c r="C309" s="5" t="str">
        <f>IFERROR(__xludf.DUMMYFUNCTION("""COMPUTED_VALUE"""),"pankaj.arangale@onixnet.com")</f>
        <v>pankaj.arangale@onixnet.com</v>
      </c>
      <c r="D309" s="4" t="s">
        <v>11</v>
      </c>
      <c r="E309" s="6" t="str">
        <f>IFERROR(__xludf.DUMMYFUNCTION("vlookup($A309,importrange(""1fyGnaViAX9kns28pvsfPvI9925sAI7kxPlM7jpuHVJM"",""Validation!A:Z""),11,0)"),"Delivery Services")</f>
        <v>Delivery Services</v>
      </c>
      <c r="F309" s="6" t="str">
        <f>IFERROR(__xludf.DUMMYFUNCTION("vlookup($A309,importrange(""1fyGnaViAX9kns28pvsfPvI9925sAI7kxPlM7jpuHVJM"",""Validation!A:Z""),23,0)"),"Sneha Bhatambrekar")</f>
        <v>Sneha Bhatambrekar</v>
      </c>
      <c r="G309" s="6" t="str">
        <f>IFERROR(__xludf.DUMMYFUNCTION("vlookup(A309,importrange(""1fyGnaViAX9kns28pvsfPvI9925sAI7kxPlM7jpuHVJM"",""Validation!A:Z""),22,0)"),"Cluster - Sandeep")</f>
        <v>Cluster - Sandeep</v>
      </c>
      <c r="H309" s="4" t="str">
        <f>IFERROR(__xludf.DUMMYFUNCTION("vlookup(C309,importrange(""1kw74ismGU34AsZ5x-W4x7F3Zt2xc8NSYcCVMrCJBmdQ"",""DRP for 8 products!B:C""),2,0)"),"ONIPALVZ0")</f>
        <v>ONIPALVZ0</v>
      </c>
      <c r="I309" s="7">
        <f>IFERROR(__xludf.DUMMYFUNCTION("vlookup(C309,importrange(""1kw74ismGU34AsZ5x-W4x7F3Zt2xc8NSYcCVMrCJBmdQ"",""DRP for 8 products!B:E""),4,0)"),10.0)</f>
        <v>10</v>
      </c>
      <c r="J309" s="8" t="str">
        <f t="shared" si="1"/>
        <v>Tier 4</v>
      </c>
      <c r="K309" s="9" t="str">
        <f t="shared" si="2"/>
        <v>Active</v>
      </c>
      <c r="L309" s="4" t="str">
        <f>IFERROR(__xludf.DUMMYFUNCTION("vlookup(C309,importrange(""1kw74ismGU34AsZ5x-W4x7F3Zt2xc8NSYcCVMrCJBmdQ"",""DRP for 8 products!B:H""),6,0)"),"AlloyDB for PostgreSQL")</f>
        <v>AlloyDB for PostgreSQL</v>
      </c>
      <c r="M309" s="10" t="str">
        <f t="shared" si="3"/>
        <v>Yes</v>
      </c>
    </row>
    <row r="310">
      <c r="A310" s="4" t="str">
        <f>IFERROR(__xludf.DUMMYFUNCTION("vlookup(C310,IMPORTRANGE(""1Kgoo8qyo6zMtf_5B03ksZz228jg0XpZ4_KXsdHQ4Vks"",""14 Sept!A:B""),2,0)"),"DME3392")</f>
        <v>DME3392</v>
      </c>
      <c r="B310" s="5" t="str">
        <f>IFERROR(__xludf.DUMMYFUNCTION("""COMPUTED_VALUE"""),"Ashish Dwivedi")</f>
        <v>Ashish Dwivedi</v>
      </c>
      <c r="C310" s="5" t="str">
        <f>IFERROR(__xludf.DUMMYFUNCTION("""COMPUTED_VALUE"""),"ashish.dwivedi@onixnet.com")</f>
        <v>ashish.dwivedi@onixnet.com</v>
      </c>
      <c r="D310" s="4" t="s">
        <v>11</v>
      </c>
      <c r="E310" s="6" t="str">
        <f>IFERROR(__xludf.DUMMYFUNCTION("vlookup($A310,importrange(""1fyGnaViAX9kns28pvsfPvI9925sAI7kxPlM7jpuHVJM"",""Validation!A:Z""),11,0)"),"Delivery Services")</f>
        <v>Delivery Services</v>
      </c>
      <c r="F310" s="6" t="str">
        <f>IFERROR(__xludf.DUMMYFUNCTION("vlookup($A310,importrange(""1fyGnaViAX9kns28pvsfPvI9925sAI7kxPlM7jpuHVJM"",""Validation!A:Z""),23,0)"),"Minal Patil")</f>
        <v>Minal Patil</v>
      </c>
      <c r="G310" s="6" t="str">
        <f>IFERROR(__xludf.DUMMYFUNCTION("vlookup(A310,importrange(""1fyGnaViAX9kns28pvsfPvI9925sAI7kxPlM7jpuHVJM"",""Validation!A:Z""),22,0)"),"Cluster - Devayani")</f>
        <v>Cluster - Devayani</v>
      </c>
      <c r="H310" s="4" t="str">
        <f>IFERROR(__xludf.DUMMYFUNCTION("vlookup(C310,importrange(""1kw74ismGU34AsZ5x-W4x7F3Zt2xc8NSYcCVMrCJBmdQ"",""DRP for 8 products!B:C""),2,0)"),"ONIADGGZ3")</f>
        <v>ONIADGGZ3</v>
      </c>
      <c r="I310" s="7">
        <f>IFERROR(__xludf.DUMMYFUNCTION("vlookup(C310,importrange(""1kw74ismGU34AsZ5x-W4x7F3Zt2xc8NSYcCVMrCJBmdQ"",""DRP for 8 products!B:E""),4,0)"),20.0)</f>
        <v>20</v>
      </c>
      <c r="J310" s="8" t="str">
        <f t="shared" si="1"/>
        <v>Tier 3</v>
      </c>
      <c r="K310" s="9" t="str">
        <f t="shared" si="2"/>
        <v>Active</v>
      </c>
      <c r="L310" s="4" t="str">
        <f>IFERROR(__xludf.DUMMYFUNCTION("vlookup(C310,importrange(""1kw74ismGU34AsZ5x-W4x7F3Zt2xc8NSYcCVMrCJBmdQ"",""DRP for 8 products!B:H""),6,0)"),"BigQuery")</f>
        <v>BigQuery</v>
      </c>
      <c r="M310" s="10" t="str">
        <f t="shared" si="3"/>
        <v>Yes</v>
      </c>
    </row>
    <row r="311">
      <c r="A311" s="4" t="str">
        <f>IFERROR(__xludf.DUMMYFUNCTION("vlookup(C311,IMPORTRANGE(""1Kgoo8qyo6zMtf_5B03ksZz228jg0XpZ4_KXsdHQ4Vks"",""14 Sept!A:B""),2,0)"),"DME2281")</f>
        <v>DME2281</v>
      </c>
      <c r="B311" s="5" t="str">
        <f>IFERROR(__xludf.DUMMYFUNCTION("""COMPUTED_VALUE"""),"Chinmay Bhulkar")</f>
        <v>Chinmay Bhulkar</v>
      </c>
      <c r="C311" s="5" t="str">
        <f>IFERROR(__xludf.DUMMYFUNCTION("""COMPUTED_VALUE"""),"chinmay.bhulkar@onixnet.com")</f>
        <v>chinmay.bhulkar@onixnet.com</v>
      </c>
      <c r="D311" s="4" t="s">
        <v>11</v>
      </c>
      <c r="E311" s="6" t="str">
        <f>IFERROR(__xludf.DUMMYFUNCTION("vlookup($A311,importrange(""1fyGnaViAX9kns28pvsfPvI9925sAI7kxPlM7jpuHVJM"",""Validation!A:Z""),11,0)"),"Delivery Services")</f>
        <v>Delivery Services</v>
      </c>
      <c r="F311" s="6" t="str">
        <f>IFERROR(__xludf.DUMMYFUNCTION("vlookup($A311,importrange(""1fyGnaViAX9kns28pvsfPvI9925sAI7kxPlM7jpuHVJM"",""Validation!A:Z""),23,0)"),"Shivam Kumar")</f>
        <v>Shivam Kumar</v>
      </c>
      <c r="G311" s="6" t="str">
        <f>IFERROR(__xludf.DUMMYFUNCTION("vlookup(A311,importrange(""1fyGnaViAX9kns28pvsfPvI9925sAI7kxPlM7jpuHVJM"",""Validation!A:Z""),22,0)"),"Cluster - Sachin")</f>
        <v>Cluster - Sachin</v>
      </c>
      <c r="H311" s="4" t="str">
        <f>IFERROR(__xludf.DUMMYFUNCTION("vlookup(C311,importrange(""1kw74ismGU34AsZ5x-W4x7F3Zt2xc8NSYcCVMrCJBmdQ"",""DRP for 8 products!B:C""),2,0)"),"ONICBSNL0")</f>
        <v>ONICBSNL0</v>
      </c>
      <c r="I311" s="7">
        <f>IFERROR(__xludf.DUMMYFUNCTION("vlookup(C311,importrange(""1kw74ismGU34AsZ5x-W4x7F3Zt2xc8NSYcCVMrCJBmdQ"",""DRP for 8 products!B:E""),4,0)"),29.0)</f>
        <v>29</v>
      </c>
      <c r="J311" s="8" t="str">
        <f t="shared" si="1"/>
        <v>Tier 3</v>
      </c>
      <c r="K311" s="9" t="str">
        <f t="shared" si="2"/>
        <v>Active</v>
      </c>
      <c r="L311" s="4" t="str">
        <f>IFERROR(__xludf.DUMMYFUNCTION("vlookup(C311,importrange(""1kw74ismGU34AsZ5x-W4x7F3Zt2xc8NSYcCVMrCJBmdQ"",""DRP for 8 products!B:H""),6,0)"),"BigQuery")</f>
        <v>BigQuery</v>
      </c>
      <c r="M311" s="10" t="str">
        <f t="shared" si="3"/>
        <v>Yes</v>
      </c>
    </row>
    <row r="312">
      <c r="A312" s="4" t="str">
        <f>IFERROR(__xludf.DUMMYFUNCTION("vlookup(C312,IMPORTRANGE(""1Kgoo8qyo6zMtf_5B03ksZz228jg0XpZ4_KXsdHQ4Vks"",""14 Sept!A:B""),2,0)"),"DME1698")</f>
        <v>DME1698</v>
      </c>
      <c r="B312" s="5" t="str">
        <f>IFERROR(__xludf.DUMMYFUNCTION("""COMPUTED_VALUE"""),"Pranali Rupanavar")</f>
        <v>Pranali Rupanavar</v>
      </c>
      <c r="C312" s="5" t="str">
        <f>IFERROR(__xludf.DUMMYFUNCTION("""COMPUTED_VALUE"""),"pranali.rupanavar@onixnet.com")</f>
        <v>pranali.rupanavar@onixnet.com</v>
      </c>
      <c r="D312" s="4" t="s">
        <v>11</v>
      </c>
      <c r="E312" s="6" t="str">
        <f>IFERROR(__xludf.DUMMYFUNCTION("vlookup($A312,importrange(""1fyGnaViAX9kns28pvsfPvI9925sAI7kxPlM7jpuHVJM"",""Validation!A:Z""),11,0)"),"Delivery Services")</f>
        <v>Delivery Services</v>
      </c>
      <c r="F312" s="6" t="str">
        <f>IFERROR(__xludf.DUMMYFUNCTION("vlookup($A312,importrange(""1fyGnaViAX9kns28pvsfPvI9925sAI7kxPlM7jpuHVJM"",""Validation!A:Z""),23,0)"),"Vishal Verma")</f>
        <v>Vishal Verma</v>
      </c>
      <c r="G312" s="6" t="str">
        <f>IFERROR(__xludf.DUMMYFUNCTION("vlookup(A312,importrange(""1fyGnaViAX9kns28pvsfPvI9925sAI7kxPlM7jpuHVJM"",""Validation!A:Z""),22,0)"),"Cluster - Sachin")</f>
        <v>Cluster - Sachin</v>
      </c>
      <c r="H312" s="4" t="str">
        <f>IFERROR(__xludf.DUMMYFUNCTION("vlookup(C312,importrange(""1kw74ismGU34AsZ5x-W4x7F3Zt2xc8NSYcCVMrCJBmdQ"",""DRP for 8 products!B:C""),2,0)"),"ONIPRARC5")</f>
        <v>ONIPRARC5</v>
      </c>
      <c r="I312" s="7">
        <f>IFERROR(__xludf.DUMMYFUNCTION("vlookup(C312,importrange(""1kw74ismGU34AsZ5x-W4x7F3Zt2xc8NSYcCVMrCJBmdQ"",""DRP for 8 products!B:E""),4,0)"),20.0)</f>
        <v>20</v>
      </c>
      <c r="J312" s="8" t="str">
        <f t="shared" si="1"/>
        <v>Tier 3</v>
      </c>
      <c r="K312" s="9" t="str">
        <f t="shared" si="2"/>
        <v>Active</v>
      </c>
      <c r="L312" s="4" t="str">
        <f>IFERROR(__xludf.DUMMYFUNCTION("vlookup(C312,importrange(""1kw74ismGU34AsZ5x-W4x7F3Zt2xc8NSYcCVMrCJBmdQ"",""DRP for 8 products!B:H""),6,0)"),"BigQuery")</f>
        <v>BigQuery</v>
      </c>
      <c r="M312" s="10" t="str">
        <f t="shared" si="3"/>
        <v>Yes</v>
      </c>
    </row>
    <row r="313">
      <c r="A313" s="4" t="str">
        <f>IFERROR(__xludf.DUMMYFUNCTION("vlookup(C313,IMPORTRANGE(""1Kgoo8qyo6zMtf_5B03ksZz228jg0XpZ4_KXsdHQ4Vks"",""14 Sept!A:B""),2,0)"),"DME1388")</f>
        <v>DME1388</v>
      </c>
      <c r="B313" s="5" t="str">
        <f>IFERROR(__xludf.DUMMYFUNCTION("""COMPUTED_VALUE"""),"Mayur More")</f>
        <v>Mayur More</v>
      </c>
      <c r="C313" s="5" t="str">
        <f>IFERROR(__xludf.DUMMYFUNCTION("""COMPUTED_VALUE"""),"mayur.more@onixnet.com")</f>
        <v>mayur.more@onixnet.com</v>
      </c>
      <c r="D313" s="4" t="s">
        <v>11</v>
      </c>
      <c r="E313" s="6" t="str">
        <f>IFERROR(__xludf.DUMMYFUNCTION("vlookup($A313,importrange(""1fyGnaViAX9kns28pvsfPvI9925sAI7kxPlM7jpuHVJM"",""Validation!A:Z""),11,0)"),"Delivery Services")</f>
        <v>Delivery Services</v>
      </c>
      <c r="F313" s="6" t="str">
        <f>IFERROR(__xludf.DUMMYFUNCTION("vlookup($A313,importrange(""1fyGnaViAX9kns28pvsfPvI9925sAI7kxPlM7jpuHVJM"",""Validation!A:Z""),23,0)"),"Vishal Verma")</f>
        <v>Vishal Verma</v>
      </c>
      <c r="G313" s="6" t="str">
        <f>IFERROR(__xludf.DUMMYFUNCTION("vlookup(A313,importrange(""1fyGnaViAX9kns28pvsfPvI9925sAI7kxPlM7jpuHVJM"",""Validation!A:Z""),22,0)"),"Cluster - Sachin")</f>
        <v>Cluster - Sachin</v>
      </c>
      <c r="H313" s="4" t="str">
        <f>IFERROR(__xludf.DUMMYFUNCTION("vlookup(C313,importrange(""1kw74ismGU34AsZ5x-W4x7F3Zt2xc8NSYcCVMrCJBmdQ"",""DRP for 8 products!B:C""),2,0)"),"ONIMMDTS2")</f>
        <v>ONIMMDTS2</v>
      </c>
      <c r="I313" s="7">
        <f>IFERROR(__xludf.DUMMYFUNCTION("vlookup(C313,importrange(""1kw74ismGU34AsZ5x-W4x7F3Zt2xc8NSYcCVMrCJBmdQ"",""DRP for 8 products!B:E""),4,0)"),74.0)</f>
        <v>74</v>
      </c>
      <c r="J313" s="8" t="str">
        <f t="shared" si="1"/>
        <v>Tier 1</v>
      </c>
      <c r="K313" s="9" t="str">
        <f t="shared" si="2"/>
        <v>Active</v>
      </c>
      <c r="L313" s="4" t="str">
        <f>IFERROR(__xludf.DUMMYFUNCTION("vlookup(C313,importrange(""1kw74ismGU34AsZ5x-W4x7F3Zt2xc8NSYcCVMrCJBmdQ"",""DRP for 8 products!B:H""),6,0)"),"BigQuery")</f>
        <v>BigQuery</v>
      </c>
      <c r="M313" s="10" t="str">
        <f t="shared" si="3"/>
        <v>Yes</v>
      </c>
    </row>
    <row r="314">
      <c r="A314" s="4" t="str">
        <f>IFERROR(__xludf.DUMMYFUNCTION("vlookup(C314,IMPORTRANGE(""1Kgoo8qyo6zMtf_5B03ksZz228jg0XpZ4_KXsdHQ4Vks"",""14 Sept!A:B""),2,0)"),"DME1084")</f>
        <v>DME1084</v>
      </c>
      <c r="B314" s="5" t="str">
        <f>IFERROR(__xludf.DUMMYFUNCTION("""COMPUTED_VALUE"""),"jakir ansari")</f>
        <v>jakir ansari</v>
      </c>
      <c r="C314" s="5" t="str">
        <f>IFERROR(__xludf.DUMMYFUNCTION("""COMPUTED_VALUE"""),"jakir.ansari@onixnet.com")</f>
        <v>jakir.ansari@onixnet.com</v>
      </c>
      <c r="D314" s="4" t="s">
        <v>11</v>
      </c>
      <c r="E314" s="6" t="str">
        <f>IFERROR(__xludf.DUMMYFUNCTION("vlookup($A314,importrange(""1fyGnaViAX9kns28pvsfPvI9925sAI7kxPlM7jpuHVJM"",""Validation!A:Z""),11,0)"),"Product Engineering")</f>
        <v>Product Engineering</v>
      </c>
      <c r="F314" s="6" t="str">
        <f>IFERROR(__xludf.DUMMYFUNCTION("vlookup($A314,importrange(""1fyGnaViAX9kns28pvsfPvI9925sAI7kxPlM7jpuHVJM"",""Validation!A:Z""),23,0)"),"Abhishek Pravinkmar Jagtap")</f>
        <v>Abhishek Pravinkmar Jagtap</v>
      </c>
      <c r="G314" s="6" t="str">
        <f>IFERROR(__xludf.DUMMYFUNCTION("vlookup(A314,importrange(""1fyGnaViAX9kns28pvsfPvI9925sAI7kxPlM7jpuHVJM"",""Validation!A:Z""),22,0)"),"Cluster - Mayur")</f>
        <v>Cluster - Mayur</v>
      </c>
      <c r="H314" s="4" t="str">
        <f>IFERROR(__xludf.DUMMYFUNCTION("vlookup(C314,importrange(""1kw74ismGU34AsZ5x-W4x7F3Zt2xc8NSYcCVMrCJBmdQ"",""DRP for 8 products!B:C""),2,0)"),"ONIJAVQQ8")</f>
        <v>ONIJAVQQ8</v>
      </c>
      <c r="I314" s="7">
        <f>IFERROR(__xludf.DUMMYFUNCTION("vlookup(C314,importrange(""1kw74ismGU34AsZ5x-W4x7F3Zt2xc8NSYcCVMrCJBmdQ"",""DRP for 8 products!B:E""),4,0)"),10.0)</f>
        <v>10</v>
      </c>
      <c r="J314" s="8" t="str">
        <f t="shared" si="1"/>
        <v>Tier 4</v>
      </c>
      <c r="K314" s="9" t="str">
        <f t="shared" si="2"/>
        <v>Active</v>
      </c>
      <c r="L314" s="4" t="str">
        <f>IFERROR(__xludf.DUMMYFUNCTION("vlookup(C314,importrange(""1kw74ismGU34AsZ5x-W4x7F3Zt2xc8NSYcCVMrCJBmdQ"",""DRP for 8 products!B:H""),6,0)"),"BigQuery")</f>
        <v>BigQuery</v>
      </c>
      <c r="M314" s="10" t="str">
        <f t="shared" si="3"/>
        <v>Yes</v>
      </c>
    </row>
    <row r="315">
      <c r="A315" s="4" t="str">
        <f>IFERROR(__xludf.DUMMYFUNCTION("vlookup(C315,IMPORTRANGE(""1Kgoo8qyo6zMtf_5B03ksZz228jg0XpZ4_KXsdHQ4Vks"",""14 Sept!A:B""),2,0)"),"DME2538")</f>
        <v>DME2538</v>
      </c>
      <c r="B315" s="5" t="str">
        <f>IFERROR(__xludf.DUMMYFUNCTION("""COMPUTED_VALUE"""),"Sanyam Jain")</f>
        <v>Sanyam Jain</v>
      </c>
      <c r="C315" s="5" t="str">
        <f>IFERROR(__xludf.DUMMYFUNCTION("""COMPUTED_VALUE"""),"sanyam.jain@onixnet.com")</f>
        <v>sanyam.jain@onixnet.com</v>
      </c>
      <c r="D315" s="4" t="s">
        <v>11</v>
      </c>
      <c r="E315" s="6" t="str">
        <f>IFERROR(__xludf.DUMMYFUNCTION("vlookup($A315,importrange(""1fyGnaViAX9kns28pvsfPvI9925sAI7kxPlM7jpuHVJM"",""Validation!A:Z""),11,0)"),"Delivery Services")</f>
        <v>Delivery Services</v>
      </c>
      <c r="F315" s="6" t="str">
        <f>IFERROR(__xludf.DUMMYFUNCTION("vlookup($A315,importrange(""1fyGnaViAX9kns28pvsfPvI9925sAI7kxPlM7jpuHVJM"",""Validation!A:Z""),23,0)"),"Sneha Bhatambrekar")</f>
        <v>Sneha Bhatambrekar</v>
      </c>
      <c r="G315" s="6" t="str">
        <f>IFERROR(__xludf.DUMMYFUNCTION("vlookup(A315,importrange(""1fyGnaViAX9kns28pvsfPvI9925sAI7kxPlM7jpuHVJM"",""Validation!A:Z""),22,0)"),"Cluster - Sandeep")</f>
        <v>Cluster - Sandeep</v>
      </c>
      <c r="H315" s="4" t="str">
        <f>IFERROR(__xludf.DUMMYFUNCTION("vlookup(C315,importrange(""1kw74ismGU34AsZ5x-W4x7F3Zt2xc8NSYcCVMrCJBmdQ"",""DRP for 8 products!B:C""),2,0)"),"ONISJLPP6")</f>
        <v>ONISJLPP6</v>
      </c>
      <c r="I315" s="7">
        <f>IFERROR(__xludf.DUMMYFUNCTION("vlookup(C315,importrange(""1kw74ismGU34AsZ5x-W4x7F3Zt2xc8NSYcCVMrCJBmdQ"",""DRP for 8 products!B:E""),4,0)"),14.0)</f>
        <v>14</v>
      </c>
      <c r="J315" s="8" t="str">
        <f t="shared" si="1"/>
        <v>Tier 4</v>
      </c>
      <c r="K315" s="9" t="str">
        <f t="shared" si="2"/>
        <v>Active</v>
      </c>
      <c r="L315" s="4" t="str">
        <f>IFERROR(__xludf.DUMMYFUNCTION("vlookup(C315,importrange(""1kw74ismGU34AsZ5x-W4x7F3Zt2xc8NSYcCVMrCJBmdQ"",""DRP for 8 products!B:H""),6,0)"),"BigQuery")</f>
        <v>BigQuery</v>
      </c>
      <c r="M315" s="10" t="str">
        <f t="shared" si="3"/>
        <v>Yes</v>
      </c>
    </row>
    <row r="316">
      <c r="A316" s="4" t="str">
        <f>IFERROR(__xludf.DUMMYFUNCTION("vlookup(C316,IMPORTRANGE(""1Kgoo8qyo6zMtf_5B03ksZz228jg0XpZ4_KXsdHQ4Vks"",""14 Sept!A:B""),2,0)"),"DME2604")</f>
        <v>DME2604</v>
      </c>
      <c r="B316" s="5" t="str">
        <f>IFERROR(__xludf.DUMMYFUNCTION("""COMPUTED_VALUE"""),"Nikhil Pandhem")</f>
        <v>Nikhil Pandhem</v>
      </c>
      <c r="C316" s="5" t="str">
        <f>IFERROR(__xludf.DUMMYFUNCTION("""COMPUTED_VALUE"""),"nikhil.pandhem@onixnet.com")</f>
        <v>nikhil.pandhem@onixnet.com</v>
      </c>
      <c r="D316" s="4" t="s">
        <v>11</v>
      </c>
      <c r="E316" s="6" t="str">
        <f>IFERROR(__xludf.DUMMYFUNCTION("vlookup($A316,importrange(""1fyGnaViAX9kns28pvsfPvI9925sAI7kxPlM7jpuHVJM"",""Validation!A:Z""),11,0)"),"Delivery Services")</f>
        <v>Delivery Services</v>
      </c>
      <c r="F316" s="6" t="str">
        <f>IFERROR(__xludf.DUMMYFUNCTION("vlookup($A316,importrange(""1fyGnaViAX9kns28pvsfPvI9925sAI7kxPlM7jpuHVJM"",""Validation!A:Z""),23,0)"),"Kamal Amrutham")</f>
        <v>Kamal Amrutham</v>
      </c>
      <c r="G316" s="6" t="str">
        <f>IFERROR(__xludf.DUMMYFUNCTION("vlookup(A316,importrange(""1fyGnaViAX9kns28pvsfPvI9925sAI7kxPlM7jpuHVJM"",""Validation!A:Z""),22,0)"),"Cluster - Shreepad")</f>
        <v>Cluster - Shreepad</v>
      </c>
      <c r="H316" s="4" t="str">
        <f>IFERROR(__xludf.DUMMYFUNCTION("vlookup(C316,importrange(""1kw74ismGU34AsZ5x-W4x7F3Zt2xc8NSYcCVMrCJBmdQ"",""DRP for 8 products!B:C""),2,0)"),"ONINPWCB0")</f>
        <v>ONINPWCB0</v>
      </c>
      <c r="I316" s="7">
        <f>IFERROR(__xludf.DUMMYFUNCTION("vlookup(C316,importrange(""1kw74ismGU34AsZ5x-W4x7F3Zt2xc8NSYcCVMrCJBmdQ"",""DRP for 8 products!B:E""),4,0)"),54.0)</f>
        <v>54</v>
      </c>
      <c r="J316" s="8" t="str">
        <f t="shared" si="1"/>
        <v>Tier 1</v>
      </c>
      <c r="K316" s="9" t="str">
        <f t="shared" si="2"/>
        <v>Active</v>
      </c>
      <c r="L316" s="4" t="str">
        <f>IFERROR(__xludf.DUMMYFUNCTION("vlookup(C316,importrange(""1kw74ismGU34AsZ5x-W4x7F3Zt2xc8NSYcCVMrCJBmdQ"",""DRP for 8 products!B:H""),6,0)"),"BigQuery")</f>
        <v>BigQuery</v>
      </c>
      <c r="M316" s="10" t="str">
        <f t="shared" si="3"/>
        <v>Yes</v>
      </c>
    </row>
    <row r="317">
      <c r="A317" s="4" t="str">
        <f>IFERROR(__xludf.DUMMYFUNCTION("vlookup(C317,IMPORTRANGE(""1Kgoo8qyo6zMtf_5B03ksZz228jg0XpZ4_KXsdHQ4Vks"",""14 Sept!A:B""),2,0)"),"DMC0961")</f>
        <v>DMC0961</v>
      </c>
      <c r="B317" s="5" t="str">
        <f>IFERROR(__xludf.DUMMYFUNCTION("""COMPUTED_VALUE"""),"Prithviraj Badiger")</f>
        <v>Prithviraj Badiger</v>
      </c>
      <c r="C317" s="5" t="str">
        <f>IFERROR(__xludf.DUMMYFUNCTION("""COMPUTED_VALUE"""),"prithviraj.badiger@onixnet.com")</f>
        <v>prithviraj.badiger@onixnet.com</v>
      </c>
      <c r="D317" s="4" t="s">
        <v>11</v>
      </c>
      <c r="E317" s="6" t="str">
        <f>IFERROR(__xludf.DUMMYFUNCTION("vlookup($A317,importrange(""1fyGnaViAX9kns28pvsfPvI9925sAI7kxPlM7jpuHVJM"",""Validation!A:Z""),11,0)"),"Product Engineering")</f>
        <v>Product Engineering</v>
      </c>
      <c r="F317" s="6" t="str">
        <f>IFERROR(__xludf.DUMMYFUNCTION("vlookup($A317,importrange(""1fyGnaViAX9kns28pvsfPvI9925sAI7kxPlM7jpuHVJM"",""Validation!A:Z""),23,0)"),"Nikhil Rajendra Patil")</f>
        <v>Nikhil Rajendra Patil</v>
      </c>
      <c r="G317" s="6" t="str">
        <f>IFERROR(__xludf.DUMMYFUNCTION("vlookup(A317,importrange(""1fyGnaViAX9kns28pvsfPvI9925sAI7kxPlM7jpuHVJM"",""Validation!A:Z""),22,0)"),"Cluster - Mayur")</f>
        <v>Cluster - Mayur</v>
      </c>
      <c r="H317" s="4" t="str">
        <f>IFERROR(__xludf.DUMMYFUNCTION("vlookup(C317,importrange(""1kw74ismGU34AsZ5x-W4x7F3Zt2xc8NSYcCVMrCJBmdQ"",""DRP for 8 products!B:C""),2,0)"),"ONIPBZQF0")</f>
        <v>ONIPBZQF0</v>
      </c>
      <c r="I317" s="7">
        <f>IFERROR(__xludf.DUMMYFUNCTION("vlookup(C317,importrange(""1kw74ismGU34AsZ5x-W4x7F3Zt2xc8NSYcCVMrCJBmdQ"",""DRP for 8 products!B:E""),4,0)"),29.0)</f>
        <v>29</v>
      </c>
      <c r="J317" s="8" t="str">
        <f t="shared" si="1"/>
        <v>Tier 3</v>
      </c>
      <c r="K317" s="9" t="str">
        <f t="shared" si="2"/>
        <v>Active</v>
      </c>
      <c r="L317" s="4" t="str">
        <f>IFERROR(__xludf.DUMMYFUNCTION("vlookup(C317,importrange(""1kw74ismGU34AsZ5x-W4x7F3Zt2xc8NSYcCVMrCJBmdQ"",""DRP for 8 products!B:H""),6,0)"),"BigQuery")</f>
        <v>BigQuery</v>
      </c>
      <c r="M317" s="10" t="str">
        <f t="shared" si="3"/>
        <v>Yes</v>
      </c>
    </row>
    <row r="318">
      <c r="A318" s="4" t="str">
        <f>IFERROR(__xludf.DUMMYFUNCTION("vlookup(C318,IMPORTRANGE(""1Kgoo8qyo6zMtf_5B03ksZz228jg0XpZ4_KXsdHQ4Vks"",""14 Sept!A:B""),2,0)"),"DME0783")</f>
        <v>DME0783</v>
      </c>
      <c r="B318" s="5" t="str">
        <f>IFERROR(__xludf.DUMMYFUNCTION("""COMPUTED_VALUE"""),"Ritu Garg")</f>
        <v>Ritu Garg</v>
      </c>
      <c r="C318" s="5" t="str">
        <f>IFERROR(__xludf.DUMMYFUNCTION("""COMPUTED_VALUE"""),"ritu.garg@onixnet.com")</f>
        <v>ritu.garg@onixnet.com</v>
      </c>
      <c r="D318" s="4" t="s">
        <v>11</v>
      </c>
      <c r="E318" s="6" t="str">
        <f>IFERROR(__xludf.DUMMYFUNCTION("vlookup($A318,importrange(""1fyGnaViAX9kns28pvsfPvI9925sAI7kxPlM7jpuHVJM"",""Validation!A:Z""),11,0)"),"Professional Services")</f>
        <v>Professional Services</v>
      </c>
      <c r="F318" s="6" t="str">
        <f>IFERROR(__xludf.DUMMYFUNCTION("vlookup($A318,importrange(""1fyGnaViAX9kns28pvsfPvI9925sAI7kxPlM7jpuHVJM"",""Validation!A:Z""),23,0)"),"Rohit Kolhekar")</f>
        <v>Rohit Kolhekar</v>
      </c>
      <c r="G318" s="6" t="str">
        <f>IFERROR(__xludf.DUMMYFUNCTION("vlookup(A318,importrange(""1fyGnaViAX9kns28pvsfPvI9925sAI7kxPlM7jpuHVJM"",""Validation!A:Z""),22,0)"),"Cluster - Kalpa")</f>
        <v>Cluster - Kalpa</v>
      </c>
      <c r="H318" s="4" t="str">
        <f>IFERROR(__xludf.DUMMYFUNCTION("vlookup(C318,importrange(""1kw74ismGU34AsZ5x-W4x7F3Zt2xc8NSYcCVMrCJBmdQ"",""DRP for 8 products!B:C""),2,0)"),"ONIRGYSQ3")</f>
        <v>ONIRGYSQ3</v>
      </c>
      <c r="I318" s="7">
        <f>IFERROR(__xludf.DUMMYFUNCTION("vlookup(C318,importrange(""1kw74ismGU34AsZ5x-W4x7F3Zt2xc8NSYcCVMrCJBmdQ"",""DRP for 8 products!B:E""),4,0)"),34.0)</f>
        <v>34</v>
      </c>
      <c r="J318" s="8" t="str">
        <f t="shared" si="1"/>
        <v>Tier 3</v>
      </c>
      <c r="K318" s="9" t="str">
        <f t="shared" si="2"/>
        <v>Active</v>
      </c>
      <c r="L318" s="4" t="str">
        <f>IFERROR(__xludf.DUMMYFUNCTION("vlookup(C318,importrange(""1kw74ismGU34AsZ5x-W4x7F3Zt2xc8NSYcCVMrCJBmdQ"",""DRP for 8 products!B:H""),6,0)"),"BigQuery")</f>
        <v>BigQuery</v>
      </c>
      <c r="M318" s="10" t="str">
        <f t="shared" si="3"/>
        <v>Yes</v>
      </c>
    </row>
    <row r="319">
      <c r="A319" s="4" t="str">
        <f>IFERROR(__xludf.DUMMYFUNCTION("vlookup(C319,IMPORTRANGE(""1Kgoo8qyo6zMtf_5B03ksZz228jg0XpZ4_KXsdHQ4Vks"",""14 Sept!A:B""),2,0)"),"DME2741")</f>
        <v>DME2741</v>
      </c>
      <c r="B319" s="5" t="str">
        <f>IFERROR(__xludf.DUMMYFUNCTION("""COMPUTED_VALUE"""),"Swapnil Shinde")</f>
        <v>Swapnil Shinde</v>
      </c>
      <c r="C319" s="5" t="str">
        <f>IFERROR(__xludf.DUMMYFUNCTION("""COMPUTED_VALUE"""),"swapnil.shinde@onixnet.com")</f>
        <v>swapnil.shinde@onixnet.com</v>
      </c>
      <c r="D319" s="4" t="s">
        <v>11</v>
      </c>
      <c r="E319" s="6" t="str">
        <f>IFERROR(__xludf.DUMMYFUNCTION("vlookup($A319,importrange(""1fyGnaViAX9kns28pvsfPvI9925sAI7kxPlM7jpuHVJM"",""Validation!A:Z""),11,0)"),"Delivery Services")</f>
        <v>Delivery Services</v>
      </c>
      <c r="F319" s="6" t="str">
        <f>IFERROR(__xludf.DUMMYFUNCTION("vlookup($A319,importrange(""1fyGnaViAX9kns28pvsfPvI9925sAI7kxPlM7jpuHVJM"",""Validation!A:Z""),23,0)"),"Anand Saraf")</f>
        <v>Anand Saraf</v>
      </c>
      <c r="G319" s="6" t="str">
        <f>IFERROR(__xludf.DUMMYFUNCTION("vlookup(A319,importrange(""1fyGnaViAX9kns28pvsfPvI9925sAI7kxPlM7jpuHVJM"",""Validation!A:Z""),22,0)"),"Cluster - Sachin")</f>
        <v>Cluster - Sachin</v>
      </c>
      <c r="H319" s="4" t="str">
        <f>IFERROR(__xludf.DUMMYFUNCTION("vlookup(C319,importrange(""1kw74ismGU34AsZ5x-W4x7F3Zt2xc8NSYcCVMrCJBmdQ"",""DRP for 8 products!B:C""),2,0)"),"ONISSVKG1")</f>
        <v>ONISSVKG1</v>
      </c>
      <c r="I319" s="7">
        <f>IFERROR(__xludf.DUMMYFUNCTION("vlookup(C319,importrange(""1kw74ismGU34AsZ5x-W4x7F3Zt2xc8NSYcCVMrCJBmdQ"",""DRP for 8 products!B:E""),4,0)"),39.0)</f>
        <v>39</v>
      </c>
      <c r="J319" s="8" t="str">
        <f t="shared" si="1"/>
        <v>Tier 2</v>
      </c>
      <c r="K319" s="9" t="str">
        <f t="shared" si="2"/>
        <v>Active</v>
      </c>
      <c r="L319" s="4" t="str">
        <f>IFERROR(__xludf.DUMMYFUNCTION("vlookup(C319,importrange(""1kw74ismGU34AsZ5x-W4x7F3Zt2xc8NSYcCVMrCJBmdQ"",""DRP for 8 products!B:H""),6,0)"),"BigQuery")</f>
        <v>BigQuery</v>
      </c>
      <c r="M319" s="10" t="str">
        <f t="shared" si="3"/>
        <v>Yes</v>
      </c>
    </row>
    <row r="320">
      <c r="A320" s="4" t="str">
        <f>IFERROR(__xludf.DUMMYFUNCTION("vlookup(C320,IMPORTRANGE(""1Kgoo8qyo6zMtf_5B03ksZz228jg0XpZ4_KXsdHQ4Vks"",""14 Sept!A:B""),2,0)"),"DME2914")</f>
        <v>DME2914</v>
      </c>
      <c r="B320" s="5" t="str">
        <f>IFERROR(__xludf.DUMMYFUNCTION("""COMPUTED_VALUE"""),"vamsi vurimi")</f>
        <v>vamsi vurimi</v>
      </c>
      <c r="C320" s="5" t="str">
        <f>IFERROR(__xludf.DUMMYFUNCTION("""COMPUTED_VALUE"""),"vamsi.vurimi@onixnet.com")</f>
        <v>vamsi.vurimi@onixnet.com</v>
      </c>
      <c r="D320" s="4" t="s">
        <v>11</v>
      </c>
      <c r="E320" s="6" t="str">
        <f>IFERROR(__xludf.DUMMYFUNCTION("vlookup($A320,importrange(""1fyGnaViAX9kns28pvsfPvI9925sAI7kxPlM7jpuHVJM"",""Validation!A:Z""),11,0)"),"Delivery Services")</f>
        <v>Delivery Services</v>
      </c>
      <c r="F320" s="6" t="str">
        <f>IFERROR(__xludf.DUMMYFUNCTION("vlookup($A320,importrange(""1fyGnaViAX9kns28pvsfPvI9925sAI7kxPlM7jpuHVJM"",""Validation!A:Z""),23,0)"),"Naveen Harish")</f>
        <v>Naveen Harish</v>
      </c>
      <c r="G320" s="6" t="str">
        <f>IFERROR(__xludf.DUMMYFUNCTION("vlookup(A320,importrange(""1fyGnaViAX9kns28pvsfPvI9925sAI7kxPlM7jpuHVJM"",""Validation!A:Z""),22,0)"),"Cluster - Varun")</f>
        <v>Cluster - Varun</v>
      </c>
      <c r="H320" s="4" t="str">
        <f>IFERROR(__xludf.DUMMYFUNCTION("vlookup(C320,importrange(""1kw74ismGU34AsZ5x-W4x7F3Zt2xc8NSYcCVMrCJBmdQ"",""DRP for 8 products!B:C""),2,0)"),"ONIVVQXX4")</f>
        <v>ONIVVQXX4</v>
      </c>
      <c r="I320" s="7">
        <f>IFERROR(__xludf.DUMMYFUNCTION("vlookup(C320,importrange(""1kw74ismGU34AsZ5x-W4x7F3Zt2xc8NSYcCVMrCJBmdQ"",""DRP for 8 products!B:E""),4,0)"),29.0)</f>
        <v>29</v>
      </c>
      <c r="J320" s="8" t="str">
        <f t="shared" si="1"/>
        <v>Tier 3</v>
      </c>
      <c r="K320" s="9" t="str">
        <f t="shared" si="2"/>
        <v>Active</v>
      </c>
      <c r="L320" s="4" t="str">
        <f>IFERROR(__xludf.DUMMYFUNCTION("vlookup(C320,importrange(""1kw74ismGU34AsZ5x-W4x7F3Zt2xc8NSYcCVMrCJBmdQ"",""DRP for 8 products!B:H""),6,0)"),"BigQuery")</f>
        <v>BigQuery</v>
      </c>
      <c r="M320" s="10" t="str">
        <f t="shared" si="3"/>
        <v>Yes</v>
      </c>
    </row>
    <row r="321">
      <c r="A321" s="4" t="str">
        <f>IFERROR(__xludf.DUMMYFUNCTION("vlookup(C321,IMPORTRANGE(""1Kgoo8qyo6zMtf_5B03ksZz228jg0XpZ4_KXsdHQ4Vks"",""14 Sept!A:B""),2,0)"),"DME2701")</f>
        <v>DME2701</v>
      </c>
      <c r="B321" s="5" t="str">
        <f>IFERROR(__xludf.DUMMYFUNCTION("""COMPUTED_VALUE"""),"Rahul Gupta")</f>
        <v>Rahul Gupta</v>
      </c>
      <c r="C321" s="5" t="str">
        <f>IFERROR(__xludf.DUMMYFUNCTION("""COMPUTED_VALUE"""),"rahul.gupta@onixnet.com")</f>
        <v>rahul.gupta@onixnet.com</v>
      </c>
      <c r="D321" s="4" t="s">
        <v>11</v>
      </c>
      <c r="E321" s="6" t="str">
        <f>IFERROR(__xludf.DUMMYFUNCTION("vlookup($A321,importrange(""1fyGnaViAX9kns28pvsfPvI9925sAI7kxPlM7jpuHVJM"",""Validation!A:Z""),11,0)"),"Delivery Services")</f>
        <v>Delivery Services</v>
      </c>
      <c r="F321" s="6" t="str">
        <f>IFERROR(__xludf.DUMMYFUNCTION("vlookup($A321,importrange(""1fyGnaViAX9kns28pvsfPvI9925sAI7kxPlM7jpuHVJM"",""Validation!A:Z""),23,0)"),"Sachin Jakhar")</f>
        <v>Sachin Jakhar</v>
      </c>
      <c r="G321" s="6" t="str">
        <f>IFERROR(__xludf.DUMMYFUNCTION("vlookup(A321,importrange(""1fyGnaViAX9kns28pvsfPvI9925sAI7kxPlM7jpuHVJM"",""Validation!A:Z""),22,0)"),"Cluster - Sachin")</f>
        <v>Cluster - Sachin</v>
      </c>
      <c r="H321" s="4" t="str">
        <f>IFERROR(__xludf.DUMMYFUNCTION("vlookup(C321,importrange(""1kw74ismGU34AsZ5x-W4x7F3Zt2xc8NSYcCVMrCJBmdQ"",""DRP for 8 products!B:C""),2,0)"),"ONIRGBYL4")</f>
        <v>ONIRGBYL4</v>
      </c>
      <c r="I321" s="7">
        <f>IFERROR(__xludf.DUMMYFUNCTION("vlookup(C321,importrange(""1kw74ismGU34AsZ5x-W4x7F3Zt2xc8NSYcCVMrCJBmdQ"",""DRP for 8 products!B:E""),4,0)"),54.0)</f>
        <v>54</v>
      </c>
      <c r="J321" s="8" t="str">
        <f t="shared" si="1"/>
        <v>Tier 1</v>
      </c>
      <c r="K321" s="9" t="str">
        <f t="shared" si="2"/>
        <v>Active</v>
      </c>
      <c r="L321" s="4" t="str">
        <f>IFERROR(__xludf.DUMMYFUNCTION("vlookup(C321,importrange(""1kw74ismGU34AsZ5x-W4x7F3Zt2xc8NSYcCVMrCJBmdQ"",""DRP for 8 products!B:H""),6,0)"),"BigQuery")</f>
        <v>BigQuery</v>
      </c>
      <c r="M321" s="10" t="str">
        <f t="shared" si="3"/>
        <v>Yes</v>
      </c>
    </row>
    <row r="322">
      <c r="A322" s="4" t="str">
        <f>IFERROR(__xludf.DUMMYFUNCTION("vlookup(C322,IMPORTRANGE(""1Kgoo8qyo6zMtf_5B03ksZz228jg0XpZ4_KXsdHQ4Vks"",""14 Sept!A:B""),2,0)"),"DME1833")</f>
        <v>DME1833</v>
      </c>
      <c r="B322" s="5" t="str">
        <f>IFERROR(__xludf.DUMMYFUNCTION("""COMPUTED_VALUE"""),"snehal Khotare")</f>
        <v>snehal Khotare</v>
      </c>
      <c r="C322" s="5" t="str">
        <f>IFERROR(__xludf.DUMMYFUNCTION("""COMPUTED_VALUE"""),"snehal.khotare@onixnet.com")</f>
        <v>snehal.khotare@onixnet.com</v>
      </c>
      <c r="D322" s="4" t="s">
        <v>11</v>
      </c>
      <c r="E322" s="6" t="str">
        <f>IFERROR(__xludf.DUMMYFUNCTION("vlookup($A322,importrange(""1fyGnaViAX9kns28pvsfPvI9925sAI7kxPlM7jpuHVJM"",""Validation!A:Z""),11,0)"),"Delivery Services")</f>
        <v>Delivery Services</v>
      </c>
      <c r="F322" s="6" t="str">
        <f>IFERROR(__xludf.DUMMYFUNCTION("vlookup($A322,importrange(""1fyGnaViAX9kns28pvsfPvI9925sAI7kxPlM7jpuHVJM"",""Validation!A:Z""),23,0)"),"Jitender Singh")</f>
        <v>Jitender Singh</v>
      </c>
      <c r="G322" s="6" t="str">
        <f>IFERROR(__xludf.DUMMYFUNCTION("vlookup(A322,importrange(""1fyGnaViAX9kns28pvsfPvI9925sAI7kxPlM7jpuHVJM"",""Validation!A:Z""),22,0)"),"Cluster - Gaurav")</f>
        <v>Cluster - Gaurav</v>
      </c>
      <c r="H322" s="4" t="str">
        <f>IFERROR(__xludf.DUMMYFUNCTION("vlookup(C322,importrange(""1kw74ismGU34AsZ5x-W4x7F3Zt2xc8NSYcCVMrCJBmdQ"",""DRP for 8 products!B:C""),2,0)"),"ONISKNJA5")</f>
        <v>ONISKNJA5</v>
      </c>
      <c r="I322" s="7">
        <f>IFERROR(__xludf.DUMMYFUNCTION("vlookup(C322,importrange(""1kw74ismGU34AsZ5x-W4x7F3Zt2xc8NSYcCVMrCJBmdQ"",""DRP for 8 products!B:E""),4,0)"),55.0)</f>
        <v>55</v>
      </c>
      <c r="J322" s="8" t="str">
        <f t="shared" si="1"/>
        <v>Tier 1</v>
      </c>
      <c r="K322" s="9" t="str">
        <f t="shared" si="2"/>
        <v>Active</v>
      </c>
      <c r="L322" s="4" t="str">
        <f>IFERROR(__xludf.DUMMYFUNCTION("vlookup(C322,importrange(""1kw74ismGU34AsZ5x-W4x7F3Zt2xc8NSYcCVMrCJBmdQ"",""DRP for 8 products!B:H""),6,0)"),"BigQuery")</f>
        <v>BigQuery</v>
      </c>
      <c r="M322" s="10" t="str">
        <f t="shared" si="3"/>
        <v>Yes</v>
      </c>
    </row>
    <row r="323">
      <c r="A323" s="4" t="str">
        <f>IFERROR(__xludf.DUMMYFUNCTION("vlookup(C323,IMPORTRANGE(""1Kgoo8qyo6zMtf_5B03ksZz228jg0XpZ4_KXsdHQ4Vks"",""14 Sept!A:B""),2,0)"),"DME1000")</f>
        <v>DME1000</v>
      </c>
      <c r="B323" s="5" t="str">
        <f>IFERROR(__xludf.DUMMYFUNCTION("""COMPUTED_VALUE"""),"Shraddha Kachare")</f>
        <v>Shraddha Kachare</v>
      </c>
      <c r="C323" s="5" t="str">
        <f>IFERROR(__xludf.DUMMYFUNCTION("""COMPUTED_VALUE"""),"shraddha.kachare@onixnet.com")</f>
        <v>shraddha.kachare@onixnet.com</v>
      </c>
      <c r="D323" s="4" t="s">
        <v>11</v>
      </c>
      <c r="E323" s="6" t="str">
        <f>IFERROR(__xludf.DUMMYFUNCTION("vlookup($A323,importrange(""1fyGnaViAX9kns28pvsfPvI9925sAI7kxPlM7jpuHVJM"",""Validation!A:Z""),11,0)"),"Delivery Services")</f>
        <v>Delivery Services</v>
      </c>
      <c r="F323" s="6" t="str">
        <f>IFERROR(__xludf.DUMMYFUNCTION("vlookup($A323,importrange(""1fyGnaViAX9kns28pvsfPvI9925sAI7kxPlM7jpuHVJM"",""Validation!A:Z""),23,0)"),"Gayatri Nachiket Bondale")</f>
        <v>Gayatri Nachiket Bondale</v>
      </c>
      <c r="G323" s="6" t="str">
        <f>IFERROR(__xludf.DUMMYFUNCTION("vlookup(A323,importrange(""1fyGnaViAX9kns28pvsfPvI9925sAI7kxPlM7jpuHVJM"",""Validation!A:Z""),22,0)"),"Cluster - Gaurav")</f>
        <v>Cluster - Gaurav</v>
      </c>
      <c r="H323" s="4" t="str">
        <f>IFERROR(__xludf.DUMMYFUNCTION("vlookup(C323,importrange(""1kw74ismGU34AsZ5x-W4x7F3Zt2xc8NSYcCVMrCJBmdQ"",""DRP for 8 products!B:C""),2,0)"),"DATSKEYR6")</f>
        <v>DATSKEYR6</v>
      </c>
      <c r="I323" s="7">
        <f>IFERROR(__xludf.DUMMYFUNCTION("vlookup(C323,importrange(""1kw74ismGU34AsZ5x-W4x7F3Zt2xc8NSYcCVMrCJBmdQ"",""DRP for 8 products!B:E""),4,0)"),17.0)</f>
        <v>17</v>
      </c>
      <c r="J323" s="8" t="str">
        <f t="shared" si="1"/>
        <v>Tier 4</v>
      </c>
      <c r="K323" s="9" t="str">
        <f t="shared" si="2"/>
        <v>Active</v>
      </c>
      <c r="L323" s="4" t="str">
        <f>IFERROR(__xludf.DUMMYFUNCTION("vlookup(C323,importrange(""1kw74ismGU34AsZ5x-W4x7F3Zt2xc8NSYcCVMrCJBmdQ"",""DRP for 8 products!B:H""),6,0)"),"BigQuery")</f>
        <v>BigQuery</v>
      </c>
      <c r="M323" s="10" t="str">
        <f t="shared" si="3"/>
        <v>Yes</v>
      </c>
    </row>
    <row r="324">
      <c r="A324" s="4" t="str">
        <f>IFERROR(__xludf.DUMMYFUNCTION("vlookup(C324,IMPORTRANGE(""1Kgoo8qyo6zMtf_5B03ksZz228jg0XpZ4_KXsdHQ4Vks"",""14 Sept!A:B""),2,0)"),"ONIX748")</f>
        <v>ONIX748</v>
      </c>
      <c r="B324" s="5" t="str">
        <f>IFERROR(__xludf.DUMMYFUNCTION("""COMPUTED_VALUE"""),"Aviral Jain")</f>
        <v>Aviral Jain</v>
      </c>
      <c r="C324" s="5" t="str">
        <f>IFERROR(__xludf.DUMMYFUNCTION("""COMPUTED_VALUE"""),"aviral.jain@onixnet.com")</f>
        <v>aviral.jain@onixnet.com</v>
      </c>
      <c r="D324" s="4" t="s">
        <v>11</v>
      </c>
      <c r="E324" s="6" t="str">
        <f>IFERROR(__xludf.DUMMYFUNCTION("vlookup($A324,importrange(""1fyGnaViAX9kns28pvsfPvI9925sAI7kxPlM7jpuHVJM"",""Validation!A:Z""),11,0)"),"Solution Management")</f>
        <v>Solution Management</v>
      </c>
      <c r="F324" s="6" t="str">
        <f>IFERROR(__xludf.DUMMYFUNCTION("vlookup($A324,importrange(""1fyGnaViAX9kns28pvsfPvI9925sAI7kxPlM7jpuHVJM"",""Validation!A:Z""),23,0)"),"Venkat Srinivasan")</f>
        <v>Venkat Srinivasan</v>
      </c>
      <c r="G324" s="6" t="str">
        <f>IFERROR(__xludf.DUMMYFUNCTION("vlookup(A324,importrange(""1fyGnaViAX9kns28pvsfPvI9925sAI7kxPlM7jpuHVJM"",""Validation!A:Z""),22,0)"),"Portfolio - Rajesh")</f>
        <v>Portfolio - Rajesh</v>
      </c>
      <c r="H324" s="4" t="str">
        <f>IFERROR(__xludf.DUMMYFUNCTION("vlookup(C324,importrange(""1kw74ismGU34AsZ5x-W4x7F3Zt2xc8NSYcCVMrCJBmdQ"",""DRP for 8 products!B:C""),2,0)"),"DATAJUAK9")</f>
        <v>DATAJUAK9</v>
      </c>
      <c r="I324" s="7">
        <f>IFERROR(__xludf.DUMMYFUNCTION("vlookup(C324,importrange(""1kw74ismGU34AsZ5x-W4x7F3Zt2xc8NSYcCVMrCJBmdQ"",""DRP for 8 products!B:E""),4,0)"),22.0)</f>
        <v>22</v>
      </c>
      <c r="J324" s="8" t="str">
        <f t="shared" si="1"/>
        <v>Tier 3</v>
      </c>
      <c r="K324" s="9" t="str">
        <f t="shared" si="2"/>
        <v>Active</v>
      </c>
      <c r="L324" s="4" t="str">
        <f>IFERROR(__xludf.DUMMYFUNCTION("vlookup(C324,importrange(""1kw74ismGU34AsZ5x-W4x7F3Zt2xc8NSYcCVMrCJBmdQ"",""DRP for 8 products!B:H""),6,0)"),"BigQuery")</f>
        <v>BigQuery</v>
      </c>
      <c r="M324" s="10" t="str">
        <f t="shared" si="3"/>
        <v>Yes</v>
      </c>
    </row>
    <row r="325">
      <c r="A325" s="4" t="str">
        <f>IFERROR(__xludf.DUMMYFUNCTION("vlookup(C325,IMPORTRANGE(""1Kgoo8qyo6zMtf_5B03ksZz228jg0XpZ4_KXsdHQ4Vks"",""14 Sept!A:B""),2,0)"),"DME1769")</f>
        <v>DME1769</v>
      </c>
      <c r="B325" s="5" t="str">
        <f>IFERROR(__xludf.DUMMYFUNCTION("""COMPUTED_VALUE"""),"Rushikesh Hadawale")</f>
        <v>Rushikesh Hadawale</v>
      </c>
      <c r="C325" s="5" t="str">
        <f>IFERROR(__xludf.DUMMYFUNCTION("""COMPUTED_VALUE"""),"rushikesh.h@onixnet.com")</f>
        <v>rushikesh.h@onixnet.com</v>
      </c>
      <c r="D325" s="4" t="s">
        <v>11</v>
      </c>
      <c r="E325" s="6" t="str">
        <f>IFERROR(__xludf.DUMMYFUNCTION("vlookup($A325,importrange(""1fyGnaViAX9kns28pvsfPvI9925sAI7kxPlM7jpuHVJM"",""Validation!A:Z""),11,0)"),"Delivery Services")</f>
        <v>Delivery Services</v>
      </c>
      <c r="F325" s="6" t="str">
        <f>IFERROR(__xludf.DUMMYFUNCTION("vlookup($A325,importrange(""1fyGnaViAX9kns28pvsfPvI9925sAI7kxPlM7jpuHVJM"",""Validation!A:Z""),23,0)"),"Sneha Bhatambrekar")</f>
        <v>Sneha Bhatambrekar</v>
      </c>
      <c r="G325" s="6" t="str">
        <f>IFERROR(__xludf.DUMMYFUNCTION("vlookup(A325,importrange(""1fyGnaViAX9kns28pvsfPvI9925sAI7kxPlM7jpuHVJM"",""Validation!A:Z""),22,0)"),"Cluster - Sandeep")</f>
        <v>Cluster - Sandeep</v>
      </c>
      <c r="H325" s="4" t="str">
        <f>IFERROR(__xludf.DUMMYFUNCTION("vlookup(C325,importrange(""1kw74ismGU34AsZ5x-W4x7F3Zt2xc8NSYcCVMrCJBmdQ"",""DRP for 8 products!B:C""),2,0)"),"DATRHIFK8")</f>
        <v>DATRHIFK8</v>
      </c>
      <c r="I325" s="7">
        <f>IFERROR(__xludf.DUMMYFUNCTION("vlookup(C325,importrange(""1kw74ismGU34AsZ5x-W4x7F3Zt2xc8NSYcCVMrCJBmdQ"",""DRP for 8 products!B:E""),4,0)"),26.0)</f>
        <v>26</v>
      </c>
      <c r="J325" s="8" t="str">
        <f t="shared" si="1"/>
        <v>Tier 3</v>
      </c>
      <c r="K325" s="9" t="str">
        <f t="shared" si="2"/>
        <v>Active</v>
      </c>
      <c r="L325" s="4" t="str">
        <f>IFERROR(__xludf.DUMMYFUNCTION("vlookup(C325,importrange(""1kw74ismGU34AsZ5x-W4x7F3Zt2xc8NSYcCVMrCJBmdQ"",""DRP for 8 products!B:H""),6,0)"),"BigQuery")</f>
        <v>BigQuery</v>
      </c>
      <c r="M325" s="10" t="str">
        <f t="shared" si="3"/>
        <v>Yes</v>
      </c>
    </row>
    <row r="326">
      <c r="A326" s="4" t="str">
        <f>IFERROR(__xludf.DUMMYFUNCTION("vlookup(C326,IMPORTRANGE(""1Kgoo8qyo6zMtf_5B03ksZz228jg0XpZ4_KXsdHQ4Vks"",""14 Sept!A:B""),2,0)"),"DME1954")</f>
        <v>DME1954</v>
      </c>
      <c r="B326" s="5" t="str">
        <f>IFERROR(__xludf.DUMMYFUNCTION("""COMPUTED_VALUE"""),"Vishal Shinde")</f>
        <v>Vishal Shinde</v>
      </c>
      <c r="C326" s="5" t="str">
        <f>IFERROR(__xludf.DUMMYFUNCTION("""COMPUTED_VALUE"""),"vishal.shinde@onixnet.com")</f>
        <v>vishal.shinde@onixnet.com</v>
      </c>
      <c r="D326" s="4" t="s">
        <v>11</v>
      </c>
      <c r="E326" s="6" t="str">
        <f>IFERROR(__xludf.DUMMYFUNCTION("vlookup($A326,importrange(""1fyGnaViAX9kns28pvsfPvI9925sAI7kxPlM7jpuHVJM"",""Validation!A:Z""),11,0)"),"Delivery Services")</f>
        <v>Delivery Services</v>
      </c>
      <c r="F326" s="6" t="str">
        <f>IFERROR(__xludf.DUMMYFUNCTION("vlookup($A326,importrange(""1fyGnaViAX9kns28pvsfPvI9925sAI7kxPlM7jpuHVJM"",""Validation!A:Z""),23,0)"),"Anubhav Sharma")</f>
        <v>Anubhav Sharma</v>
      </c>
      <c r="G326" s="6" t="str">
        <f>IFERROR(__xludf.DUMMYFUNCTION("vlookup(A326,importrange(""1fyGnaViAX9kns28pvsfPvI9925sAI7kxPlM7jpuHVJM"",""Validation!A:Z""),22,0)"),"Cluster - Varun")</f>
        <v>Cluster - Varun</v>
      </c>
      <c r="H326" s="4" t="str">
        <f>IFERROR(__xludf.DUMMYFUNCTION("vlookup(C326,importrange(""1kw74ismGU34AsZ5x-W4x7F3Zt2xc8NSYcCVMrCJBmdQ"",""DRP for 8 products!B:C""),2,0)"),"DATVSTHF1")</f>
        <v>DATVSTHF1</v>
      </c>
      <c r="I326" s="7">
        <f>IFERROR(__xludf.DUMMYFUNCTION("vlookup(C326,importrange(""1kw74ismGU34AsZ5x-W4x7F3Zt2xc8NSYcCVMrCJBmdQ"",""DRP for 8 products!B:E""),4,0)"),19.0)</f>
        <v>19</v>
      </c>
      <c r="J326" s="8" t="str">
        <f t="shared" si="1"/>
        <v>Tier 4</v>
      </c>
      <c r="K326" s="9" t="str">
        <f t="shared" si="2"/>
        <v>Active</v>
      </c>
      <c r="L326" s="4" t="str">
        <f>IFERROR(__xludf.DUMMYFUNCTION("vlookup(C326,importrange(""1kw74ismGU34AsZ5x-W4x7F3Zt2xc8NSYcCVMrCJBmdQ"",""DRP for 8 products!B:H""),6,0)"),"BigQuery")</f>
        <v>BigQuery</v>
      </c>
      <c r="M326" s="10" t="str">
        <f t="shared" si="3"/>
        <v>Yes</v>
      </c>
    </row>
    <row r="327">
      <c r="A327" s="4" t="str">
        <f>IFERROR(__xludf.DUMMYFUNCTION("vlookup(C327,IMPORTRANGE(""1Kgoo8qyo6zMtf_5B03ksZz228jg0XpZ4_KXsdHQ4Vks"",""14 Sept!A:B""),2,0)"),"ONIX661")</f>
        <v>ONIX661</v>
      </c>
      <c r="B327" s="5" t="str">
        <f>IFERROR(__xludf.DUMMYFUNCTION("""COMPUTED_VALUE"""),"SANDEEP BIBEKAR")</f>
        <v>SANDEEP BIBEKAR</v>
      </c>
      <c r="C327" s="5" t="str">
        <f>IFERROR(__xludf.DUMMYFUNCTION("""COMPUTED_VALUE"""),"sandeep.bibekar@onixnet.com")</f>
        <v>sandeep.bibekar@onixnet.com</v>
      </c>
      <c r="D327" s="4" t="s">
        <v>11</v>
      </c>
      <c r="E327" s="6" t="str">
        <f>IFERROR(__xludf.DUMMYFUNCTION("vlookup($A327,importrange(""1fyGnaViAX9kns28pvsfPvI9925sAI7kxPlM7jpuHVJM"",""Validation!A:Z""),11,0)"),"Services")</f>
        <v>Services</v>
      </c>
      <c r="F327" s="6" t="str">
        <f>IFERROR(__xludf.DUMMYFUNCTION("vlookup($A327,importrange(""1fyGnaViAX9kns28pvsfPvI9925sAI7kxPlM7jpuHVJM"",""Validation!A:Z""),23,0)"),"Venkata Naresh Kajjayam")</f>
        <v>Venkata Naresh Kajjayam</v>
      </c>
      <c r="G327" s="6" t="str">
        <f>IFERROR(__xludf.DUMMYFUNCTION("vlookup(A327,importrange(""1fyGnaViAX9kns28pvsfPvI9925sAI7kxPlM7jpuHVJM"",""Validation!A:Z""),22,0)"),"Portfolio - Kanth")</f>
        <v>Portfolio - Kanth</v>
      </c>
      <c r="H327" s="4" t="str">
        <f>IFERROR(__xludf.DUMMYFUNCTION("vlookup(C327,importrange(""1kw74ismGU34AsZ5x-W4x7F3Zt2xc8NSYcCVMrCJBmdQ"",""DRP for 8 products!B:C""),2,0)"),"DATSBAEW0")</f>
        <v>DATSBAEW0</v>
      </c>
      <c r="I327" s="7">
        <f>IFERROR(__xludf.DUMMYFUNCTION("vlookup(C327,importrange(""1kw74ismGU34AsZ5x-W4x7F3Zt2xc8NSYcCVMrCJBmdQ"",""DRP for 8 products!B:E""),4,0)"),19.0)</f>
        <v>19</v>
      </c>
      <c r="J327" s="8" t="str">
        <f t="shared" si="1"/>
        <v>Tier 4</v>
      </c>
      <c r="K327" s="9" t="str">
        <f t="shared" si="2"/>
        <v>Active</v>
      </c>
      <c r="L327" s="4" t="str">
        <f>IFERROR(__xludf.DUMMYFUNCTION("vlookup(C327,importrange(""1kw74ismGU34AsZ5x-W4x7F3Zt2xc8NSYcCVMrCJBmdQ"",""DRP for 8 products!B:H""),6,0)"),"BigQuery")</f>
        <v>BigQuery</v>
      </c>
      <c r="M327" s="10" t="str">
        <f t="shared" si="3"/>
        <v>Yes</v>
      </c>
    </row>
    <row r="328">
      <c r="A328" s="4" t="str">
        <f>IFERROR(__xludf.DUMMYFUNCTION("vlookup(C328,IMPORTRANGE(""1Kgoo8qyo6zMtf_5B03ksZz228jg0XpZ4_KXsdHQ4Vks"",""14 Sept!A:B""),2,0)"),"DME1823")</f>
        <v>DME1823</v>
      </c>
      <c r="B328" s="5" t="str">
        <f>IFERROR(__xludf.DUMMYFUNCTION("""COMPUTED_VALUE"""),"Hitesh Muthiyan")</f>
        <v>Hitesh Muthiyan</v>
      </c>
      <c r="C328" s="5" t="str">
        <f>IFERROR(__xludf.DUMMYFUNCTION("""COMPUTED_VALUE"""),"hitesh.muthiyan@onixnet.com")</f>
        <v>hitesh.muthiyan@onixnet.com</v>
      </c>
      <c r="D328" s="4" t="s">
        <v>11</v>
      </c>
      <c r="E328" s="6" t="str">
        <f>IFERROR(__xludf.DUMMYFUNCTION("vlookup($A328,importrange(""1fyGnaViAX9kns28pvsfPvI9925sAI7kxPlM7jpuHVJM"",""Validation!A:Z""),11,0)"),"Delivery Services")</f>
        <v>Delivery Services</v>
      </c>
      <c r="F328" s="6" t="str">
        <f>IFERROR(__xludf.DUMMYFUNCTION("vlookup($A328,importrange(""1fyGnaViAX9kns28pvsfPvI9925sAI7kxPlM7jpuHVJM"",""Validation!A:Z""),23,0)"),"Brajesh Kumar")</f>
        <v>Brajesh Kumar</v>
      </c>
      <c r="G328" s="6" t="str">
        <f>IFERROR(__xludf.DUMMYFUNCTION("vlookup(A328,importrange(""1fyGnaViAX9kns28pvsfPvI9925sAI7kxPlM7jpuHVJM"",""Validation!A:Z""),22,0)"),"Cluster - Sachin")</f>
        <v>Cluster - Sachin</v>
      </c>
      <c r="H328" s="4" t="str">
        <f>IFERROR(__xludf.DUMMYFUNCTION("vlookup(C328,importrange(""1kw74ismGU34AsZ5x-W4x7F3Zt2xc8NSYcCVMrCJBmdQ"",""DRP for 8 products!B:C""),2,0)"),"DATHMHKK3")</f>
        <v>DATHMHKK3</v>
      </c>
      <c r="I328" s="7">
        <f>IFERROR(__xludf.DUMMYFUNCTION("vlookup(C328,importrange(""1kw74ismGU34AsZ5x-W4x7F3Zt2xc8NSYcCVMrCJBmdQ"",""DRP for 8 products!B:E""),4,0)"),55.0)</f>
        <v>55</v>
      </c>
      <c r="J328" s="8" t="str">
        <f t="shared" si="1"/>
        <v>Tier 1</v>
      </c>
      <c r="K328" s="9" t="str">
        <f t="shared" si="2"/>
        <v>Active</v>
      </c>
      <c r="L328" s="4" t="str">
        <f>IFERROR(__xludf.DUMMYFUNCTION("vlookup(C328,importrange(""1kw74ismGU34AsZ5x-W4x7F3Zt2xc8NSYcCVMrCJBmdQ"",""DRP for 8 products!B:H""),6,0)"),"BigQuery")</f>
        <v>BigQuery</v>
      </c>
      <c r="M328" s="10" t="str">
        <f t="shared" si="3"/>
        <v>Yes</v>
      </c>
    </row>
    <row r="329">
      <c r="A329" s="4" t="str">
        <f>IFERROR(__xludf.DUMMYFUNCTION("vlookup(C329,IMPORTRANGE(""1Kgoo8qyo6zMtf_5B03ksZz228jg0XpZ4_KXsdHQ4Vks"",""14 Sept!A:B""),2,0)"),"DME1987")</f>
        <v>DME1987</v>
      </c>
      <c r="B329" s="5" t="str">
        <f>IFERROR(__xludf.DUMMYFUNCTION("""COMPUTED_VALUE"""),"Aniket Gorde")</f>
        <v>Aniket Gorde</v>
      </c>
      <c r="C329" s="5" t="str">
        <f>IFERROR(__xludf.DUMMYFUNCTION("""COMPUTED_VALUE"""),"aniket.gorde@onixnet.com")</f>
        <v>aniket.gorde@onixnet.com</v>
      </c>
      <c r="D329" s="4" t="s">
        <v>11</v>
      </c>
      <c r="E329" s="6" t="str">
        <f>IFERROR(__xludf.DUMMYFUNCTION("vlookup($A329,importrange(""1fyGnaViAX9kns28pvsfPvI9925sAI7kxPlM7jpuHVJM"",""Validation!A:Z""),11,0)"),"Delivery Services")</f>
        <v>Delivery Services</v>
      </c>
      <c r="F329" s="6" t="str">
        <f>IFERROR(__xludf.DUMMYFUNCTION("vlookup($A329,importrange(""1fyGnaViAX9kns28pvsfPvI9925sAI7kxPlM7jpuHVJM"",""Validation!A:Z""),23,0)"),"Manoj Patil")</f>
        <v>Manoj Patil</v>
      </c>
      <c r="G329" s="6" t="str">
        <f>IFERROR(__xludf.DUMMYFUNCTION("vlookup(A329,importrange(""1fyGnaViAX9kns28pvsfPvI9925sAI7kxPlM7jpuHVJM"",""Validation!A:Z""),22,0)"),"Cluster - Shreepad")</f>
        <v>Cluster - Shreepad</v>
      </c>
      <c r="H329" s="4" t="str">
        <f>IFERROR(__xludf.DUMMYFUNCTION("vlookup(C329,importrange(""1kw74ismGU34AsZ5x-W4x7F3Zt2xc8NSYcCVMrCJBmdQ"",""DRP for 8 products!B:C""),2,0)"),"DATAGSDM4")</f>
        <v>DATAGSDM4</v>
      </c>
      <c r="I329" s="7">
        <f>IFERROR(__xludf.DUMMYFUNCTION("vlookup(C329,importrange(""1kw74ismGU34AsZ5x-W4x7F3Zt2xc8NSYcCVMrCJBmdQ"",""DRP for 8 products!B:E""),4,0)"),54.0)</f>
        <v>54</v>
      </c>
      <c r="J329" s="8" t="str">
        <f t="shared" si="1"/>
        <v>Tier 1</v>
      </c>
      <c r="K329" s="9" t="str">
        <f t="shared" si="2"/>
        <v>Active</v>
      </c>
      <c r="L329" s="4" t="str">
        <f>IFERROR(__xludf.DUMMYFUNCTION("vlookup(C329,importrange(""1kw74ismGU34AsZ5x-W4x7F3Zt2xc8NSYcCVMrCJBmdQ"",""DRP for 8 products!B:H""),6,0)"),"BigQuery")</f>
        <v>BigQuery</v>
      </c>
      <c r="M329" s="10" t="str">
        <f t="shared" si="3"/>
        <v>Yes</v>
      </c>
    </row>
    <row r="330">
      <c r="A330" s="4" t="str">
        <f>IFERROR(__xludf.DUMMYFUNCTION("vlookup(C330,IMPORTRANGE(""1Kgoo8qyo6zMtf_5B03ksZz228jg0XpZ4_KXsdHQ4Vks"",""14 Sept!A:B""),2,0)"),"DME2059")</f>
        <v>DME2059</v>
      </c>
      <c r="B330" s="5" t="str">
        <f>IFERROR(__xludf.DUMMYFUNCTION("""COMPUTED_VALUE"""),"Shrinivas Chalikwar")</f>
        <v>Shrinivas Chalikwar</v>
      </c>
      <c r="C330" s="5" t="str">
        <f>IFERROR(__xludf.DUMMYFUNCTION("""COMPUTED_VALUE"""),"shrinivas.c@onixnet.com")</f>
        <v>shrinivas.c@onixnet.com</v>
      </c>
      <c r="D330" s="4" t="s">
        <v>11</v>
      </c>
      <c r="E330" s="6" t="str">
        <f>IFERROR(__xludf.DUMMYFUNCTION("vlookup($A330,importrange(""1fyGnaViAX9kns28pvsfPvI9925sAI7kxPlM7jpuHVJM"",""Validation!A:Z""),11,0)"),"Product Engineering")</f>
        <v>Product Engineering</v>
      </c>
      <c r="F330" s="6" t="str">
        <f>IFERROR(__xludf.DUMMYFUNCTION("vlookup($A330,importrange(""1fyGnaViAX9kns28pvsfPvI9925sAI7kxPlM7jpuHVJM"",""Validation!A:Z""),23,0)"),"Nishant Tiwary")</f>
        <v>Nishant Tiwary</v>
      </c>
      <c r="G330" s="6" t="str">
        <f>IFERROR(__xludf.DUMMYFUNCTION("vlookup(A330,importrange(""1fyGnaViAX9kns28pvsfPvI9925sAI7kxPlM7jpuHVJM"",""Validation!A:Z""),22,0)"),"Cluster - Mayur")</f>
        <v>Cluster - Mayur</v>
      </c>
      <c r="H330" s="4" t="str">
        <f>IFERROR(__xludf.DUMMYFUNCTION("vlookup(C330,importrange(""1kw74ismGU34AsZ5x-W4x7F3Zt2xc8NSYcCVMrCJBmdQ"",""DRP for 8 products!B:C""),2,0)"),"DATSCMAV0")</f>
        <v>DATSCMAV0</v>
      </c>
      <c r="I330" s="7">
        <f>IFERROR(__xludf.DUMMYFUNCTION("vlookup(C330,importrange(""1kw74ismGU34AsZ5x-W4x7F3Zt2xc8NSYcCVMrCJBmdQ"",""DRP for 8 products!B:E""),4,0)"),28.0)</f>
        <v>28</v>
      </c>
      <c r="J330" s="8" t="str">
        <f t="shared" si="1"/>
        <v>Tier 3</v>
      </c>
      <c r="K330" s="9" t="str">
        <f t="shared" si="2"/>
        <v>Active</v>
      </c>
      <c r="L330" s="4" t="str">
        <f>IFERROR(__xludf.DUMMYFUNCTION("vlookup(C330,importrange(""1kw74ismGU34AsZ5x-W4x7F3Zt2xc8NSYcCVMrCJBmdQ"",""DRP for 8 products!B:H""),6,0)"),"BigQuery")</f>
        <v>BigQuery</v>
      </c>
      <c r="M330" s="10" t="str">
        <f t="shared" si="3"/>
        <v>Yes</v>
      </c>
    </row>
    <row r="331">
      <c r="A331" s="4" t="str">
        <f>IFERROR(__xludf.DUMMYFUNCTION("vlookup(C331,IMPORTRANGE(""1Kgoo8qyo6zMtf_5B03ksZz228jg0XpZ4_KXsdHQ4Vks"",""14 Sept!A:B""),2,0)"),"DME1929")</f>
        <v>DME1929</v>
      </c>
      <c r="B331" s="5" t="str">
        <f>IFERROR(__xludf.DUMMYFUNCTION("""COMPUTED_VALUE"""),"Chahat Patni")</f>
        <v>Chahat Patni</v>
      </c>
      <c r="C331" s="5" t="str">
        <f>IFERROR(__xludf.DUMMYFUNCTION("""COMPUTED_VALUE"""),"chahat.patni@onixnet.com")</f>
        <v>chahat.patni@onixnet.com</v>
      </c>
      <c r="D331" s="4" t="s">
        <v>11</v>
      </c>
      <c r="E331" s="6" t="str">
        <f>IFERROR(__xludf.DUMMYFUNCTION("vlookup($A331,importrange(""1fyGnaViAX9kns28pvsfPvI9925sAI7kxPlM7jpuHVJM"",""Validation!A:Z""),11,0)"),"Eagle Assessment")</f>
        <v>Eagle Assessment</v>
      </c>
      <c r="F331" s="6" t="str">
        <f>IFERROR(__xludf.DUMMYFUNCTION("vlookup($A331,importrange(""1fyGnaViAX9kns28pvsfPvI9925sAI7kxPlM7jpuHVJM"",""Validation!A:Z""),23,0)"),"Ashish Taman")</f>
        <v>Ashish Taman</v>
      </c>
      <c r="G331" s="6" t="str">
        <f>IFERROR(__xludf.DUMMYFUNCTION("vlookup(A331,importrange(""1fyGnaViAX9kns28pvsfPvI9925sAI7kxPlM7jpuHVJM"",""Validation!A:Z""),22,0)"),"Cluster - Kalpa")</f>
        <v>Cluster - Kalpa</v>
      </c>
      <c r="H331" s="4" t="str">
        <f>IFERROR(__xludf.DUMMYFUNCTION("vlookup(C331,importrange(""1kw74ismGU34AsZ5x-W4x7F3Zt2xc8NSYcCVMrCJBmdQ"",""DRP for 8 products!B:C""),2,0)"),"DATCPZSY1")</f>
        <v>DATCPZSY1</v>
      </c>
      <c r="I331" s="7">
        <f>IFERROR(__xludf.DUMMYFUNCTION("vlookup(C331,importrange(""1kw74ismGU34AsZ5x-W4x7F3Zt2xc8NSYcCVMrCJBmdQ"",""DRP for 8 products!B:E""),4,0)"),24.0)</f>
        <v>24</v>
      </c>
      <c r="J331" s="8" t="str">
        <f t="shared" si="1"/>
        <v>Tier 3</v>
      </c>
      <c r="K331" s="9" t="str">
        <f t="shared" si="2"/>
        <v>Active</v>
      </c>
      <c r="L331" s="4" t="str">
        <f>IFERROR(__xludf.DUMMYFUNCTION("vlookup(C331,importrange(""1kw74ismGU34AsZ5x-W4x7F3Zt2xc8NSYcCVMrCJBmdQ"",""DRP for 8 products!B:H""),6,0)"),"BigQuery")</f>
        <v>BigQuery</v>
      </c>
      <c r="M331" s="10" t="str">
        <f t="shared" si="3"/>
        <v>Yes</v>
      </c>
    </row>
    <row r="332">
      <c r="A332" s="4" t="str">
        <f>IFERROR(__xludf.DUMMYFUNCTION("vlookup(C332,IMPORTRANGE(""1Kgoo8qyo6zMtf_5B03ksZz228jg0XpZ4_KXsdHQ4Vks"",""14 Sept!A:B""),2,0)"),"DME2084")</f>
        <v>DME2084</v>
      </c>
      <c r="B332" s="5" t="str">
        <f>IFERROR(__xludf.DUMMYFUNCTION("""COMPUTED_VALUE"""),"vinay chaudhari")</f>
        <v>vinay chaudhari</v>
      </c>
      <c r="C332" s="5" t="str">
        <f>IFERROR(__xludf.DUMMYFUNCTION("""COMPUTED_VALUE"""),"vinay.chaudhari@onixnet.com")</f>
        <v>vinay.chaudhari@onixnet.com</v>
      </c>
      <c r="D332" s="4" t="s">
        <v>11</v>
      </c>
      <c r="E332" s="6" t="str">
        <f>IFERROR(__xludf.DUMMYFUNCTION("vlookup($A332,importrange(""1fyGnaViAX9kns28pvsfPvI9925sAI7kxPlM7jpuHVJM"",""Validation!A:Z""),11,0)"),"Eagle Assessment")</f>
        <v>Eagle Assessment</v>
      </c>
      <c r="F332" s="6" t="str">
        <f>IFERROR(__xludf.DUMMYFUNCTION("vlookup($A332,importrange(""1fyGnaViAX9kns28pvsfPvI9925sAI7kxPlM7jpuHVJM"",""Validation!A:Z""),23,0)"),"Ankit Khandelwal")</f>
        <v>Ankit Khandelwal</v>
      </c>
      <c r="G332" s="6" t="str">
        <f>IFERROR(__xludf.DUMMYFUNCTION("vlookup(A332,importrange(""1fyGnaViAX9kns28pvsfPvI9925sAI7kxPlM7jpuHVJM"",""Validation!A:Z""),22,0)"),"Cluster - Kalpa")</f>
        <v>Cluster - Kalpa</v>
      </c>
      <c r="H332" s="4" t="str">
        <f>IFERROR(__xludf.DUMMYFUNCTION("vlookup(C332,importrange(""1kw74ismGU34AsZ5x-W4x7F3Zt2xc8NSYcCVMrCJBmdQ"",""DRP for 8 products!B:C""),2,0)"),"DATVCRHX9")</f>
        <v>DATVCRHX9</v>
      </c>
      <c r="I332" s="7">
        <f>IFERROR(__xludf.DUMMYFUNCTION("vlookup(C332,importrange(""1kw74ismGU34AsZ5x-W4x7F3Zt2xc8NSYcCVMrCJBmdQ"",""DRP for 8 products!B:E""),4,0)"),16.0)</f>
        <v>16</v>
      </c>
      <c r="J332" s="8" t="str">
        <f t="shared" si="1"/>
        <v>Tier 4</v>
      </c>
      <c r="K332" s="9" t="str">
        <f t="shared" si="2"/>
        <v>Active</v>
      </c>
      <c r="L332" s="4" t="str">
        <f>IFERROR(__xludf.DUMMYFUNCTION("vlookup(C332,importrange(""1kw74ismGU34AsZ5x-W4x7F3Zt2xc8NSYcCVMrCJBmdQ"",""DRP for 8 products!B:H""),6,0)"),"BigQuery")</f>
        <v>BigQuery</v>
      </c>
      <c r="M332" s="10" t="str">
        <f t="shared" si="3"/>
        <v>Yes</v>
      </c>
    </row>
    <row r="333">
      <c r="A333" s="4" t="str">
        <f>IFERROR(__xludf.DUMMYFUNCTION("vlookup(C333,IMPORTRANGE(""1Kgoo8qyo6zMtf_5B03ksZz228jg0XpZ4_KXsdHQ4Vks"",""14 Sept!A:B""),2,0)"),"DME1419")</f>
        <v>DME1419</v>
      </c>
      <c r="B333" s="5" t="str">
        <f>IFERROR(__xludf.DUMMYFUNCTION("""COMPUTED_VALUE"""),"Punam Chandgude")</f>
        <v>Punam Chandgude</v>
      </c>
      <c r="C333" s="5" t="str">
        <f>IFERROR(__xludf.DUMMYFUNCTION("""COMPUTED_VALUE"""),"punam.chanduge@onixnet.com")</f>
        <v>punam.chanduge@onixnet.com</v>
      </c>
      <c r="D333" s="4" t="s">
        <v>11</v>
      </c>
      <c r="E333" s="6" t="str">
        <f>IFERROR(__xludf.DUMMYFUNCTION("vlookup($A333,importrange(""1fyGnaViAX9kns28pvsfPvI9925sAI7kxPlM7jpuHVJM"",""Validation!A:Z""),11,0)"),"Delivery Services")</f>
        <v>Delivery Services</v>
      </c>
      <c r="F333" s="6" t="str">
        <f>IFERROR(__xludf.DUMMYFUNCTION("vlookup($A333,importrange(""1fyGnaViAX9kns28pvsfPvI9925sAI7kxPlM7jpuHVJM"",""Validation!A:Z""),23,0)"),"Shreyas Meshram")</f>
        <v>Shreyas Meshram</v>
      </c>
      <c r="G333" s="6" t="str">
        <f>IFERROR(__xludf.DUMMYFUNCTION("vlookup(A333,importrange(""1fyGnaViAX9kns28pvsfPvI9925sAI7kxPlM7jpuHVJM"",""Validation!A:Z""),22,0)"),"Cluster - Gaurav")</f>
        <v>Cluster - Gaurav</v>
      </c>
      <c r="H333" s="4" t="str">
        <f>IFERROR(__xludf.DUMMYFUNCTION("vlookup(C333,importrange(""1kw74ismGU34AsZ5x-W4x7F3Zt2xc8NSYcCVMrCJBmdQ"",""DRP for 8 products!B:C""),2,0)"),"DATPCIFU4")</f>
        <v>DATPCIFU4</v>
      </c>
      <c r="I333" s="7">
        <f>IFERROR(__xludf.DUMMYFUNCTION("vlookup(C333,importrange(""1kw74ismGU34AsZ5x-W4x7F3Zt2xc8NSYcCVMrCJBmdQ"",""DRP for 8 products!B:E""),4,0)"),54.0)</f>
        <v>54</v>
      </c>
      <c r="J333" s="8" t="str">
        <f t="shared" si="1"/>
        <v>Tier 1</v>
      </c>
      <c r="K333" s="9" t="str">
        <f t="shared" si="2"/>
        <v>Active</v>
      </c>
      <c r="L333" s="4" t="str">
        <f>IFERROR(__xludf.DUMMYFUNCTION("vlookup(C333,importrange(""1kw74ismGU34AsZ5x-W4x7F3Zt2xc8NSYcCVMrCJBmdQ"",""DRP for 8 products!B:H""),6,0)"),"BigQuery")</f>
        <v>BigQuery</v>
      </c>
      <c r="M333" s="10" t="str">
        <f t="shared" si="3"/>
        <v>Yes</v>
      </c>
    </row>
    <row r="334">
      <c r="A334" s="4" t="str">
        <f>IFERROR(__xludf.DUMMYFUNCTION("vlookup(C334,IMPORTRANGE(""1Kgoo8qyo6zMtf_5B03ksZz228jg0XpZ4_KXsdHQ4Vks"",""14 Sept!A:B""),2,0)"),"DME1478")</f>
        <v>DME1478</v>
      </c>
      <c r="B334" s="5" t="str">
        <f>IFERROR(__xludf.DUMMYFUNCTION("""COMPUTED_VALUE"""),"Binoy Samuel")</f>
        <v>Binoy Samuel</v>
      </c>
      <c r="C334" s="5" t="str">
        <f>IFERROR(__xludf.DUMMYFUNCTION("""COMPUTED_VALUE"""),"binoy.samuel@onixnet.com")</f>
        <v>binoy.samuel@onixnet.com</v>
      </c>
      <c r="D334" s="4" t="s">
        <v>11</v>
      </c>
      <c r="E334" s="6" t="str">
        <f>IFERROR(__xludf.DUMMYFUNCTION("vlookup($A334,importrange(""1fyGnaViAX9kns28pvsfPvI9925sAI7kxPlM7jpuHVJM"",""Validation!A:Z""),11,0)"),"Product Engineering")</f>
        <v>Product Engineering</v>
      </c>
      <c r="F334" s="6" t="str">
        <f>IFERROR(__xludf.DUMMYFUNCTION("vlookup($A334,importrange(""1fyGnaViAX9kns28pvsfPvI9925sAI7kxPlM7jpuHVJM"",""Validation!A:Z""),23,0)"),"Mayur Jain")</f>
        <v>Mayur Jain</v>
      </c>
      <c r="G334" s="6" t="str">
        <f>IFERROR(__xludf.DUMMYFUNCTION("vlookup(A334,importrange(""1fyGnaViAX9kns28pvsfPvI9925sAI7kxPlM7jpuHVJM"",""Validation!A:Z""),22,0)"),"Cluster - Mayur")</f>
        <v>Cluster - Mayur</v>
      </c>
      <c r="H334" s="4" t="str">
        <f>IFERROR(__xludf.DUMMYFUNCTION("vlookup(C334,importrange(""1kw74ismGU34AsZ5x-W4x7F3Zt2xc8NSYcCVMrCJBmdQ"",""DRP for 8 products!B:C""),2,0)"),"DATBSMXL5")</f>
        <v>DATBSMXL5</v>
      </c>
      <c r="I334" s="7">
        <f>IFERROR(__xludf.DUMMYFUNCTION("vlookup(C334,importrange(""1kw74ismGU34AsZ5x-W4x7F3Zt2xc8NSYcCVMrCJBmdQ"",""DRP for 8 products!B:E""),4,0)"),24.0)</f>
        <v>24</v>
      </c>
      <c r="J334" s="8" t="str">
        <f t="shared" si="1"/>
        <v>Tier 3</v>
      </c>
      <c r="K334" s="9" t="str">
        <f t="shared" si="2"/>
        <v>Active</v>
      </c>
      <c r="L334" s="4" t="str">
        <f>IFERROR(__xludf.DUMMYFUNCTION("vlookup(C334,importrange(""1kw74ismGU34AsZ5x-W4x7F3Zt2xc8NSYcCVMrCJBmdQ"",""DRP for 8 products!B:H""),6,0)"),"BigQuery")</f>
        <v>BigQuery</v>
      </c>
      <c r="M334" s="10" t="str">
        <f t="shared" si="3"/>
        <v>Yes</v>
      </c>
    </row>
    <row r="335">
      <c r="A335" s="4" t="str">
        <f>IFERROR(__xludf.DUMMYFUNCTION("vlookup(C335,IMPORTRANGE(""1Kgoo8qyo6zMtf_5B03ksZz228jg0XpZ4_KXsdHQ4Vks"",""14 Sept!A:B""),2,0)"),"ONIX773")</f>
        <v>ONIX773</v>
      </c>
      <c r="B335" s="5" t="str">
        <f>IFERROR(__xludf.DUMMYFUNCTION("""COMPUTED_VALUE"""),"Philip Cummings")</f>
        <v>Philip Cummings</v>
      </c>
      <c r="C335" s="5" t="str">
        <f>IFERROR(__xludf.DUMMYFUNCTION("""COMPUTED_VALUE"""),"philip.cummings@onixnet.com")</f>
        <v>philip.cummings@onixnet.com</v>
      </c>
      <c r="D335" s="4" t="s">
        <v>11</v>
      </c>
      <c r="E335" s="6" t="str">
        <f>IFERROR(__xludf.DUMMYFUNCTION("vlookup($A335,importrange(""1fyGnaViAX9kns28pvsfPvI9925sAI7kxPlM7jpuHVJM"",""Validation!A:Z""),11,0)"),"Delivery")</f>
        <v>Delivery</v>
      </c>
      <c r="F335" s="6" t="str">
        <f>IFERROR(__xludf.DUMMYFUNCTION("vlookup($A335,importrange(""1fyGnaViAX9kns28pvsfPvI9925sAI7kxPlM7jpuHVJM"",""Validation!A:Z""),23,0)"),"Bob Cielenski")</f>
        <v>Bob Cielenski</v>
      </c>
      <c r="G335" s="6" t="str">
        <f>IFERROR(__xludf.DUMMYFUNCTION("vlookup(A335,importrange(""1fyGnaViAX9kns28pvsfPvI9925sAI7kxPlM7jpuHVJM"",""Validation!A:Z""),22,0)"),"Portfolio - Rick")</f>
        <v>Portfolio - Rick</v>
      </c>
      <c r="H335" s="4" t="str">
        <f>IFERROR(__xludf.DUMMYFUNCTION("vlookup(C335,importrange(""1kw74ismGU34AsZ5x-W4x7F3Zt2xc8NSYcCVMrCJBmdQ"",""DRP for 8 products!B:C""),2,0)"),"UJEPCIUL2")</f>
        <v>UJEPCIUL2</v>
      </c>
      <c r="I335" s="7">
        <f>IFERROR(__xludf.DUMMYFUNCTION("vlookup(C335,importrange(""1kw74ismGU34AsZ5x-W4x7F3Zt2xc8NSYcCVMrCJBmdQ"",""DRP for 8 products!B:E""),4,0)"),39.0)</f>
        <v>39</v>
      </c>
      <c r="J335" s="8" t="str">
        <f t="shared" si="1"/>
        <v>Tier 2</v>
      </c>
      <c r="K335" s="9" t="str">
        <f t="shared" si="2"/>
        <v>Active</v>
      </c>
      <c r="L335" s="4" t="str">
        <f>IFERROR(__xludf.DUMMYFUNCTION("vlookup(C335,importrange(""1kw74ismGU34AsZ5x-W4x7F3Zt2xc8NSYcCVMrCJBmdQ"",""DRP for 8 products!B:H""),6,0)"),"Looker")</f>
        <v>Looker</v>
      </c>
      <c r="M335" s="10" t="str">
        <f t="shared" si="3"/>
        <v>Yes</v>
      </c>
    </row>
    <row r="336">
      <c r="A336" s="4" t="str">
        <f>IFERROR(__xludf.DUMMYFUNCTION("vlookup(C336,IMPORTRANGE(""1Kgoo8qyo6zMtf_5B03ksZz228jg0XpZ4_KXsdHQ4Vks"",""14 Sept!A:B""),2,0)"),"ONIX779")</f>
        <v>ONIX779</v>
      </c>
      <c r="B336" s="5" t="str">
        <f>IFERROR(__xludf.DUMMYFUNCTION("""COMPUTED_VALUE"""),"Annette Murphy")</f>
        <v>Annette Murphy</v>
      </c>
      <c r="C336" s="5" t="str">
        <f>IFERROR(__xludf.DUMMYFUNCTION("""COMPUTED_VALUE"""),"annette.murphy@onixnet.com")</f>
        <v>annette.murphy@onixnet.com</v>
      </c>
      <c r="D336" s="4" t="s">
        <v>11</v>
      </c>
      <c r="E336" s="6" t="str">
        <f>IFERROR(__xludf.DUMMYFUNCTION("vlookup($A336,importrange(""1fyGnaViAX9kns28pvsfPvI9925sAI7kxPlM7jpuHVJM"",""Validation!A:Z""),11,0)"),"Delivery")</f>
        <v>Delivery</v>
      </c>
      <c r="F336" s="6" t="str">
        <f>IFERROR(__xludf.DUMMYFUNCTION("vlookup($A336,importrange(""1fyGnaViAX9kns28pvsfPvI9925sAI7kxPlM7jpuHVJM"",""Validation!A:Z""),23,0)"),"Amy Weber")</f>
        <v>Amy Weber</v>
      </c>
      <c r="G336" s="6" t="str">
        <f>IFERROR(__xludf.DUMMYFUNCTION("vlookup(A336,importrange(""1fyGnaViAX9kns28pvsfPvI9925sAI7kxPlM7jpuHVJM"",""Validation!A:Z""),22,0)"),"Portfolio - Rick")</f>
        <v>Portfolio - Rick</v>
      </c>
      <c r="H336" s="4" t="str">
        <f>IFERROR(__xludf.DUMMYFUNCTION("vlookup(C336,importrange(""1kw74ismGU34AsZ5x-W4x7F3Zt2xc8NSYcCVMrCJBmdQ"",""DRP for 8 products!B:C""),2,0)"),"UJEAMTFU1")</f>
        <v>UJEAMTFU1</v>
      </c>
      <c r="I336" s="7">
        <f>IFERROR(__xludf.DUMMYFUNCTION("vlookup(C336,importrange(""1kw74ismGU34AsZ5x-W4x7F3Zt2xc8NSYcCVMrCJBmdQ"",""DRP for 8 products!B:E""),4,0)"),5.0)</f>
        <v>5</v>
      </c>
      <c r="J336" s="8" t="str">
        <f t="shared" si="1"/>
        <v>Tier 4</v>
      </c>
      <c r="K336" s="9" t="str">
        <f t="shared" si="2"/>
        <v>Active</v>
      </c>
      <c r="L336" s="4" t="str">
        <f>IFERROR(__xludf.DUMMYFUNCTION("vlookup(C336,importrange(""1kw74ismGU34AsZ5x-W4x7F3Zt2xc8NSYcCVMrCJBmdQ"",""DRP for 8 products!B:H""),6,0)"),"Looker")</f>
        <v>Looker</v>
      </c>
      <c r="M336" s="10" t="str">
        <f t="shared" si="3"/>
        <v>Yes</v>
      </c>
    </row>
    <row r="337">
      <c r="A337" s="4" t="str">
        <f>IFERROR(__xludf.DUMMYFUNCTION("vlookup(C337,IMPORTRANGE(""1Kgoo8qyo6zMtf_5B03ksZz228jg0XpZ4_KXsdHQ4Vks"",""14 Sept!A:B""),2,0)"),"ONIX562")</f>
        <v>ONIX562</v>
      </c>
      <c r="B337" s="5" t="str">
        <f>IFERROR(__xludf.DUMMYFUNCTION("""COMPUTED_VALUE"""),"Zhanna Rohalska")</f>
        <v>Zhanna Rohalska</v>
      </c>
      <c r="C337" s="5" t="str">
        <f>IFERROR(__xludf.DUMMYFUNCTION("""COMPUTED_VALUE"""),"zhanna.rohalska@onixnet.com")</f>
        <v>zhanna.rohalska@onixnet.com</v>
      </c>
      <c r="D337" s="4" t="s">
        <v>11</v>
      </c>
      <c r="E337" s="6" t="str">
        <f>IFERROR(__xludf.DUMMYFUNCTION("vlookup($A337,importrange(""1fyGnaViAX9kns28pvsfPvI9925sAI7kxPlM7jpuHVJM"",""Validation!A:Z""),11,0)"),"Services")</f>
        <v>Services</v>
      </c>
      <c r="F337" s="6" t="str">
        <f>IFERROR(__xludf.DUMMYFUNCTION("vlookup($A337,importrange(""1fyGnaViAX9kns28pvsfPvI9925sAI7kxPlM7jpuHVJM"",""Validation!A:Z""),23,0)"),"Kyle Clark")</f>
        <v>Kyle Clark</v>
      </c>
      <c r="G337" s="6" t="str">
        <f>IFERROR(__xludf.DUMMYFUNCTION("vlookup(A337,importrange(""1fyGnaViAX9kns28pvsfPvI9925sAI7kxPlM7jpuHVJM"",""Validation!A:Z""),22,0)"),"Portfolio - Rick")</f>
        <v>Portfolio - Rick</v>
      </c>
      <c r="H337" s="4" t="str">
        <f>IFERROR(__xludf.DUMMYFUNCTION("vlookup(C337,importrange(""1kw74ismGU34AsZ5x-W4x7F3Zt2xc8NSYcCVMrCJBmdQ"",""DRP for 8 products!B:C""),2,0)"),"ONIZRZTL3")</f>
        <v>ONIZRZTL3</v>
      </c>
      <c r="I337" s="7">
        <f>IFERROR(__xludf.DUMMYFUNCTION("vlookup(C337,importrange(""1kw74ismGU34AsZ5x-W4x7F3Zt2xc8NSYcCVMrCJBmdQ"",""DRP for 8 products!B:E""),4,0)"),11.0)</f>
        <v>11</v>
      </c>
      <c r="J337" s="8" t="str">
        <f t="shared" si="1"/>
        <v>Tier 4</v>
      </c>
      <c r="K337" s="9" t="str">
        <f t="shared" si="2"/>
        <v>Active</v>
      </c>
      <c r="L337" s="4" t="str">
        <f>IFERROR(__xludf.DUMMYFUNCTION("vlookup(C337,importrange(""1kw74ismGU34AsZ5x-W4x7F3Zt2xc8NSYcCVMrCJBmdQ"",""DRP for 8 products!B:H""),6,0)"),"Dataproc")</f>
        <v>Dataproc</v>
      </c>
      <c r="M337" s="10" t="str">
        <f t="shared" si="3"/>
        <v>Yes</v>
      </c>
    </row>
    <row r="338">
      <c r="A338" s="4" t="str">
        <f>IFERROR(__xludf.DUMMYFUNCTION("vlookup(C338,IMPORTRANGE(""1Kgoo8qyo6zMtf_5B03ksZz228jg0XpZ4_KXsdHQ4Vks"",""14 Sept!A:B""),2,0)"),"ONIX491")</f>
        <v>ONIX491</v>
      </c>
      <c r="B338" s="5" t="str">
        <f>IFERROR(__xludf.DUMMYFUNCTION("""COMPUTED_VALUE"""),"Chinu Lee")</f>
        <v>Chinu Lee</v>
      </c>
      <c r="C338" s="5" t="str">
        <f>IFERROR(__xludf.DUMMYFUNCTION("""COMPUTED_VALUE"""),"chinu.lee@onixnet.com")</f>
        <v>chinu.lee@onixnet.com</v>
      </c>
      <c r="D338" s="4" t="s">
        <v>11</v>
      </c>
      <c r="E338" s="6" t="str">
        <f>IFERROR(__xludf.DUMMYFUNCTION("vlookup($A338,importrange(""1fyGnaViAX9kns28pvsfPvI9925sAI7kxPlM7jpuHVJM"",""Validation!A:Z""),11,0)"),"Services")</f>
        <v>Services</v>
      </c>
      <c r="F338" s="6" t="str">
        <f>IFERROR(__xludf.DUMMYFUNCTION("vlookup($A338,importrange(""1fyGnaViAX9kns28pvsfPvI9925sAI7kxPlM7jpuHVJM"",""Validation!A:Z""),23,0)"),"Anurag Mynam")</f>
        <v>Anurag Mynam</v>
      </c>
      <c r="G338" s="6" t="str">
        <f>IFERROR(__xludf.DUMMYFUNCTION("vlookup(A338,importrange(""1fyGnaViAX9kns28pvsfPvI9925sAI7kxPlM7jpuHVJM"",""Validation!A:Z""),22,0)"),"Portfolio - Thomas (AI)")</f>
        <v>Portfolio - Thomas (AI)</v>
      </c>
      <c r="H338" s="4" t="str">
        <f>IFERROR(__xludf.DUMMYFUNCTION("vlookup(C338,importrange(""1kw74ismGU34AsZ5x-W4x7F3Zt2xc8NSYcCVMrCJBmdQ"",""DRP for 8 products!B:C""),2,0)"),"ONICLYNA8")</f>
        <v>ONICLYNA8</v>
      </c>
      <c r="I338" s="7">
        <f>IFERROR(__xludf.DUMMYFUNCTION("vlookup(C338,importrange(""1kw74ismGU34AsZ5x-W4x7F3Zt2xc8NSYcCVMrCJBmdQ"",""DRP for 8 products!B:E""),4,0)"),24.0)</f>
        <v>24</v>
      </c>
      <c r="J338" s="8" t="str">
        <f t="shared" si="1"/>
        <v>Tier 3</v>
      </c>
      <c r="K338" s="9" t="str">
        <f t="shared" si="2"/>
        <v>Active</v>
      </c>
      <c r="L338" s="4" t="str">
        <f>IFERROR(__xludf.DUMMYFUNCTION("vlookup(C338,importrange(""1kw74ismGU34AsZ5x-W4x7F3Zt2xc8NSYcCVMrCJBmdQ"",""DRP for 8 products!B:H""),6,0)"),"BigQuery")</f>
        <v>BigQuery</v>
      </c>
      <c r="M338" s="10" t="str">
        <f t="shared" si="3"/>
        <v>Yes</v>
      </c>
    </row>
    <row r="339">
      <c r="A339" s="4" t="str">
        <f>IFERROR(__xludf.DUMMYFUNCTION("vlookup(C339,IMPORTRANGE(""1Kgoo8qyo6zMtf_5B03ksZz228jg0XpZ4_KXsdHQ4Vks"",""14 Sept!A:B""),2,0)"),"DME2855")</f>
        <v>DME2855</v>
      </c>
      <c r="B339" s="5" t="str">
        <f>IFERROR(__xludf.DUMMYFUNCTION("""COMPUTED_VALUE"""),"Sushant Chavare")</f>
        <v>Sushant Chavare</v>
      </c>
      <c r="C339" s="5" t="str">
        <f>IFERROR(__xludf.DUMMYFUNCTION("""COMPUTED_VALUE"""),"sushant.chavare@onixnet.com")</f>
        <v>sushant.chavare@onixnet.com</v>
      </c>
      <c r="D339" s="4" t="s">
        <v>11</v>
      </c>
      <c r="E339" s="6" t="str">
        <f>IFERROR(__xludf.DUMMYFUNCTION("vlookup($A339,importrange(""1fyGnaViAX9kns28pvsfPvI9925sAI7kxPlM7jpuHVJM"",""Validation!A:Z""),11,0)"),"Delivery Services")</f>
        <v>Delivery Services</v>
      </c>
      <c r="F339" s="6" t="str">
        <f>IFERROR(__xludf.DUMMYFUNCTION("vlookup($A339,importrange(""1fyGnaViAX9kns28pvsfPvI9925sAI7kxPlM7jpuHVJM"",""Validation!A:Z""),23,0)"),"Vedant Bhogawade")</f>
        <v>Vedant Bhogawade</v>
      </c>
      <c r="G339" s="6" t="str">
        <f>IFERROR(__xludf.DUMMYFUNCTION("vlookup(A339,importrange(""1fyGnaViAX9kns28pvsfPvI9925sAI7kxPlM7jpuHVJM"",""Validation!A:Z""),22,0)"),"Cluster - Varun")</f>
        <v>Cluster - Varun</v>
      </c>
      <c r="H339" s="4" t="str">
        <f>IFERROR(__xludf.DUMMYFUNCTION("vlookup(C339,importrange(""1kw74ismGU34AsZ5x-W4x7F3Zt2xc8NSYcCVMrCJBmdQ"",""DRP for 8 products!B:C""),2,0)"),"DATSCMMC2")</f>
        <v>DATSCMMC2</v>
      </c>
      <c r="I339" s="7">
        <f>IFERROR(__xludf.DUMMYFUNCTION("vlookup(C339,importrange(""1kw74ismGU34AsZ5x-W4x7F3Zt2xc8NSYcCVMrCJBmdQ"",""DRP for 8 products!B:E""),4,0)"),24.0)</f>
        <v>24</v>
      </c>
      <c r="J339" s="8" t="str">
        <f t="shared" si="1"/>
        <v>Tier 3</v>
      </c>
      <c r="K339" s="9" t="str">
        <f t="shared" si="2"/>
        <v>Active</v>
      </c>
      <c r="L339" s="4" t="str">
        <f>IFERROR(__xludf.DUMMYFUNCTION("vlookup(C339,importrange(""1kw74ismGU34AsZ5x-W4x7F3Zt2xc8NSYcCVMrCJBmdQ"",""DRP for 8 products!B:H""),6,0)"),"BigQuery")</f>
        <v>BigQuery</v>
      </c>
      <c r="M339" s="10" t="str">
        <f t="shared" si="3"/>
        <v>Yes</v>
      </c>
    </row>
    <row r="340">
      <c r="A340" s="4" t="str">
        <f>IFERROR(__xludf.DUMMYFUNCTION("vlookup(C340,IMPORTRANGE(""1Kgoo8qyo6zMtf_5B03ksZz228jg0XpZ4_KXsdHQ4Vks"",""14 Sept!A:B""),2,0)"),"DME1952")</f>
        <v>DME1952</v>
      </c>
      <c r="B340" s="5" t="str">
        <f>IFERROR(__xludf.DUMMYFUNCTION("""COMPUTED_VALUE"""),"Pooja Mojad")</f>
        <v>Pooja Mojad</v>
      </c>
      <c r="C340" s="5" t="str">
        <f>IFERROR(__xludf.DUMMYFUNCTION("""COMPUTED_VALUE"""),"pooja.mojad@onixnet.com")</f>
        <v>pooja.mojad@onixnet.com</v>
      </c>
      <c r="D340" s="4" t="s">
        <v>11</v>
      </c>
      <c r="E340" s="6" t="str">
        <f>IFERROR(__xludf.DUMMYFUNCTION("vlookup($A340,importrange(""1fyGnaViAX9kns28pvsfPvI9925sAI7kxPlM7jpuHVJM"",""Validation!A:Z""),11,0)"),"Delivery Services")</f>
        <v>Delivery Services</v>
      </c>
      <c r="F340" s="6" t="str">
        <f>IFERROR(__xludf.DUMMYFUNCTION("vlookup($A340,importrange(""1fyGnaViAX9kns28pvsfPvI9925sAI7kxPlM7jpuHVJM"",""Validation!A:Z""),23,0)"),"Akash Choudhari")</f>
        <v>Akash Choudhari</v>
      </c>
      <c r="G340" s="6" t="str">
        <f>IFERROR(__xludf.DUMMYFUNCTION("vlookup(A340,importrange(""1fyGnaViAX9kns28pvsfPvI9925sAI7kxPlM7jpuHVJM"",""Validation!A:Z""),22,0)"),"Cluster - Sandeep")</f>
        <v>Cluster - Sandeep</v>
      </c>
      <c r="H340" s="4" t="str">
        <f>IFERROR(__xludf.DUMMYFUNCTION("vlookup(C340,importrange(""1kw74ismGU34AsZ5x-W4x7F3Zt2xc8NSYcCVMrCJBmdQ"",""DRP for 8 products!B:C""),2,0)"),"DATPMSTO0")</f>
        <v>DATPMSTO0</v>
      </c>
      <c r="I340" s="7">
        <f>IFERROR(__xludf.DUMMYFUNCTION("vlookup(C340,importrange(""1kw74ismGU34AsZ5x-W4x7F3Zt2xc8NSYcCVMrCJBmdQ"",""DRP for 8 products!B:E""),4,0)"),9.0)</f>
        <v>9</v>
      </c>
      <c r="J340" s="8" t="str">
        <f t="shared" si="1"/>
        <v>Tier 4</v>
      </c>
      <c r="K340" s="9" t="str">
        <f t="shared" si="2"/>
        <v>Active</v>
      </c>
      <c r="L340" s="4" t="str">
        <f>IFERROR(__xludf.DUMMYFUNCTION("vlookup(C340,importrange(""1kw74ismGU34AsZ5x-W4x7F3Zt2xc8NSYcCVMrCJBmdQ"",""DRP for 8 products!B:H""),6,0)"),"BigQuery")</f>
        <v>BigQuery</v>
      </c>
      <c r="M340" s="10" t="str">
        <f t="shared" si="3"/>
        <v>Yes</v>
      </c>
    </row>
    <row r="341">
      <c r="A341" s="4" t="str">
        <f>IFERROR(__xludf.DUMMYFUNCTION("vlookup(C341,IMPORTRANGE(""1Kgoo8qyo6zMtf_5B03ksZz228jg0XpZ4_KXsdHQ4Vks"",""14 Sept!A:B""),2,0)"),"DMUK0007")</f>
        <v>DMUK0007</v>
      </c>
      <c r="B341" s="5" t="str">
        <f>IFERROR(__xludf.DUMMYFUNCTION("""COMPUTED_VALUE"""),"Sean Gilley")</f>
        <v>Sean Gilley</v>
      </c>
      <c r="C341" s="5" t="str">
        <f>IFERROR(__xludf.DUMMYFUNCTION("""COMPUTED_VALUE"""),"sean.gilley@onixnet.com")</f>
        <v>sean.gilley@onixnet.com</v>
      </c>
      <c r="D341" s="4" t="s">
        <v>11</v>
      </c>
      <c r="E341" s="6" t="str">
        <f>IFERROR(__xludf.DUMMYFUNCTION("vlookup($A341,importrange(""1fyGnaViAX9kns28pvsfPvI9925sAI7kxPlM7jpuHVJM"",""Validation!A:Z""),11,0)"),"Delivery Services")</f>
        <v>Delivery Services</v>
      </c>
      <c r="F341" s="6" t="str">
        <f>IFERROR(__xludf.DUMMYFUNCTION("vlookup($A341,importrange(""1fyGnaViAX9kns28pvsfPvI9925sAI7kxPlM7jpuHVJM"",""Validation!A:Z""),23,0)"),"Thomas Kraus")</f>
        <v>Thomas Kraus</v>
      </c>
      <c r="G341" s="6" t="str">
        <f>IFERROR(__xludf.DUMMYFUNCTION("vlookup(A341,importrange(""1fyGnaViAX9kns28pvsfPvI9925sAI7kxPlM7jpuHVJM"",""Validation!A:Z""),22,0)"),"Portfolio - Ankur (Sales)")</f>
        <v>Portfolio - Ankur (Sales)</v>
      </c>
      <c r="H341" s="4" t="str">
        <f>IFERROR(__xludf.DUMMYFUNCTION("vlookup(C341,importrange(""1kw74ismGU34AsZ5x-W4x7F3Zt2xc8NSYcCVMrCJBmdQ"",""DRP for 8 products!B:C""),2,0)"),"DATSGWYE7")</f>
        <v>DATSGWYE7</v>
      </c>
      <c r="I341" s="7">
        <f>IFERROR(__xludf.DUMMYFUNCTION("vlookup(C341,importrange(""1kw74ismGU34AsZ5x-W4x7F3Zt2xc8NSYcCVMrCJBmdQ"",""DRP for 8 products!B:E""),4,0)"),59.0)</f>
        <v>59</v>
      </c>
      <c r="J341" s="8" t="str">
        <f t="shared" si="1"/>
        <v>Tier 1</v>
      </c>
      <c r="K341" s="9" t="str">
        <f t="shared" si="2"/>
        <v>Active</v>
      </c>
      <c r="L341" s="4" t="str">
        <f>IFERROR(__xludf.DUMMYFUNCTION("vlookup(C341,importrange(""1kw74ismGU34AsZ5x-W4x7F3Zt2xc8NSYcCVMrCJBmdQ"",""DRP for 8 products!B:H""),6,0)"),"BigQuery")</f>
        <v>BigQuery</v>
      </c>
      <c r="M341" s="10" t="str">
        <f t="shared" si="3"/>
        <v>Yes</v>
      </c>
    </row>
    <row r="342">
      <c r="A342" s="4" t="str">
        <f>IFERROR(__xludf.DUMMYFUNCTION("vlookup(C342,IMPORTRANGE(""1Kgoo8qyo6zMtf_5B03ksZz228jg0XpZ4_KXsdHQ4Vks"",""14 Sept!A:B""),2,0)"),"DMUK0004")</f>
        <v>DMUK0004</v>
      </c>
      <c r="B342" s="5" t="str">
        <f>IFERROR(__xludf.DUMMYFUNCTION("""COMPUTED_VALUE"""),"Maheshkumar Gupta")</f>
        <v>Maheshkumar Gupta</v>
      </c>
      <c r="C342" s="5" t="str">
        <f>IFERROR(__xludf.DUMMYFUNCTION("""COMPUTED_VALUE"""),"mahesh.gupta@onixnet.com")</f>
        <v>mahesh.gupta@onixnet.com</v>
      </c>
      <c r="D342" s="4" t="s">
        <v>11</v>
      </c>
      <c r="E342" s="6" t="str">
        <f>IFERROR(__xludf.DUMMYFUNCTION("vlookup($A342,importrange(""1fyGnaViAX9kns28pvsfPvI9925sAI7kxPlM7jpuHVJM"",""Validation!A:Z""),11,0)"),"Delivery Services")</f>
        <v>Delivery Services</v>
      </c>
      <c r="F342" s="6" t="str">
        <f>IFERROR(__xludf.DUMMYFUNCTION("vlookup($A342,importrange(""1fyGnaViAX9kns28pvsfPvI9925sAI7kxPlM7jpuHVJM"",""Validation!A:Z""),23,0)"),"Siddharth Bhandari")</f>
        <v>Siddharth Bhandari</v>
      </c>
      <c r="G342" s="6" t="str">
        <f>IFERROR(__xludf.DUMMYFUNCTION("vlookup(A342,importrange(""1fyGnaViAX9kns28pvsfPvI9925sAI7kxPlM7jpuHVJM"",""Validation!A:Z""),22,0)"),"Portfolio - Siddharth")</f>
        <v>Portfolio - Siddharth</v>
      </c>
      <c r="H342" s="4" t="str">
        <f>IFERROR(__xludf.DUMMYFUNCTION("vlookup(C342,importrange(""1kw74ismGU34AsZ5x-W4x7F3Zt2xc8NSYcCVMrCJBmdQ"",""DRP for 8 products!B:C""),2,0)"),"DATMGXSQ6")</f>
        <v>DATMGXSQ6</v>
      </c>
      <c r="I342" s="7">
        <f>IFERROR(__xludf.DUMMYFUNCTION("vlookup(C342,importrange(""1kw74ismGU34AsZ5x-W4x7F3Zt2xc8NSYcCVMrCJBmdQ"",""DRP for 8 products!B:E""),4,0)"),29.0)</f>
        <v>29</v>
      </c>
      <c r="J342" s="8" t="str">
        <f t="shared" si="1"/>
        <v>Tier 3</v>
      </c>
      <c r="K342" s="9" t="str">
        <f t="shared" si="2"/>
        <v>Active</v>
      </c>
      <c r="L342" s="4" t="str">
        <f>IFERROR(__xludf.DUMMYFUNCTION("vlookup(C342,importrange(""1kw74ismGU34AsZ5x-W4x7F3Zt2xc8NSYcCVMrCJBmdQ"",""DRP for 8 products!B:H""),6,0)"),"BigQuery")</f>
        <v>BigQuery</v>
      </c>
      <c r="M342" s="10" t="str">
        <f t="shared" si="3"/>
        <v>Yes</v>
      </c>
    </row>
    <row r="343">
      <c r="A343" s="4" t="str">
        <f>IFERROR(__xludf.DUMMYFUNCTION("vlookup(C343,IMPORTRANGE(""1Kgoo8qyo6zMtf_5B03ksZz228jg0XpZ4_KXsdHQ4Vks"",""14 Sept!A:B""),2,0)"),"DME2575")</f>
        <v>DME2575</v>
      </c>
      <c r="B343" s="5" t="str">
        <f>IFERROR(__xludf.DUMMYFUNCTION("""COMPUTED_VALUE"""),"Rameez Tamboli")</f>
        <v>Rameez Tamboli</v>
      </c>
      <c r="C343" s="5" t="str">
        <f>IFERROR(__xludf.DUMMYFUNCTION("""COMPUTED_VALUE"""),"rameez.tamboli@onixnet.com")</f>
        <v>rameez.tamboli@onixnet.com</v>
      </c>
      <c r="D343" s="4" t="s">
        <v>11</v>
      </c>
      <c r="E343" s="6" t="str">
        <f>IFERROR(__xludf.DUMMYFUNCTION("vlookup($A343,importrange(""1fyGnaViAX9kns28pvsfPvI9925sAI7kxPlM7jpuHVJM"",""Validation!A:Z""),11,0)"),"Delivery Services")</f>
        <v>Delivery Services</v>
      </c>
      <c r="F343" s="6" t="str">
        <f>IFERROR(__xludf.DUMMYFUNCTION("vlookup($A343,importrange(""1fyGnaViAX9kns28pvsfPvI9925sAI7kxPlM7jpuHVJM"",""Validation!A:Z""),23,0)"),"Devayani Girish Pillai")</f>
        <v>Devayani Girish Pillai</v>
      </c>
      <c r="G343" s="6" t="str">
        <f>IFERROR(__xludf.DUMMYFUNCTION("vlookup(A343,importrange(""1fyGnaViAX9kns28pvsfPvI9925sAI7kxPlM7jpuHVJM"",""Validation!A:Z""),22,0)"),"Cluster - Devayani")</f>
        <v>Cluster - Devayani</v>
      </c>
      <c r="H343" s="4" t="str">
        <f>IFERROR(__xludf.DUMMYFUNCTION("vlookup(C343,importrange(""1kw74ismGU34AsZ5x-W4x7F3Zt2xc8NSYcCVMrCJBmdQ"",""DRP for 8 products!B:C""),2,0)"),"DATRTQXV8")</f>
        <v>DATRTQXV8</v>
      </c>
      <c r="I343" s="7">
        <f>IFERROR(__xludf.DUMMYFUNCTION("vlookup(C343,importrange(""1kw74ismGU34AsZ5x-W4x7F3Zt2xc8NSYcCVMrCJBmdQ"",""DRP for 8 products!B:E""),4,0)"),19.0)</f>
        <v>19</v>
      </c>
      <c r="J343" s="8" t="str">
        <f t="shared" si="1"/>
        <v>Tier 4</v>
      </c>
      <c r="K343" s="9" t="str">
        <f t="shared" si="2"/>
        <v>Active</v>
      </c>
      <c r="L343" s="4" t="str">
        <f>IFERROR(__xludf.DUMMYFUNCTION("vlookup(C343,importrange(""1kw74ismGU34AsZ5x-W4x7F3Zt2xc8NSYcCVMrCJBmdQ"",""DRP for 8 products!B:H""),6,0)"),"Dataflow")</f>
        <v>Dataflow</v>
      </c>
      <c r="M343" s="10" t="str">
        <f t="shared" si="3"/>
        <v>Yes</v>
      </c>
    </row>
    <row r="344">
      <c r="A344" s="4" t="str">
        <f>IFERROR(__xludf.DUMMYFUNCTION("vlookup(C344,IMPORTRANGE(""1Kgoo8qyo6zMtf_5B03ksZz228jg0XpZ4_KXsdHQ4Vks"",""14 Sept!A:B""),2,0)"),"DMUK0008")</f>
        <v>DMUK0008</v>
      </c>
      <c r="B344" s="5" t="str">
        <f>IFERROR(__xludf.DUMMYFUNCTION("""COMPUTED_VALUE"""),"Siddharth Bhandari")</f>
        <v>Siddharth Bhandari</v>
      </c>
      <c r="C344" s="5" t="str">
        <f>IFERROR(__xludf.DUMMYFUNCTION("""COMPUTED_VALUE"""),"siddharth.bhandari@onixnet.com")</f>
        <v>siddharth.bhandari@onixnet.com</v>
      </c>
      <c r="D344" s="4" t="s">
        <v>11</v>
      </c>
      <c r="E344" s="6" t="str">
        <f>IFERROR(__xludf.DUMMYFUNCTION("vlookup($A344,importrange(""1fyGnaViAX9kns28pvsfPvI9925sAI7kxPlM7jpuHVJM"",""Validation!A:Z""),11,0)"),"Solutions and Pre-Sales")</f>
        <v>Solutions and Pre-Sales</v>
      </c>
      <c r="F344" s="6" t="str">
        <f>IFERROR(__xludf.DUMMYFUNCTION("vlookup($A344,importrange(""1fyGnaViAX9kns28pvsfPvI9925sAI7kxPlM7jpuHVJM"",""Validation!A:Z""),23,0)"),"Patrick Schablitzki")</f>
        <v>Patrick Schablitzki</v>
      </c>
      <c r="G344" s="6" t="str">
        <f>IFERROR(__xludf.DUMMYFUNCTION("vlookup(A344,importrange(""1fyGnaViAX9kns28pvsfPvI9925sAI7kxPlM7jpuHVJM"",""Validation!A:Z""),22,0)"),"Portfolio - Gaurav A (Presales)")</f>
        <v>Portfolio - Gaurav A (Presales)</v>
      </c>
      <c r="H344" s="4" t="str">
        <f>IFERROR(__xludf.DUMMYFUNCTION("vlookup(C344,importrange(""1kw74ismGU34AsZ5x-W4x7F3Zt2xc8NSYcCVMrCJBmdQ"",""DRP for 8 products!B:C""),2,0)"),"ONISBWOT4")</f>
        <v>ONISBWOT4</v>
      </c>
      <c r="I344" s="7">
        <f>IFERROR(__xludf.DUMMYFUNCTION("vlookup(C344,importrange(""1kw74ismGU34AsZ5x-W4x7F3Zt2xc8NSYcCVMrCJBmdQ"",""DRP for 8 products!B:E""),4,0)"),44.0)</f>
        <v>44</v>
      </c>
      <c r="J344" s="8" t="str">
        <f t="shared" si="1"/>
        <v>Tier 2</v>
      </c>
      <c r="K344" s="9" t="str">
        <f t="shared" si="2"/>
        <v>Active</v>
      </c>
      <c r="L344" s="4" t="str">
        <f>IFERROR(__xludf.DUMMYFUNCTION("vlookup(C344,importrange(""1kw74ismGU34AsZ5x-W4x7F3Zt2xc8NSYcCVMrCJBmdQ"",""DRP for 8 products!B:H""),6,0)"),"BigQuery")</f>
        <v>BigQuery</v>
      </c>
      <c r="M344" s="10" t="str">
        <f t="shared" si="3"/>
        <v>Yes</v>
      </c>
    </row>
    <row r="345">
      <c r="A345" s="4" t="str">
        <f>IFERROR(__xludf.DUMMYFUNCTION("vlookup(C345,IMPORTRANGE(""1Kgoo8qyo6zMtf_5B03ksZz228jg0XpZ4_KXsdHQ4Vks"",""14 Sept!A:B""),2,0)"),"ONIX669")</f>
        <v>ONIX669</v>
      </c>
      <c r="B345" s="5" t="str">
        <f>IFERROR(__xludf.DUMMYFUNCTION("""COMPUTED_VALUE"""),"Yasmine El Alami")</f>
        <v>Yasmine El Alami</v>
      </c>
      <c r="C345" s="5" t="str">
        <f>IFERROR(__xludf.DUMMYFUNCTION("""COMPUTED_VALUE"""),"yasmine.elalami@onixnet.com")</f>
        <v>yasmine.elalami@onixnet.com</v>
      </c>
      <c r="D345" s="4" t="s">
        <v>11</v>
      </c>
      <c r="E345" s="6" t="str">
        <f>IFERROR(__xludf.DUMMYFUNCTION("vlookup($A345,importrange(""1fyGnaViAX9kns28pvsfPvI9925sAI7kxPlM7jpuHVJM"",""Validation!A:Z""),11,0)"),"Services")</f>
        <v>Services</v>
      </c>
      <c r="F345" s="6" t="str">
        <f>IFERROR(__xludf.DUMMYFUNCTION("vlookup($A345,importrange(""1fyGnaViAX9kns28pvsfPvI9925sAI7kxPlM7jpuHVJM"",""Validation!A:Z""),23,0)"),"LeePatrick McIntire")</f>
        <v>LeePatrick McIntire</v>
      </c>
      <c r="G345" s="6" t="str">
        <f>IFERROR(__xludf.DUMMYFUNCTION("vlookup(A345,importrange(""1fyGnaViAX9kns28pvsfPvI9925sAI7kxPlM7jpuHVJM"",""Validation!A:Z""),22,0)"),"Portfolio - Thomas (AI)")</f>
        <v>Portfolio - Thomas (AI)</v>
      </c>
      <c r="H345" s="4" t="str">
        <f>IFERROR(__xludf.DUMMYFUNCTION("vlookup(C345,importrange(""1kw74ismGU34AsZ5x-W4x7F3Zt2xc8NSYcCVMrCJBmdQ"",""DRP for 8 products!B:C""),2,0)"),"ONIYEOPD6")</f>
        <v>ONIYEOPD6</v>
      </c>
      <c r="I345" s="7">
        <f>IFERROR(__xludf.DUMMYFUNCTION("vlookup(C345,importrange(""1kw74ismGU34AsZ5x-W4x7F3Zt2xc8NSYcCVMrCJBmdQ"",""DRP for 8 products!B:E""),4,0)"),15.0)</f>
        <v>15</v>
      </c>
      <c r="J345" s="8" t="str">
        <f t="shared" si="1"/>
        <v>Tier 4</v>
      </c>
      <c r="K345" s="9" t="str">
        <f t="shared" si="2"/>
        <v>Active</v>
      </c>
      <c r="L345" s="4" t="str">
        <f>IFERROR(__xludf.DUMMYFUNCTION("vlookup(C345,importrange(""1kw74ismGU34AsZ5x-W4x7F3Zt2xc8NSYcCVMrCJBmdQ"",""DRP for 8 products!B:H""),6,0)"),"Looker")</f>
        <v>Looker</v>
      </c>
      <c r="M345" s="10" t="str">
        <f t="shared" si="3"/>
        <v>Yes</v>
      </c>
    </row>
    <row r="346">
      <c r="A346" s="4" t="str">
        <f>IFERROR(__xludf.DUMMYFUNCTION("vlookup(C346,IMPORTRANGE(""1Kgoo8qyo6zMtf_5B03ksZz228jg0XpZ4_KXsdHQ4Vks"",""14 Sept!A:B""),2,0)"),"DMUK0009")</f>
        <v>DMUK0009</v>
      </c>
      <c r="B346" s="5" t="str">
        <f>IFERROR(__xludf.DUMMYFUNCTION("""COMPUTED_VALUE"""),"Pratik Bhangale")</f>
        <v>Pratik Bhangale</v>
      </c>
      <c r="C346" s="5" t="str">
        <f>IFERROR(__xludf.DUMMYFUNCTION("""COMPUTED_VALUE"""),"pratik.bhangale@onixnet.com")</f>
        <v>pratik.bhangale@onixnet.com</v>
      </c>
      <c r="D346" s="4" t="s">
        <v>11</v>
      </c>
      <c r="E346" s="6" t="str">
        <f>IFERROR(__xludf.DUMMYFUNCTION("vlookup($A346,importrange(""1fyGnaViAX9kns28pvsfPvI9925sAI7kxPlM7jpuHVJM"",""Validation!A:Z""),11,0)"),"Delivery Services")</f>
        <v>Delivery Services</v>
      </c>
      <c r="F346" s="6" t="str">
        <f>IFERROR(__xludf.DUMMYFUNCTION("vlookup($A346,importrange(""1fyGnaViAX9kns28pvsfPvI9925sAI7kxPlM7jpuHVJM"",""Validation!A:Z""),23,0)"),"Siddharth Bhandari")</f>
        <v>Siddharth Bhandari</v>
      </c>
      <c r="G346" s="6" t="str">
        <f>IFERROR(__xludf.DUMMYFUNCTION("vlookup(A346,importrange(""1fyGnaViAX9kns28pvsfPvI9925sAI7kxPlM7jpuHVJM"",""Validation!A:Z""),22,0)"),"Portfolio - Siddharth")</f>
        <v>Portfolio - Siddharth</v>
      </c>
      <c r="H346" s="4" t="str">
        <f>IFERROR(__xludf.DUMMYFUNCTION("vlookup(C346,importrange(""1kw74ismGU34AsZ5x-W4x7F3Zt2xc8NSYcCVMrCJBmdQ"",""DRP for 8 products!B:C""),2,0)"),"ONIPBUUQ9")</f>
        <v>ONIPBUUQ9</v>
      </c>
      <c r="I346" s="7">
        <f>IFERROR(__xludf.DUMMYFUNCTION("vlookup(C346,importrange(""1kw74ismGU34AsZ5x-W4x7F3Zt2xc8NSYcCVMrCJBmdQ"",""DRP for 8 products!B:E""),4,0)"),13.0)</f>
        <v>13</v>
      </c>
      <c r="J346" s="8" t="str">
        <f t="shared" si="1"/>
        <v>Tier 4</v>
      </c>
      <c r="K346" s="9" t="str">
        <f t="shared" si="2"/>
        <v>Active</v>
      </c>
      <c r="L346" s="4" t="str">
        <f>IFERROR(__xludf.DUMMYFUNCTION("vlookup(C346,importrange(""1kw74ismGU34AsZ5x-W4x7F3Zt2xc8NSYcCVMrCJBmdQ"",""DRP for 8 products!B:H""),6,0)"),"AlloyDB for PostgreSQL")</f>
        <v>AlloyDB for PostgreSQL</v>
      </c>
      <c r="M346" s="10" t="str">
        <f t="shared" si="3"/>
        <v>Yes</v>
      </c>
    </row>
    <row r="347">
      <c r="A347" s="4" t="str">
        <f>IFERROR(__xludf.DUMMYFUNCTION("vlookup(C347,IMPORTRANGE(""1Kgoo8qyo6zMtf_5B03ksZz228jg0XpZ4_KXsdHQ4Vks"",""14 Sept!A:B""),2,0)"),"ONIX593")</f>
        <v>ONIX593</v>
      </c>
      <c r="B347" s="5" t="str">
        <f>IFERROR(__xludf.DUMMYFUNCTION("""COMPUTED_VALUE"""),"David Hoff")</f>
        <v>David Hoff</v>
      </c>
      <c r="C347" s="5" t="str">
        <f>IFERROR(__xludf.DUMMYFUNCTION("""COMPUTED_VALUE"""),"david.hoff@onixnet.com")</f>
        <v>david.hoff@onixnet.com</v>
      </c>
      <c r="D347" s="4" t="s">
        <v>11</v>
      </c>
      <c r="E347" s="6" t="str">
        <f>IFERROR(__xludf.DUMMYFUNCTION("vlookup($A347,importrange(""1fyGnaViAX9kns28pvsfPvI9925sAI7kxPlM7jpuHVJM"",""Validation!A:Z""),11,0)"),"Sales")</f>
        <v>Sales</v>
      </c>
      <c r="F347" s="6" t="str">
        <f>IFERROR(__xludf.DUMMYFUNCTION("vlookup($A347,importrange(""1fyGnaViAX9kns28pvsfPvI9925sAI7kxPlM7jpuHVJM"",""Validation!A:Z""),23,0)"),"Scott Fleming")</f>
        <v>Scott Fleming</v>
      </c>
      <c r="G347" s="6" t="str">
        <f>IFERROR(__xludf.DUMMYFUNCTION("vlookup(A347,importrange(""1fyGnaViAX9kns28pvsfPvI9925sAI7kxPlM7jpuHVJM"",""Validation!A:Z""),22,0)"),"Portfolio - Scott")</f>
        <v>Portfolio - Scott</v>
      </c>
      <c r="H347" s="4" t="str">
        <f>IFERROR(__xludf.DUMMYFUNCTION("vlookup(C347,importrange(""1kw74ismGU34AsZ5x-W4x7F3Zt2xc8NSYcCVMrCJBmdQ"",""DRP for 8 products!B:C""),2,0)"),"ONIDHCYS6")</f>
        <v>ONIDHCYS6</v>
      </c>
      <c r="I347" s="7">
        <f>IFERROR(__xludf.DUMMYFUNCTION("vlookup(C347,importrange(""1kw74ismGU34AsZ5x-W4x7F3Zt2xc8NSYcCVMrCJBmdQ"",""DRP for 8 products!B:E""),4,0)"),9.0)</f>
        <v>9</v>
      </c>
      <c r="J347" s="8" t="str">
        <f t="shared" si="1"/>
        <v>Tier 4</v>
      </c>
      <c r="K347" s="9" t="str">
        <f t="shared" si="2"/>
        <v>Active</v>
      </c>
      <c r="L347" s="4" t="str">
        <f>IFERROR(__xludf.DUMMYFUNCTION("vlookup(C347,importrange(""1kw74ismGU34AsZ5x-W4x7F3Zt2xc8NSYcCVMrCJBmdQ"",""DRP for 8 products!B:H""),6,0)"),"BigQuery")</f>
        <v>BigQuery</v>
      </c>
      <c r="M347" s="10" t="str">
        <f t="shared" si="3"/>
        <v>Yes</v>
      </c>
    </row>
    <row r="348">
      <c r="A348" s="4" t="str">
        <f>IFERROR(__xludf.DUMMYFUNCTION("vlookup(C348,IMPORTRANGE(""1Kgoo8qyo6zMtf_5B03ksZz228jg0XpZ4_KXsdHQ4Vks"",""14 Sept!A:B""),2,0)"),"DME2518")</f>
        <v>DME2518</v>
      </c>
      <c r="B348" s="5" t="str">
        <f>IFERROR(__xludf.DUMMYFUNCTION("""COMPUTED_VALUE"""),"Manish Ahlawat")</f>
        <v>Manish Ahlawat</v>
      </c>
      <c r="C348" s="5" t="str">
        <f>IFERROR(__xludf.DUMMYFUNCTION("""COMPUTED_VALUE"""),"manish.ahlawat@onixnet.com")</f>
        <v>manish.ahlawat@onixnet.com</v>
      </c>
      <c r="D348" s="4" t="s">
        <v>11</v>
      </c>
      <c r="E348" s="6" t="str">
        <f>IFERROR(__xludf.DUMMYFUNCTION("vlookup($A348,importrange(""1fyGnaViAX9kns28pvsfPvI9925sAI7kxPlM7jpuHVJM"",""Validation!A:Z""),11,0)"),"Delivery Services")</f>
        <v>Delivery Services</v>
      </c>
      <c r="F348" s="6" t="str">
        <f>IFERROR(__xludf.DUMMYFUNCTION("vlookup($A348,importrange(""1fyGnaViAX9kns28pvsfPvI9925sAI7kxPlM7jpuHVJM"",""Validation!A:Z""),23,0)"),"Varunesh Khandelwal")</f>
        <v>Varunesh Khandelwal</v>
      </c>
      <c r="G348" s="6" t="str">
        <f>IFERROR(__xludf.DUMMYFUNCTION("vlookup(A348,importrange(""1fyGnaViAX9kns28pvsfPvI9925sAI7kxPlM7jpuHVJM"",""Validation!A:Z""),22,0)"),"Cluster - Gaurav")</f>
        <v>Cluster - Gaurav</v>
      </c>
      <c r="H348" s="4" t="str">
        <f>IFERROR(__xludf.DUMMYFUNCTION("vlookup(C348,importrange(""1kw74ismGU34AsZ5x-W4x7F3Zt2xc8NSYcCVMrCJBmdQ"",""DRP for 8 products!B:C""),2,0)"),"ONIMAEFL3")</f>
        <v>ONIMAEFL3</v>
      </c>
      <c r="I348" s="7">
        <f>IFERROR(__xludf.DUMMYFUNCTION("vlookup(C348,importrange(""1kw74ismGU34AsZ5x-W4x7F3Zt2xc8NSYcCVMrCJBmdQ"",""DRP for 8 products!B:E""),4,0)"),9.0)</f>
        <v>9</v>
      </c>
      <c r="J348" s="8" t="str">
        <f t="shared" si="1"/>
        <v>Tier 4</v>
      </c>
      <c r="K348" s="9" t="str">
        <f t="shared" si="2"/>
        <v>Active</v>
      </c>
      <c r="L348" s="4" t="str">
        <f>IFERROR(__xludf.DUMMYFUNCTION("vlookup(C348,importrange(""1kw74ismGU34AsZ5x-W4x7F3Zt2xc8NSYcCVMrCJBmdQ"",""DRP for 8 products!B:H""),6,0)"),"BigQuery")</f>
        <v>BigQuery</v>
      </c>
      <c r="M348" s="10" t="str">
        <f t="shared" si="3"/>
        <v>Yes</v>
      </c>
    </row>
    <row r="349">
      <c r="A349" s="4" t="str">
        <f>IFERROR(__xludf.DUMMYFUNCTION("vlookup(C349,IMPORTRANGE(""1Kgoo8qyo6zMtf_5B03ksZz228jg0XpZ4_KXsdHQ4Vks"",""14 Sept!A:B""),2,0)"),"DME0437")</f>
        <v>DME0437</v>
      </c>
      <c r="B349" s="5" t="str">
        <f>IFERROR(__xludf.DUMMYFUNCTION("""COMPUTED_VALUE"""),"Javed Ansari")</f>
        <v>Javed Ansari</v>
      </c>
      <c r="C349" s="5" t="str">
        <f>IFERROR(__xludf.DUMMYFUNCTION("""COMPUTED_VALUE"""),"javed.ansari@onixnet.com")</f>
        <v>javed.ansari@onixnet.com</v>
      </c>
      <c r="D349" s="4" t="s">
        <v>11</v>
      </c>
      <c r="E349" s="6" t="str">
        <f>IFERROR(__xludf.DUMMYFUNCTION("vlookup($A349,importrange(""1fyGnaViAX9kns28pvsfPvI9925sAI7kxPlM7jpuHVJM"",""Validation!A:Z""),11,0)"),"Delivery Services")</f>
        <v>Delivery Services</v>
      </c>
      <c r="F349" s="6" t="str">
        <f>IFERROR(__xludf.DUMMYFUNCTION("vlookup($A349,importrange(""1fyGnaViAX9kns28pvsfPvI9925sAI7kxPlM7jpuHVJM"",""Validation!A:Z""),23,0)"),"Lalit Sakure")</f>
        <v>Lalit Sakure</v>
      </c>
      <c r="G349" s="6" t="str">
        <f>IFERROR(__xludf.DUMMYFUNCTION("vlookup(A349,importrange(""1fyGnaViAX9kns28pvsfPvI9925sAI7kxPlM7jpuHVJM"",""Validation!A:Z""),22,0)"),"Cluster - Gaurav")</f>
        <v>Cluster - Gaurav</v>
      </c>
      <c r="H349" s="4" t="str">
        <f>IFERROR(__xludf.DUMMYFUNCTION("vlookup(C349,importrange(""1kw74ismGU34AsZ5x-W4x7F3Zt2xc8NSYcCVMrCJBmdQ"",""DRP for 8 products!B:C""),2,0)"),"ONIJAJUO2")</f>
        <v>ONIJAJUO2</v>
      </c>
      <c r="I349" s="7">
        <f>IFERROR(__xludf.DUMMYFUNCTION("vlookup(C349,importrange(""1kw74ismGU34AsZ5x-W4x7F3Zt2xc8NSYcCVMrCJBmdQ"",""DRP for 8 products!B:E""),4,0)"),29.0)</f>
        <v>29</v>
      </c>
      <c r="J349" s="8" t="str">
        <f t="shared" si="1"/>
        <v>Tier 3</v>
      </c>
      <c r="K349" s="9" t="str">
        <f t="shared" si="2"/>
        <v>Active</v>
      </c>
      <c r="L349" s="4" t="str">
        <f>IFERROR(__xludf.DUMMYFUNCTION("vlookup(C349,importrange(""1kw74ismGU34AsZ5x-W4x7F3Zt2xc8NSYcCVMrCJBmdQ"",""DRP for 8 products!B:H""),6,0)"),"BigQuery")</f>
        <v>BigQuery</v>
      </c>
      <c r="M349" s="10" t="str">
        <f t="shared" si="3"/>
        <v>Yes</v>
      </c>
    </row>
    <row r="350">
      <c r="A350" s="4" t="str">
        <f>IFERROR(__xludf.DUMMYFUNCTION("vlookup(C350,IMPORTRANGE(""1Kgoo8qyo6zMtf_5B03ksZz228jg0XpZ4_KXsdHQ4Vks"",""14 Sept!A:B""),2,0)"),"DME2003")</f>
        <v>DME2003</v>
      </c>
      <c r="B350" s="5" t="str">
        <f>IFERROR(__xludf.DUMMYFUNCTION("""COMPUTED_VALUE"""),"Swapnil Navale")</f>
        <v>Swapnil Navale</v>
      </c>
      <c r="C350" s="5" t="str">
        <f>IFERROR(__xludf.DUMMYFUNCTION("""COMPUTED_VALUE"""),"swapnil.navale@onixnet.com")</f>
        <v>swapnil.navale@onixnet.com</v>
      </c>
      <c r="D350" s="4" t="s">
        <v>11</v>
      </c>
      <c r="E350" s="6" t="str">
        <f>IFERROR(__xludf.DUMMYFUNCTION("vlookup($A350,importrange(""1fyGnaViAX9kns28pvsfPvI9925sAI7kxPlM7jpuHVJM"",""Validation!A:Z""),11,0)"),"Delivery Services")</f>
        <v>Delivery Services</v>
      </c>
      <c r="F350" s="6" t="str">
        <f>IFERROR(__xludf.DUMMYFUNCTION("vlookup($A350,importrange(""1fyGnaViAX9kns28pvsfPvI9925sAI7kxPlM7jpuHVJM"",""Validation!A:Z""),23,0)"),"Vishal Khare")</f>
        <v>Vishal Khare</v>
      </c>
      <c r="G350" s="6" t="str">
        <f>IFERROR(__xludf.DUMMYFUNCTION("vlookup(A350,importrange(""1fyGnaViAX9kns28pvsfPvI9925sAI7kxPlM7jpuHVJM"",""Validation!A:Z""),22,0)"),"Cluster - Sagar")</f>
        <v>Cluster - Sagar</v>
      </c>
      <c r="H350" s="4" t="str">
        <f>IFERROR(__xludf.DUMMYFUNCTION("vlookup(C350,importrange(""1kw74ismGU34AsZ5x-W4x7F3Zt2xc8NSYcCVMrCJBmdQ"",""DRP for 8 products!B:C""),2,0)"),"ONISNIUL2")</f>
        <v>ONISNIUL2</v>
      </c>
      <c r="I350" s="7">
        <f>IFERROR(__xludf.DUMMYFUNCTION("vlookup(C350,importrange(""1kw74ismGU34AsZ5x-W4x7F3Zt2xc8NSYcCVMrCJBmdQ"",""DRP for 8 products!B:E""),4,0)"),38.0)</f>
        <v>38</v>
      </c>
      <c r="J350" s="8" t="str">
        <f t="shared" si="1"/>
        <v>Tier 2</v>
      </c>
      <c r="K350" s="9" t="str">
        <f t="shared" si="2"/>
        <v>Active</v>
      </c>
      <c r="L350" s="4" t="str">
        <f>IFERROR(__xludf.DUMMYFUNCTION("vlookup(C350,importrange(""1kw74ismGU34AsZ5x-W4x7F3Zt2xc8NSYcCVMrCJBmdQ"",""DRP for 8 products!B:H""),6,0)"),"BigQuery")</f>
        <v>BigQuery</v>
      </c>
      <c r="M350" s="10" t="str">
        <f t="shared" si="3"/>
        <v>Yes</v>
      </c>
    </row>
    <row r="351">
      <c r="A351" s="4" t="str">
        <f>IFERROR(__xludf.DUMMYFUNCTION("vlookup(C351,IMPORTRANGE(""1Kgoo8qyo6zMtf_5B03ksZz228jg0XpZ4_KXsdHQ4Vks"",""14 Sept!A:B""),2,0)"),"DME2260")</f>
        <v>DME2260</v>
      </c>
      <c r="B351" s="5" t="str">
        <f>IFERROR(__xludf.DUMMYFUNCTION("""COMPUTED_VALUE"""),"RAVIKUMAR SUTAR")</f>
        <v>RAVIKUMAR SUTAR</v>
      </c>
      <c r="C351" s="5" t="str">
        <f>IFERROR(__xludf.DUMMYFUNCTION("""COMPUTED_VALUE"""),"ravikumar.sutar@onixnet.com")</f>
        <v>ravikumar.sutar@onixnet.com</v>
      </c>
      <c r="D351" s="4" t="s">
        <v>11</v>
      </c>
      <c r="E351" s="6" t="str">
        <f>IFERROR(__xludf.DUMMYFUNCTION("vlookup($A351,importrange(""1fyGnaViAX9kns28pvsfPvI9925sAI7kxPlM7jpuHVJM"",""Validation!A:Z""),11,0)"),"Professional Services")</f>
        <v>Professional Services</v>
      </c>
      <c r="F351" s="6" t="str">
        <f>IFERROR(__xludf.DUMMYFUNCTION("vlookup($A351,importrange(""1fyGnaViAX9kns28pvsfPvI9925sAI7kxPlM7jpuHVJM"",""Validation!A:Z""),23,0)"),"Pratik Malshe")</f>
        <v>Pratik Malshe</v>
      </c>
      <c r="G351" s="6" t="str">
        <f>IFERROR(__xludf.DUMMYFUNCTION("vlookup(A351,importrange(""1fyGnaViAX9kns28pvsfPvI9925sAI7kxPlM7jpuHVJM"",""Validation!A:Z""),22,0)"),"Cluster - Kalpa")</f>
        <v>Cluster - Kalpa</v>
      </c>
      <c r="H351" s="4" t="str">
        <f>IFERROR(__xludf.DUMMYFUNCTION("vlookup(C351,importrange(""1kw74ismGU34AsZ5x-W4x7F3Zt2xc8NSYcCVMrCJBmdQ"",""DRP for 8 products!B:C""),2,0)"),"ONIRSBZE4")</f>
        <v>ONIRSBZE4</v>
      </c>
      <c r="I351" s="7">
        <f>IFERROR(__xludf.DUMMYFUNCTION("vlookup(C351,importrange(""1kw74ismGU34AsZ5x-W4x7F3Zt2xc8NSYcCVMrCJBmdQ"",""DRP for 8 products!B:E""),4,0)"),12.0)</f>
        <v>12</v>
      </c>
      <c r="J351" s="8" t="str">
        <f t="shared" si="1"/>
        <v>Tier 4</v>
      </c>
      <c r="K351" s="9" t="str">
        <f t="shared" si="2"/>
        <v>Active</v>
      </c>
      <c r="L351" s="4" t="str">
        <f>IFERROR(__xludf.DUMMYFUNCTION("vlookup(C351,importrange(""1kw74ismGU34AsZ5x-W4x7F3Zt2xc8NSYcCVMrCJBmdQ"",""DRP for 8 products!B:H""),6,0)"),"BigQuery")</f>
        <v>BigQuery</v>
      </c>
      <c r="M351" s="10" t="str">
        <f t="shared" si="3"/>
        <v>Yes</v>
      </c>
    </row>
    <row r="352">
      <c r="A352" s="4" t="str">
        <f>IFERROR(__xludf.DUMMYFUNCTION("vlookup(C352,IMPORTRANGE(""1Kgoo8qyo6zMtf_5B03ksZz228jg0XpZ4_KXsdHQ4Vks"",""14 Sept!A:B""),2,0)"),"DME2380")</f>
        <v>DME2380</v>
      </c>
      <c r="B352" s="5" t="str">
        <f>IFERROR(__xludf.DUMMYFUNCTION("""COMPUTED_VALUE"""),"Abhinav Singh")</f>
        <v>Abhinav Singh</v>
      </c>
      <c r="C352" s="5" t="str">
        <f>IFERROR(__xludf.DUMMYFUNCTION("""COMPUTED_VALUE"""),"abhinav.singh@onixnet.com")</f>
        <v>abhinav.singh@onixnet.com</v>
      </c>
      <c r="D352" s="4" t="s">
        <v>11</v>
      </c>
      <c r="E352" s="6" t="str">
        <f>IFERROR(__xludf.DUMMYFUNCTION("vlookup($A352,importrange(""1fyGnaViAX9kns28pvsfPvI9925sAI7kxPlM7jpuHVJM"",""Validation!A:Z""),11,0)"),"Delivery Services")</f>
        <v>Delivery Services</v>
      </c>
      <c r="F352" s="6" t="str">
        <f>IFERROR(__xludf.DUMMYFUNCTION("vlookup($A352,importrange(""1fyGnaViAX9kns28pvsfPvI9925sAI7kxPlM7jpuHVJM"",""Validation!A:Z""),23,0)"),"Poonam Sharma")</f>
        <v>Poonam Sharma</v>
      </c>
      <c r="G352" s="6" t="str">
        <f>IFERROR(__xludf.DUMMYFUNCTION("vlookup(A352,importrange(""1fyGnaViAX9kns28pvsfPvI9925sAI7kxPlM7jpuHVJM"",""Validation!A:Z""),22,0)"),"Cluster - Gaurav")</f>
        <v>Cluster - Gaurav</v>
      </c>
      <c r="H352" s="4" t="str">
        <f>IFERROR(__xludf.DUMMYFUNCTION("vlookup(C352,importrange(""1kw74ismGU34AsZ5x-W4x7F3Zt2xc8NSYcCVMrCJBmdQ"",""DRP for 8 products!B:C""),2,0)"),"ONIASGIK9")</f>
        <v>ONIASGIK9</v>
      </c>
      <c r="I352" s="7">
        <f>IFERROR(__xludf.DUMMYFUNCTION("vlookup(C352,importrange(""1kw74ismGU34AsZ5x-W4x7F3Zt2xc8NSYcCVMrCJBmdQ"",""DRP for 8 products!B:E""),4,0)"),58.0)</f>
        <v>58</v>
      </c>
      <c r="J352" s="8" t="str">
        <f t="shared" si="1"/>
        <v>Tier 1</v>
      </c>
      <c r="K352" s="9" t="str">
        <f t="shared" si="2"/>
        <v>Active</v>
      </c>
      <c r="L352" s="4" t="str">
        <f>IFERROR(__xludf.DUMMYFUNCTION("vlookup(C352,importrange(""1kw74ismGU34AsZ5x-W4x7F3Zt2xc8NSYcCVMrCJBmdQ"",""DRP for 8 products!B:H""),6,0)"),"BigQuery")</f>
        <v>BigQuery</v>
      </c>
      <c r="M352" s="10" t="str">
        <f t="shared" si="3"/>
        <v>Yes</v>
      </c>
    </row>
    <row r="353">
      <c r="A353" s="4" t="str">
        <f>IFERROR(__xludf.DUMMYFUNCTION("vlookup(C353,IMPORTRANGE(""1Kgoo8qyo6zMtf_5B03ksZz228jg0XpZ4_KXsdHQ4Vks"",""14 Sept!A:B""),2,0)"),"DME2943")</f>
        <v>DME2943</v>
      </c>
      <c r="B353" s="5" t="str">
        <f>IFERROR(__xludf.DUMMYFUNCTION("""COMPUTED_VALUE"""),"Prashant Dange")</f>
        <v>Prashant Dange</v>
      </c>
      <c r="C353" s="5" t="str">
        <f>IFERROR(__xludf.DUMMYFUNCTION("""COMPUTED_VALUE"""),"prashant.dange@onixnet.com")</f>
        <v>prashant.dange@onixnet.com</v>
      </c>
      <c r="D353" s="4" t="s">
        <v>11</v>
      </c>
      <c r="E353" s="6" t="str">
        <f>IFERROR(__xludf.DUMMYFUNCTION("vlookup($A353,importrange(""1fyGnaViAX9kns28pvsfPvI9925sAI7kxPlM7jpuHVJM"",""Validation!A:Z""),11,0)"),"Delivery Services")</f>
        <v>Delivery Services</v>
      </c>
      <c r="F353" s="6" t="str">
        <f>IFERROR(__xludf.DUMMYFUNCTION("vlookup($A353,importrange(""1fyGnaViAX9kns28pvsfPvI9925sAI7kxPlM7jpuHVJM"",""Validation!A:Z""),23,0)"),"Shivam Kumar")</f>
        <v>Shivam Kumar</v>
      </c>
      <c r="G353" s="6" t="str">
        <f>IFERROR(__xludf.DUMMYFUNCTION("vlookup(A353,importrange(""1fyGnaViAX9kns28pvsfPvI9925sAI7kxPlM7jpuHVJM"",""Validation!A:Z""),22,0)"),"Cluster - Sachin")</f>
        <v>Cluster - Sachin</v>
      </c>
      <c r="H353" s="4" t="str">
        <f>IFERROR(__xludf.DUMMYFUNCTION("vlookup(C353,importrange(""1kw74ismGU34AsZ5x-W4x7F3Zt2xc8NSYcCVMrCJBmdQ"",""DRP for 8 products!B:C""),2,0)"),"ONIPDFLO0")</f>
        <v>ONIPDFLO0</v>
      </c>
      <c r="I353" s="7">
        <f>IFERROR(__xludf.DUMMYFUNCTION("vlookup(C353,importrange(""1kw74ismGU34AsZ5x-W4x7F3Zt2xc8NSYcCVMrCJBmdQ"",""DRP for 8 products!B:E""),4,0)"),25.0)</f>
        <v>25</v>
      </c>
      <c r="J353" s="8" t="str">
        <f t="shared" si="1"/>
        <v>Tier 3</v>
      </c>
      <c r="K353" s="9" t="str">
        <f t="shared" si="2"/>
        <v>Active</v>
      </c>
      <c r="L353" s="4" t="str">
        <f>IFERROR(__xludf.DUMMYFUNCTION("vlookup(C353,importrange(""1kw74ismGU34AsZ5x-W4x7F3Zt2xc8NSYcCVMrCJBmdQ"",""DRP for 8 products!B:H""),6,0)"),"BigQuery")</f>
        <v>BigQuery</v>
      </c>
      <c r="M353" s="10" t="str">
        <f t="shared" si="3"/>
        <v>Yes</v>
      </c>
    </row>
    <row r="354">
      <c r="A354" s="4" t="str">
        <f>IFERROR(__xludf.DUMMYFUNCTION("vlookup(C354,IMPORTRANGE(""1Kgoo8qyo6zMtf_5B03ksZz228jg0XpZ4_KXsdHQ4Vks"",""14 Sept!A:B""),2,0)"),"DME1242")</f>
        <v>DME1242</v>
      </c>
      <c r="B354" s="5" t="str">
        <f>IFERROR(__xludf.DUMMYFUNCTION("""COMPUTED_VALUE"""),"Toshi Jain")</f>
        <v>Toshi Jain</v>
      </c>
      <c r="C354" s="5" t="str">
        <f>IFERROR(__xludf.DUMMYFUNCTION("""COMPUTED_VALUE"""),"toshi.jain@onixnet.com")</f>
        <v>toshi.jain@onixnet.com</v>
      </c>
      <c r="D354" s="4" t="s">
        <v>11</v>
      </c>
      <c r="E354" s="6" t="str">
        <f>IFERROR(__xludf.DUMMYFUNCTION("vlookup($A354,importrange(""1fyGnaViAX9kns28pvsfPvI9925sAI7kxPlM7jpuHVJM"",""Validation!A:Z""),11,0)"),"Delivery Services")</f>
        <v>Delivery Services</v>
      </c>
      <c r="F354" s="6" t="str">
        <f>IFERROR(__xludf.DUMMYFUNCTION("vlookup($A354,importrange(""1fyGnaViAX9kns28pvsfPvI9925sAI7kxPlM7jpuHVJM"",""Validation!A:Z""),23,0)"),"Bhagyashri Paralkar")</f>
        <v>Bhagyashri Paralkar</v>
      </c>
      <c r="G354" s="6" t="str">
        <f>IFERROR(__xludf.DUMMYFUNCTION("vlookup(A354,importrange(""1fyGnaViAX9kns28pvsfPvI9925sAI7kxPlM7jpuHVJM"",""Validation!A:Z""),22,0)"),"Cluster - Sagar")</f>
        <v>Cluster - Sagar</v>
      </c>
      <c r="H354" s="4" t="str">
        <f>IFERROR(__xludf.DUMMYFUNCTION("vlookup(C354,importrange(""1kw74ismGU34AsZ5x-W4x7F3Zt2xc8NSYcCVMrCJBmdQ"",""DRP for 8 products!B:C""),2,0)"),"ONITJETG8")</f>
        <v>ONITJETG8</v>
      </c>
      <c r="I354" s="7">
        <f>IFERROR(__xludf.DUMMYFUNCTION("vlookup(C354,importrange(""1kw74ismGU34AsZ5x-W4x7F3Zt2xc8NSYcCVMrCJBmdQ"",""DRP for 8 products!B:E""),4,0)"),44.0)</f>
        <v>44</v>
      </c>
      <c r="J354" s="8" t="str">
        <f t="shared" si="1"/>
        <v>Tier 2</v>
      </c>
      <c r="K354" s="9" t="str">
        <f t="shared" si="2"/>
        <v>Active</v>
      </c>
      <c r="L354" s="4" t="str">
        <f>IFERROR(__xludf.DUMMYFUNCTION("vlookup(C354,importrange(""1kw74ismGU34AsZ5x-W4x7F3Zt2xc8NSYcCVMrCJBmdQ"",""DRP for 8 products!B:H""),6,0)"),"BigQuery")</f>
        <v>BigQuery</v>
      </c>
      <c r="M354" s="10" t="str">
        <f t="shared" si="3"/>
        <v>Yes</v>
      </c>
    </row>
    <row r="355">
      <c r="A355" s="4" t="str">
        <f>IFERROR(__xludf.DUMMYFUNCTION("vlookup(C355,IMPORTRANGE(""1Kgoo8qyo6zMtf_5B03ksZz228jg0XpZ4_KXsdHQ4Vks"",""14 Sept!A:B""),2,0)"),"DME1339")</f>
        <v>DME1339</v>
      </c>
      <c r="B355" s="5" t="str">
        <f>IFERROR(__xludf.DUMMYFUNCTION("""COMPUTED_VALUE"""),"Rohit Kulkarni")</f>
        <v>Rohit Kulkarni</v>
      </c>
      <c r="C355" s="5" t="str">
        <f>IFERROR(__xludf.DUMMYFUNCTION("""COMPUTED_VALUE"""),"rohit.kulkarni@onixnet.com")</f>
        <v>rohit.kulkarni@onixnet.com</v>
      </c>
      <c r="D355" s="4" t="s">
        <v>11</v>
      </c>
      <c r="E355" s="6" t="str">
        <f>IFERROR(__xludf.DUMMYFUNCTION("vlookup($A355,importrange(""1fyGnaViAX9kns28pvsfPvI9925sAI7kxPlM7jpuHVJM"",""Validation!A:Z""),11,0)"),"Delivery Services")</f>
        <v>Delivery Services</v>
      </c>
      <c r="F355" s="6" t="str">
        <f>IFERROR(__xludf.DUMMYFUNCTION("vlookup($A355,importrange(""1fyGnaViAX9kns28pvsfPvI9925sAI7kxPlM7jpuHVJM"",""Validation!A:Z""),23,0)"),"Priyanka Parab")</f>
        <v>Priyanka Parab</v>
      </c>
      <c r="G355" s="6" t="str">
        <f>IFERROR(__xludf.DUMMYFUNCTION("vlookup(A355,importrange(""1fyGnaViAX9kns28pvsfPvI9925sAI7kxPlM7jpuHVJM"",""Validation!A:Z""),22,0)"),"Cluster - Sagar")</f>
        <v>Cluster - Sagar</v>
      </c>
      <c r="H355" s="4" t="str">
        <f>IFERROR(__xludf.DUMMYFUNCTION("vlookup(C355,importrange(""1kw74ismGU34AsZ5x-W4x7F3Zt2xc8NSYcCVMrCJBmdQ"",""DRP for 8 products!B:C""),2,0)"),"ONIRKLLH2")</f>
        <v>ONIRKLLH2</v>
      </c>
      <c r="I355" s="7">
        <f>IFERROR(__xludf.DUMMYFUNCTION("vlookup(C355,importrange(""1kw74ismGU34AsZ5x-W4x7F3Zt2xc8NSYcCVMrCJBmdQ"",""DRP for 8 products!B:E""),4,0)"),8.0)</f>
        <v>8</v>
      </c>
      <c r="J355" s="8" t="str">
        <f t="shared" si="1"/>
        <v>Tier 4</v>
      </c>
      <c r="K355" s="9" t="str">
        <f t="shared" si="2"/>
        <v>Active</v>
      </c>
      <c r="L355" s="4" t="str">
        <f>IFERROR(__xludf.DUMMYFUNCTION("vlookup(C355,importrange(""1kw74ismGU34AsZ5x-W4x7F3Zt2xc8NSYcCVMrCJBmdQ"",""DRP for 8 products!B:H""),6,0)"),"BigQuery")</f>
        <v>BigQuery</v>
      </c>
      <c r="M355" s="10" t="str">
        <f t="shared" si="3"/>
        <v>Yes</v>
      </c>
    </row>
    <row r="356">
      <c r="A356" s="4" t="str">
        <f>IFERROR(__xludf.DUMMYFUNCTION("vlookup(C356,IMPORTRANGE(""1Kgoo8qyo6zMtf_5B03ksZz228jg0XpZ4_KXsdHQ4Vks"",""14 Sept!A:B""),2,0)"),"DME2264")</f>
        <v>DME2264</v>
      </c>
      <c r="B356" s="5" t="str">
        <f>IFERROR(__xludf.DUMMYFUNCTION("""COMPUTED_VALUE"""),"Sanket Gavali")</f>
        <v>Sanket Gavali</v>
      </c>
      <c r="C356" s="5" t="str">
        <f>IFERROR(__xludf.DUMMYFUNCTION("""COMPUTED_VALUE"""),"sanket.gavali@onixnet.com")</f>
        <v>sanket.gavali@onixnet.com</v>
      </c>
      <c r="D356" s="4" t="s">
        <v>11</v>
      </c>
      <c r="E356" s="6" t="str">
        <f>IFERROR(__xludf.DUMMYFUNCTION("vlookup($A356,importrange(""1fyGnaViAX9kns28pvsfPvI9925sAI7kxPlM7jpuHVJM"",""Validation!A:Z""),11,0)"),"Delivery Services")</f>
        <v>Delivery Services</v>
      </c>
      <c r="F356" s="6" t="str">
        <f>IFERROR(__xludf.DUMMYFUNCTION("vlookup($A356,importrange(""1fyGnaViAX9kns28pvsfPvI9925sAI7kxPlM7jpuHVJM"",""Validation!A:Z""),23,0)"),"Aarti Borhade")</f>
        <v>Aarti Borhade</v>
      </c>
      <c r="G356" s="6" t="str">
        <f>IFERROR(__xludf.DUMMYFUNCTION("vlookup(A356,importrange(""1fyGnaViAX9kns28pvsfPvI9925sAI7kxPlM7jpuHVJM"",""Validation!A:Z""),22,0)"),"Cluster - Sagar")</f>
        <v>Cluster - Sagar</v>
      </c>
      <c r="H356" s="4" t="str">
        <f>IFERROR(__xludf.DUMMYFUNCTION("vlookup(C356,importrange(""1kw74ismGU34AsZ5x-W4x7F3Zt2xc8NSYcCVMrCJBmdQ"",""DRP for 8 products!B:C""),2,0)"),"ONISGTMK0")</f>
        <v>ONISGTMK0</v>
      </c>
      <c r="I356" s="7">
        <f>IFERROR(__xludf.DUMMYFUNCTION("vlookup(C356,importrange(""1kw74ismGU34AsZ5x-W4x7F3Zt2xc8NSYcCVMrCJBmdQ"",""DRP for 8 products!B:E""),4,0)"),29.0)</f>
        <v>29</v>
      </c>
      <c r="J356" s="8" t="str">
        <f t="shared" si="1"/>
        <v>Tier 3</v>
      </c>
      <c r="K356" s="9" t="str">
        <f t="shared" si="2"/>
        <v>Active</v>
      </c>
      <c r="L356" s="4" t="str">
        <f>IFERROR(__xludf.DUMMYFUNCTION("vlookup(C356,importrange(""1kw74ismGU34AsZ5x-W4x7F3Zt2xc8NSYcCVMrCJBmdQ"",""DRP for 8 products!B:H""),6,0)"),"BigQuery")</f>
        <v>BigQuery</v>
      </c>
      <c r="M356" s="10" t="str">
        <f t="shared" si="3"/>
        <v>Yes</v>
      </c>
    </row>
    <row r="357">
      <c r="A357" s="4" t="str">
        <f>IFERROR(__xludf.DUMMYFUNCTION("vlookup(C357,IMPORTRANGE(""1Kgoo8qyo6zMtf_5B03ksZz228jg0XpZ4_KXsdHQ4Vks"",""14 Sept!A:B""),2,0)"),"ONIX837")</f>
        <v>ONIX837</v>
      </c>
      <c r="B357" s="5" t="str">
        <f>IFERROR(__xludf.DUMMYFUNCTION("""COMPUTED_VALUE"""),"Swapnil Dak")</f>
        <v>Swapnil Dak</v>
      </c>
      <c r="C357" s="5" t="str">
        <f>IFERROR(__xludf.DUMMYFUNCTION("""COMPUTED_VALUE"""),"swapnil.dak@onixnet.com")</f>
        <v>swapnil.dak@onixnet.com</v>
      </c>
      <c r="D357" s="4" t="s">
        <v>11</v>
      </c>
      <c r="E357" s="6" t="str">
        <f>IFERROR(__xludf.DUMMYFUNCTION("vlookup($A357,importrange(""1fyGnaViAX9kns28pvsfPvI9925sAI7kxPlM7jpuHVJM"",""Validation!A:Z""),11,0)"),"Delivery")</f>
        <v>Delivery</v>
      </c>
      <c r="F357" s="6" t="str">
        <f>IFERROR(__xludf.DUMMYFUNCTION("vlookup($A357,importrange(""1fyGnaViAX9kns28pvsfPvI9925sAI7kxPlM7jpuHVJM"",""Validation!A:Z""),23,0)"),"Anurag Mynam")</f>
        <v>Anurag Mynam</v>
      </c>
      <c r="G357" s="6" t="str">
        <f>IFERROR(__xludf.DUMMYFUNCTION("vlookup(A357,importrange(""1fyGnaViAX9kns28pvsfPvI9925sAI7kxPlM7jpuHVJM"",""Validation!A:Z""),22,0)"),"Portfolio - Thomas (AI)")</f>
        <v>Portfolio - Thomas (AI)</v>
      </c>
      <c r="H357" s="4" t="str">
        <f>IFERROR(__xludf.DUMMYFUNCTION("vlookup(C357,importrange(""1kw74ismGU34AsZ5x-W4x7F3Zt2xc8NSYcCVMrCJBmdQ"",""DRP for 8 products!B:C""),2,0)"),"ONISDYPU2")</f>
        <v>ONISDYPU2</v>
      </c>
      <c r="I357" s="7">
        <f>IFERROR(__xludf.DUMMYFUNCTION("vlookup(C357,importrange(""1kw74ismGU34AsZ5x-W4x7F3Zt2xc8NSYcCVMrCJBmdQ"",""DRP for 8 products!B:E""),4,0)"),34.0)</f>
        <v>34</v>
      </c>
      <c r="J357" s="8" t="str">
        <f t="shared" si="1"/>
        <v>Tier 3</v>
      </c>
      <c r="K357" s="9" t="str">
        <f t="shared" si="2"/>
        <v>Active</v>
      </c>
      <c r="L357" s="4" t="str">
        <f>IFERROR(__xludf.DUMMYFUNCTION("vlookup(C357,importrange(""1kw74ismGU34AsZ5x-W4x7F3Zt2xc8NSYcCVMrCJBmdQ"",""DRP for 8 products!B:H""),6,0)"),"BigQuery")</f>
        <v>BigQuery</v>
      </c>
      <c r="M357" s="10" t="str">
        <f t="shared" si="3"/>
        <v>Yes</v>
      </c>
    </row>
    <row r="358">
      <c r="A358" s="4" t="str">
        <f>IFERROR(__xludf.DUMMYFUNCTION("vlookup(C358,IMPORTRANGE(""1Kgoo8qyo6zMtf_5B03ksZz228jg0XpZ4_KXsdHQ4Vks"",""14 Sept!A:B""),2,0)"),"DME2327")</f>
        <v>DME2327</v>
      </c>
      <c r="B358" s="5" t="str">
        <f>IFERROR(__xludf.DUMMYFUNCTION("""COMPUTED_VALUE"""),"Pratidnya Gorade")</f>
        <v>Pratidnya Gorade</v>
      </c>
      <c r="C358" s="5" t="str">
        <f>IFERROR(__xludf.DUMMYFUNCTION("""COMPUTED_VALUE"""),"pratidnya.gorade@onixnet.com")</f>
        <v>pratidnya.gorade@onixnet.com</v>
      </c>
      <c r="D358" s="4" t="s">
        <v>11</v>
      </c>
      <c r="E358" s="6" t="str">
        <f>IFERROR(__xludf.DUMMYFUNCTION("vlookup($A358,importrange(""1fyGnaViAX9kns28pvsfPvI9925sAI7kxPlM7jpuHVJM"",""Validation!A:Z""),11,0)"),"Delivery Services")</f>
        <v>Delivery Services</v>
      </c>
      <c r="F358" s="6" t="str">
        <f>IFERROR(__xludf.DUMMYFUNCTION("vlookup($A358,importrange(""1fyGnaViAX9kns28pvsfPvI9925sAI7kxPlM7jpuHVJM"",""Validation!A:Z""),23,0)"),"Hemanth Kolluru")</f>
        <v>Hemanth Kolluru</v>
      </c>
      <c r="G358" s="6" t="str">
        <f>IFERROR(__xludf.DUMMYFUNCTION("vlookup(A358,importrange(""1fyGnaViAX9kns28pvsfPvI9925sAI7kxPlM7jpuHVJM"",""Validation!A:Z""),22,0)"),"Cluster - Sachin")</f>
        <v>Cluster - Sachin</v>
      </c>
      <c r="H358" s="4" t="str">
        <f>IFERROR(__xludf.DUMMYFUNCTION("vlookup(C358,importrange(""1kw74ismGU34AsZ5x-W4x7F3Zt2xc8NSYcCVMrCJBmdQ"",""DRP for 8 products!B:C""),2,0)"),"ONIPGEXJ7")</f>
        <v>ONIPGEXJ7</v>
      </c>
      <c r="I358" s="7">
        <f>IFERROR(__xludf.DUMMYFUNCTION("vlookup(C358,importrange(""1kw74ismGU34AsZ5x-W4x7F3Zt2xc8NSYcCVMrCJBmdQ"",""DRP for 8 products!B:E""),4,0)"),57.0)</f>
        <v>57</v>
      </c>
      <c r="J358" s="8" t="str">
        <f t="shared" si="1"/>
        <v>Tier 1</v>
      </c>
      <c r="K358" s="9" t="str">
        <f t="shared" si="2"/>
        <v>Active</v>
      </c>
      <c r="L358" s="4" t="str">
        <f>IFERROR(__xludf.DUMMYFUNCTION("vlookup(C358,importrange(""1kw74ismGU34AsZ5x-W4x7F3Zt2xc8NSYcCVMrCJBmdQ"",""DRP for 8 products!B:H""),6,0)"),"BigQuery")</f>
        <v>BigQuery</v>
      </c>
      <c r="M358" s="10" t="str">
        <f t="shared" si="3"/>
        <v>Yes</v>
      </c>
    </row>
    <row r="359">
      <c r="A359" s="4" t="str">
        <f>IFERROR(__xludf.DUMMYFUNCTION("vlookup(C359,IMPORTRANGE(""1Kgoo8qyo6zMtf_5B03ksZz228jg0XpZ4_KXsdHQ4Vks"",""14 Sept!A:B""),2,0)"),"DME2172")</f>
        <v>DME2172</v>
      </c>
      <c r="B359" s="5" t="str">
        <f>IFERROR(__xludf.DUMMYFUNCTION("""COMPUTED_VALUE"""),"Samruddhi Pandhare")</f>
        <v>Samruddhi Pandhare</v>
      </c>
      <c r="C359" s="5" t="str">
        <f>IFERROR(__xludf.DUMMYFUNCTION("""COMPUTED_VALUE"""),"samruddhi.pandhare@onixnet.com")</f>
        <v>samruddhi.pandhare@onixnet.com</v>
      </c>
      <c r="D359" s="4" t="s">
        <v>11</v>
      </c>
      <c r="E359" s="6" t="str">
        <f>IFERROR(__xludf.DUMMYFUNCTION("vlookup($A359,importrange(""1fyGnaViAX9kns28pvsfPvI9925sAI7kxPlM7jpuHVJM"",""Validation!A:Z""),11,0)"),"Delivery Services")</f>
        <v>Delivery Services</v>
      </c>
      <c r="F359" s="6" t="str">
        <f>IFERROR(__xludf.DUMMYFUNCTION("vlookup($A359,importrange(""1fyGnaViAX9kns28pvsfPvI9925sAI7kxPlM7jpuHVJM"",""Validation!A:Z""),23,0)"),"Priyanka Jain")</f>
        <v>Priyanka Jain</v>
      </c>
      <c r="G359" s="6" t="str">
        <f>IFERROR(__xludf.DUMMYFUNCTION("vlookup(A359,importrange(""1fyGnaViAX9kns28pvsfPvI9925sAI7kxPlM7jpuHVJM"",""Validation!A:Z""),22,0)"),"Cluster - Sagar")</f>
        <v>Cluster - Sagar</v>
      </c>
      <c r="H359" s="4" t="str">
        <f>IFERROR(__xludf.DUMMYFUNCTION("vlookup(C359,importrange(""1kw74ismGU34AsZ5x-W4x7F3Zt2xc8NSYcCVMrCJBmdQ"",""DRP for 8 products!B:C""),2,0)"),"ONISPZNS2")</f>
        <v>ONISPZNS2</v>
      </c>
      <c r="I359" s="7">
        <f>IFERROR(__xludf.DUMMYFUNCTION("vlookup(C359,importrange(""1kw74ismGU34AsZ5x-W4x7F3Zt2xc8NSYcCVMrCJBmdQ"",""DRP for 8 products!B:E""),4,0)"),34.0)</f>
        <v>34</v>
      </c>
      <c r="J359" s="8" t="str">
        <f t="shared" si="1"/>
        <v>Tier 3</v>
      </c>
      <c r="K359" s="9" t="str">
        <f t="shared" si="2"/>
        <v>Active</v>
      </c>
      <c r="L359" s="4" t="str">
        <f>IFERROR(__xludf.DUMMYFUNCTION("vlookup(C359,importrange(""1kw74ismGU34AsZ5x-W4x7F3Zt2xc8NSYcCVMrCJBmdQ"",""DRP for 8 products!B:H""),6,0)"),"BigQuery")</f>
        <v>BigQuery</v>
      </c>
      <c r="M359" s="10" t="str">
        <f t="shared" si="3"/>
        <v>Yes</v>
      </c>
    </row>
    <row r="360">
      <c r="A360" s="4" t="str">
        <f>IFERROR(__xludf.DUMMYFUNCTION("vlookup(C360,IMPORTRANGE(""1Kgoo8qyo6zMtf_5B03ksZz228jg0XpZ4_KXsdHQ4Vks"",""14 Sept!A:B""),2,0)"),"DME1844")</f>
        <v>DME1844</v>
      </c>
      <c r="B360" s="5" t="str">
        <f>IFERROR(__xludf.DUMMYFUNCTION("""COMPUTED_VALUE"""),"Avinash Bhagat")</f>
        <v>Avinash Bhagat</v>
      </c>
      <c r="C360" s="5" t="str">
        <f>IFERROR(__xludf.DUMMYFUNCTION("""COMPUTED_VALUE"""),"avinash.bhagat@onixnet.com")</f>
        <v>avinash.bhagat@onixnet.com</v>
      </c>
      <c r="D360" s="4" t="s">
        <v>11</v>
      </c>
      <c r="E360" s="6" t="str">
        <f>IFERROR(__xludf.DUMMYFUNCTION("vlookup($A360,importrange(""1fyGnaViAX9kns28pvsfPvI9925sAI7kxPlM7jpuHVJM"",""Validation!A:Z""),11,0)"),"Delivery Services")</f>
        <v>Delivery Services</v>
      </c>
      <c r="F360" s="6" t="str">
        <f>IFERROR(__xludf.DUMMYFUNCTION("vlookup($A360,importrange(""1fyGnaViAX9kns28pvsfPvI9925sAI7kxPlM7jpuHVJM"",""Validation!A:Z""),23,0)"),"Hemanth Kolluru")</f>
        <v>Hemanth Kolluru</v>
      </c>
      <c r="G360" s="6" t="str">
        <f>IFERROR(__xludf.DUMMYFUNCTION("vlookup(A360,importrange(""1fyGnaViAX9kns28pvsfPvI9925sAI7kxPlM7jpuHVJM"",""Validation!A:Z""),22,0)"),"Cluster - Sachin")</f>
        <v>Cluster - Sachin</v>
      </c>
      <c r="H360" s="4" t="str">
        <f>IFERROR(__xludf.DUMMYFUNCTION("vlookup(C360,importrange(""1kw74ismGU34AsZ5x-W4x7F3Zt2xc8NSYcCVMrCJBmdQ"",""DRP for 8 products!B:C""),2,0)"),"ONIABWXP6")</f>
        <v>ONIABWXP6</v>
      </c>
      <c r="I360" s="7">
        <f>IFERROR(__xludf.DUMMYFUNCTION("vlookup(C360,importrange(""1kw74ismGU34AsZ5x-W4x7F3Zt2xc8NSYcCVMrCJBmdQ"",""DRP for 8 products!B:E""),4,0)"),19.0)</f>
        <v>19</v>
      </c>
      <c r="J360" s="8" t="str">
        <f t="shared" si="1"/>
        <v>Tier 4</v>
      </c>
      <c r="K360" s="9" t="str">
        <f t="shared" si="2"/>
        <v>Active</v>
      </c>
      <c r="L360" s="4" t="str">
        <f>IFERROR(__xludf.DUMMYFUNCTION("vlookup(C360,importrange(""1kw74ismGU34AsZ5x-W4x7F3Zt2xc8NSYcCVMrCJBmdQ"",""DRP for 8 products!B:H""),6,0)"),"BigQuery")</f>
        <v>BigQuery</v>
      </c>
      <c r="M360" s="10" t="str">
        <f t="shared" si="3"/>
        <v>Yes</v>
      </c>
    </row>
    <row r="361">
      <c r="A361" s="4" t="str">
        <f>IFERROR(__xludf.DUMMYFUNCTION("vlookup(C361,IMPORTRANGE(""1Kgoo8qyo6zMtf_5B03ksZz228jg0XpZ4_KXsdHQ4Vks"",""14 Sept!A:B""),2,0)"),"DME2335")</f>
        <v>DME2335</v>
      </c>
      <c r="B361" s="5" t="str">
        <f>IFERROR(__xludf.DUMMYFUNCTION("""COMPUTED_VALUE"""),"Ashwini Parmale")</f>
        <v>Ashwini Parmale</v>
      </c>
      <c r="C361" s="5" t="str">
        <f>IFERROR(__xludf.DUMMYFUNCTION("""COMPUTED_VALUE"""),"ashwini.parmale@onixnet.com")</f>
        <v>ashwini.parmale@onixnet.com</v>
      </c>
      <c r="D361" s="4" t="s">
        <v>11</v>
      </c>
      <c r="E361" s="6" t="str">
        <f>IFERROR(__xludf.DUMMYFUNCTION("vlookup($A361,importrange(""1fyGnaViAX9kns28pvsfPvI9925sAI7kxPlM7jpuHVJM"",""Validation!A:Z""),11,0)"),"Delivery Services")</f>
        <v>Delivery Services</v>
      </c>
      <c r="F361" s="6" t="str">
        <f>IFERROR(__xludf.DUMMYFUNCTION("vlookup($A361,importrange(""1fyGnaViAX9kns28pvsfPvI9925sAI7kxPlM7jpuHVJM"",""Validation!A:Z""),23,0)"),"Jitender Singh")</f>
        <v>Jitender Singh</v>
      </c>
      <c r="G361" s="6" t="str">
        <f>IFERROR(__xludf.DUMMYFUNCTION("vlookup(A361,importrange(""1fyGnaViAX9kns28pvsfPvI9925sAI7kxPlM7jpuHVJM"",""Validation!A:Z""),22,0)"),"Cluster - Gaurav")</f>
        <v>Cluster - Gaurav</v>
      </c>
      <c r="H361" s="4" t="str">
        <f>IFERROR(__xludf.DUMMYFUNCTION("vlookup(C361,importrange(""1kw74ismGU34AsZ5x-W4x7F3Zt2xc8NSYcCVMrCJBmdQ"",""DRP for 8 products!B:C""),2,0)"),"ONIAPWDX7")</f>
        <v>ONIAPWDX7</v>
      </c>
      <c r="I361" s="7">
        <f>IFERROR(__xludf.DUMMYFUNCTION("vlookup(C361,importrange(""1kw74ismGU34AsZ5x-W4x7F3Zt2xc8NSYcCVMrCJBmdQ"",""DRP for 8 products!B:E""),4,0)"),42.0)</f>
        <v>42</v>
      </c>
      <c r="J361" s="8" t="str">
        <f t="shared" si="1"/>
        <v>Tier 2</v>
      </c>
      <c r="K361" s="9" t="str">
        <f t="shared" si="2"/>
        <v>Active</v>
      </c>
      <c r="L361" s="4" t="str">
        <f>IFERROR(__xludf.DUMMYFUNCTION("vlookup(C361,importrange(""1kw74ismGU34AsZ5x-W4x7F3Zt2xc8NSYcCVMrCJBmdQ"",""DRP for 8 products!B:H""),6,0)"),"BigQuery")</f>
        <v>BigQuery</v>
      </c>
      <c r="M361" s="10" t="str">
        <f t="shared" si="3"/>
        <v>Yes</v>
      </c>
    </row>
    <row r="362">
      <c r="A362" s="4" t="str">
        <f>IFERROR(__xludf.DUMMYFUNCTION("vlookup(C362,IMPORTRANGE(""1Kgoo8qyo6zMtf_5B03ksZz228jg0XpZ4_KXsdHQ4Vks"",""14 Sept!A:B""),2,0)"),"DME0885")</f>
        <v>DME0885</v>
      </c>
      <c r="B362" s="5" t="str">
        <f>IFERROR(__xludf.DUMMYFUNCTION("""COMPUTED_VALUE"""),"Nirmal Jain")</f>
        <v>Nirmal Jain</v>
      </c>
      <c r="C362" s="5" t="str">
        <f>IFERROR(__xludf.DUMMYFUNCTION("""COMPUTED_VALUE"""),"nirmal.jain@onixnet.com")</f>
        <v>nirmal.jain@onixnet.com</v>
      </c>
      <c r="D362" s="4" t="s">
        <v>11</v>
      </c>
      <c r="E362" s="6" t="str">
        <f>IFERROR(__xludf.DUMMYFUNCTION("vlookup($A362,importrange(""1fyGnaViAX9kns28pvsfPvI9925sAI7kxPlM7jpuHVJM"",""Validation!A:Z""),11,0)"),"Delivery Services")</f>
        <v>Delivery Services</v>
      </c>
      <c r="F362" s="6" t="str">
        <f>IFERROR(__xludf.DUMMYFUNCTION("vlookup($A362,importrange(""1fyGnaViAX9kns28pvsfPvI9925sAI7kxPlM7jpuHVJM"",""Validation!A:Z""),23,0)"),"Vedant Bhogawade")</f>
        <v>Vedant Bhogawade</v>
      </c>
      <c r="G362" s="6" t="str">
        <f>IFERROR(__xludf.DUMMYFUNCTION("vlookup(A362,importrange(""1fyGnaViAX9kns28pvsfPvI9925sAI7kxPlM7jpuHVJM"",""Validation!A:Z""),22,0)"),"Cluster - Varun")</f>
        <v>Cluster - Varun</v>
      </c>
      <c r="H362" s="4" t="str">
        <f>IFERROR(__xludf.DUMMYFUNCTION("vlookup(C362,importrange(""1kw74ismGU34AsZ5x-W4x7F3Zt2xc8NSYcCVMrCJBmdQ"",""DRP for 8 products!B:C""),2,0)"),"ONINJKNX4")</f>
        <v>ONINJKNX4</v>
      </c>
      <c r="I362" s="7">
        <f>IFERROR(__xludf.DUMMYFUNCTION("vlookup(C362,importrange(""1kw74ismGU34AsZ5x-W4x7F3Zt2xc8NSYcCVMrCJBmdQ"",""DRP for 8 products!B:E""),4,0)"),14.0)</f>
        <v>14</v>
      </c>
      <c r="J362" s="8" t="str">
        <f t="shared" si="1"/>
        <v>Tier 4</v>
      </c>
      <c r="K362" s="9" t="str">
        <f t="shared" si="2"/>
        <v>Active</v>
      </c>
      <c r="L362" s="4" t="str">
        <f>IFERROR(__xludf.DUMMYFUNCTION("vlookup(C362,importrange(""1kw74ismGU34AsZ5x-W4x7F3Zt2xc8NSYcCVMrCJBmdQ"",""DRP for 8 products!B:H""),6,0)"),"BigQuery")</f>
        <v>BigQuery</v>
      </c>
      <c r="M362" s="10" t="str">
        <f t="shared" si="3"/>
        <v>Yes</v>
      </c>
    </row>
    <row r="363">
      <c r="A363" s="4" t="str">
        <f>IFERROR(__xludf.DUMMYFUNCTION("vlookup(C363,IMPORTRANGE(""1Kgoo8qyo6zMtf_5B03ksZz228jg0XpZ4_KXsdHQ4Vks"",""14 Sept!A:B""),2,0)"),"DME0887")</f>
        <v>DME0887</v>
      </c>
      <c r="B363" s="5" t="str">
        <f>IFERROR(__xludf.DUMMYFUNCTION("""COMPUTED_VALUE"""),"Aarti Borhade")</f>
        <v>Aarti Borhade</v>
      </c>
      <c r="C363" s="5" t="str">
        <f>IFERROR(__xludf.DUMMYFUNCTION("""COMPUTED_VALUE"""),"aarti.borhade@onixnet.com")</f>
        <v>aarti.borhade@onixnet.com</v>
      </c>
      <c r="D363" s="4" t="s">
        <v>11</v>
      </c>
      <c r="E363" s="6" t="str">
        <f>IFERROR(__xludf.DUMMYFUNCTION("vlookup($A363,importrange(""1fyGnaViAX9kns28pvsfPvI9925sAI7kxPlM7jpuHVJM"",""Validation!A:Z""),11,0)"),"Delivery Services")</f>
        <v>Delivery Services</v>
      </c>
      <c r="F363" s="6" t="str">
        <f>IFERROR(__xludf.DUMMYFUNCTION("vlookup($A363,importrange(""1fyGnaViAX9kns28pvsfPvI9925sAI7kxPlM7jpuHVJM"",""Validation!A:Z""),23,0)"),"Rahul Chandak")</f>
        <v>Rahul Chandak</v>
      </c>
      <c r="G363" s="6" t="str">
        <f>IFERROR(__xludf.DUMMYFUNCTION("vlookup(A363,importrange(""1fyGnaViAX9kns28pvsfPvI9925sAI7kxPlM7jpuHVJM"",""Validation!A:Z""),22,0)"),"Cluster - Sagar")</f>
        <v>Cluster - Sagar</v>
      </c>
      <c r="H363" s="4" t="str">
        <f>IFERROR(__xludf.DUMMYFUNCTION("vlookup(C363,importrange(""1kw74ismGU34AsZ5x-W4x7F3Zt2xc8NSYcCVMrCJBmdQ"",""DRP for 8 products!B:C""),2,0)"),"ONIABMDO8")</f>
        <v>ONIABMDO8</v>
      </c>
      <c r="I363" s="7">
        <f>IFERROR(__xludf.DUMMYFUNCTION("vlookup(C363,importrange(""1kw74ismGU34AsZ5x-W4x7F3Zt2xc8NSYcCVMrCJBmdQ"",""DRP for 8 products!B:E""),4,0)"),49.0)</f>
        <v>49</v>
      </c>
      <c r="J363" s="8" t="str">
        <f t="shared" si="1"/>
        <v>Tier 2</v>
      </c>
      <c r="K363" s="9" t="str">
        <f t="shared" si="2"/>
        <v>Active</v>
      </c>
      <c r="L363" s="4" t="str">
        <f>IFERROR(__xludf.DUMMYFUNCTION("vlookup(C363,importrange(""1kw74ismGU34AsZ5x-W4x7F3Zt2xc8NSYcCVMrCJBmdQ"",""DRP for 8 products!B:H""),6,0)"),"BigQuery")</f>
        <v>BigQuery</v>
      </c>
      <c r="M363" s="10" t="str">
        <f t="shared" si="3"/>
        <v>Yes</v>
      </c>
    </row>
    <row r="364">
      <c r="A364" s="4" t="str">
        <f>IFERROR(__xludf.DUMMYFUNCTION("vlookup(C364,IMPORTRANGE(""1Kgoo8qyo6zMtf_5B03ksZz228jg0XpZ4_KXsdHQ4Vks"",""14 Sept!A:B""),2,0)"),"DME2600")</f>
        <v>DME2600</v>
      </c>
      <c r="B364" s="5" t="str">
        <f>IFERROR(__xludf.DUMMYFUNCTION("""COMPUTED_VALUE"""),"SONALI MORE")</f>
        <v>SONALI MORE</v>
      </c>
      <c r="C364" s="5" t="str">
        <f>IFERROR(__xludf.DUMMYFUNCTION("""COMPUTED_VALUE"""),"sonali.more@onixnet.com")</f>
        <v>sonali.more@onixnet.com</v>
      </c>
      <c r="D364" s="4" t="s">
        <v>11</v>
      </c>
      <c r="E364" s="6" t="str">
        <f>IFERROR(__xludf.DUMMYFUNCTION("vlookup($A364,importrange(""1fyGnaViAX9kns28pvsfPvI9925sAI7kxPlM7jpuHVJM"",""Validation!A:Z""),11,0)"),"Delivery Services")</f>
        <v>Delivery Services</v>
      </c>
      <c r="F364" s="6" t="str">
        <f>IFERROR(__xludf.DUMMYFUNCTION("vlookup($A364,importrange(""1fyGnaViAX9kns28pvsfPvI9925sAI7kxPlM7jpuHVJM"",""Validation!A:Z""),23,0)"),"Pritesh Chaudhari")</f>
        <v>Pritesh Chaudhari</v>
      </c>
      <c r="G364" s="6" t="str">
        <f>IFERROR(__xludf.DUMMYFUNCTION("vlookup(A364,importrange(""1fyGnaViAX9kns28pvsfPvI9925sAI7kxPlM7jpuHVJM"",""Validation!A:Z""),22,0)"),"Cluster - Sagar")</f>
        <v>Cluster - Sagar</v>
      </c>
      <c r="H364" s="4" t="str">
        <f>IFERROR(__xludf.DUMMYFUNCTION("vlookup(C364,importrange(""1kw74ismGU34AsZ5x-W4x7F3Zt2xc8NSYcCVMrCJBmdQ"",""DRP for 8 products!B:C""),2,0)"),"ONISMAGK8")</f>
        <v>ONISMAGK8</v>
      </c>
      <c r="I364" s="7">
        <f>IFERROR(__xludf.DUMMYFUNCTION("vlookup(C364,importrange(""1kw74ismGU34AsZ5x-W4x7F3Zt2xc8NSYcCVMrCJBmdQ"",""DRP for 8 products!B:E""),4,0)"),15.0)</f>
        <v>15</v>
      </c>
      <c r="J364" s="8" t="str">
        <f t="shared" si="1"/>
        <v>Tier 4</v>
      </c>
      <c r="K364" s="9" t="str">
        <f t="shared" si="2"/>
        <v>Active</v>
      </c>
      <c r="L364" s="4" t="str">
        <f>IFERROR(__xludf.DUMMYFUNCTION("vlookup(C364,importrange(""1kw74ismGU34AsZ5x-W4x7F3Zt2xc8NSYcCVMrCJBmdQ"",""DRP for 8 products!B:H""),6,0)"),"AlloyDB for PostgreSQL")</f>
        <v>AlloyDB for PostgreSQL</v>
      </c>
      <c r="M364" s="10" t="str">
        <f t="shared" si="3"/>
        <v>Yes</v>
      </c>
    </row>
    <row r="365">
      <c r="A365" s="4" t="str">
        <f>IFERROR(__xludf.DUMMYFUNCTION("vlookup(C365,IMPORTRANGE(""1Kgoo8qyo6zMtf_5B03ksZz228jg0XpZ4_KXsdHQ4Vks"",""14 Sept!A:B""),2,0)"),"DME1663")</f>
        <v>DME1663</v>
      </c>
      <c r="B365" s="5" t="str">
        <f>IFERROR(__xludf.DUMMYFUNCTION("""COMPUTED_VALUE"""),"Prashant Shinde")</f>
        <v>Prashant Shinde</v>
      </c>
      <c r="C365" s="5" t="str">
        <f>IFERROR(__xludf.DUMMYFUNCTION("""COMPUTED_VALUE"""),"prashant.shinde@onixnet.com")</f>
        <v>prashant.shinde@onixnet.com</v>
      </c>
      <c r="D365" s="4" t="s">
        <v>11</v>
      </c>
      <c r="E365" s="6" t="str">
        <f>IFERROR(__xludf.DUMMYFUNCTION("vlookup($A365,importrange(""1fyGnaViAX9kns28pvsfPvI9925sAI7kxPlM7jpuHVJM"",""Validation!A:Z""),11,0)"),"Delivery Services")</f>
        <v>Delivery Services</v>
      </c>
      <c r="F365" s="6" t="str">
        <f>IFERROR(__xludf.DUMMYFUNCTION("vlookup($A365,importrange(""1fyGnaViAX9kns28pvsfPvI9925sAI7kxPlM7jpuHVJM"",""Validation!A:Z""),23,0)"),"Jitender Singh")</f>
        <v>Jitender Singh</v>
      </c>
      <c r="G365" s="6" t="str">
        <f>IFERROR(__xludf.DUMMYFUNCTION("vlookup(A365,importrange(""1fyGnaViAX9kns28pvsfPvI9925sAI7kxPlM7jpuHVJM"",""Validation!A:Z""),22,0)"),"Cluster - Gaurav")</f>
        <v>Cluster - Gaurav</v>
      </c>
      <c r="H365" s="4" t="str">
        <f>IFERROR(__xludf.DUMMYFUNCTION("vlookup(C365,importrange(""1kw74ismGU34AsZ5x-W4x7F3Zt2xc8NSYcCVMrCJBmdQ"",""DRP for 8 products!B:C""),2,0)"),"ONIPSBXB6")</f>
        <v>ONIPSBXB6</v>
      </c>
      <c r="I365" s="7">
        <f>IFERROR(__xludf.DUMMYFUNCTION("vlookup(C365,importrange(""1kw74ismGU34AsZ5x-W4x7F3Zt2xc8NSYcCVMrCJBmdQ"",""DRP for 8 products!B:E""),4,0)"),29.0)</f>
        <v>29</v>
      </c>
      <c r="J365" s="8" t="str">
        <f t="shared" si="1"/>
        <v>Tier 3</v>
      </c>
      <c r="K365" s="9" t="str">
        <f t="shared" si="2"/>
        <v>Active</v>
      </c>
      <c r="L365" s="4" t="str">
        <f>IFERROR(__xludf.DUMMYFUNCTION("vlookup(C365,importrange(""1kw74ismGU34AsZ5x-W4x7F3Zt2xc8NSYcCVMrCJBmdQ"",""DRP for 8 products!B:H""),6,0)"),"BigQuery")</f>
        <v>BigQuery</v>
      </c>
      <c r="M365" s="10" t="str">
        <f t="shared" si="3"/>
        <v>Yes</v>
      </c>
    </row>
    <row r="366">
      <c r="A366" s="4" t="str">
        <f>IFERROR(__xludf.DUMMYFUNCTION("vlookup(C366,IMPORTRANGE(""1Kgoo8qyo6zMtf_5B03ksZz228jg0XpZ4_KXsdHQ4Vks"",""14 Sept!A:B""),2,0)"),"DME1063")</f>
        <v>DME1063</v>
      </c>
      <c r="B366" s="5" t="str">
        <f>IFERROR(__xludf.DUMMYFUNCTION("""COMPUTED_VALUE"""),"Prerna Sharma")</f>
        <v>Prerna Sharma</v>
      </c>
      <c r="C366" s="5" t="str">
        <f>IFERROR(__xludf.DUMMYFUNCTION("""COMPUTED_VALUE"""),"prerna.sharma@onixnet.com")</f>
        <v>prerna.sharma@onixnet.com</v>
      </c>
      <c r="D366" s="4" t="s">
        <v>11</v>
      </c>
      <c r="E366" s="6" t="str">
        <f>IFERROR(__xludf.DUMMYFUNCTION("vlookup($A366,importrange(""1fyGnaViAX9kns28pvsfPvI9925sAI7kxPlM7jpuHVJM"",""Validation!A:Z""),11,0)"),"Delivery Services")</f>
        <v>Delivery Services</v>
      </c>
      <c r="F366" s="6" t="str">
        <f>IFERROR(__xludf.DUMMYFUNCTION("vlookup($A366,importrange(""1fyGnaViAX9kns28pvsfPvI9925sAI7kxPlM7jpuHVJM"",""Validation!A:Z""),23,0)"),"Prasad Pramod Kulkarni")</f>
        <v>Prasad Pramod Kulkarni</v>
      </c>
      <c r="G366" s="6" t="str">
        <f>IFERROR(__xludf.DUMMYFUNCTION("vlookup(A366,importrange(""1fyGnaViAX9kns28pvsfPvI9925sAI7kxPlM7jpuHVJM"",""Validation!A:Z""),22,0)"),"Cluster - Sagar")</f>
        <v>Cluster - Sagar</v>
      </c>
      <c r="H366" s="4" t="str">
        <f>IFERROR(__xludf.DUMMYFUNCTION("vlookup(C366,importrange(""1kw74ismGU34AsZ5x-W4x7F3Zt2xc8NSYcCVMrCJBmdQ"",""DRP for 8 products!B:C""),2,0)"),"ONIPSSLN3")</f>
        <v>ONIPSSLN3</v>
      </c>
      <c r="I366" s="7">
        <f>IFERROR(__xludf.DUMMYFUNCTION("vlookup(C366,importrange(""1kw74ismGU34AsZ5x-W4x7F3Zt2xc8NSYcCVMrCJBmdQ"",""DRP for 8 products!B:E""),4,0)"),59.0)</f>
        <v>59</v>
      </c>
      <c r="J366" s="8" t="str">
        <f t="shared" si="1"/>
        <v>Tier 1</v>
      </c>
      <c r="K366" s="9" t="str">
        <f t="shared" si="2"/>
        <v>Active</v>
      </c>
      <c r="L366" s="4" t="str">
        <f>IFERROR(__xludf.DUMMYFUNCTION("vlookup(C366,importrange(""1kw74ismGU34AsZ5x-W4x7F3Zt2xc8NSYcCVMrCJBmdQ"",""DRP for 8 products!B:H""),6,0)"),"BigQuery")</f>
        <v>BigQuery</v>
      </c>
      <c r="M366" s="10" t="str">
        <f t="shared" si="3"/>
        <v>Yes</v>
      </c>
    </row>
    <row r="367">
      <c r="A367" s="4" t="str">
        <f>IFERROR(__xludf.DUMMYFUNCTION("vlookup(C367,IMPORTRANGE(""1Kgoo8qyo6zMtf_5B03ksZz228jg0XpZ4_KXsdHQ4Vks"",""14 Sept!A:B""),2,0)"),"DME1617")</f>
        <v>DME1617</v>
      </c>
      <c r="B367" s="5" t="str">
        <f>IFERROR(__xludf.DUMMYFUNCTION("""COMPUTED_VALUE"""),"Yogesh Phalke")</f>
        <v>Yogesh Phalke</v>
      </c>
      <c r="C367" s="5" t="str">
        <f>IFERROR(__xludf.DUMMYFUNCTION("""COMPUTED_VALUE"""),"yogesh.phalke@onixnet.com")</f>
        <v>yogesh.phalke@onixnet.com</v>
      </c>
      <c r="D367" s="4" t="s">
        <v>11</v>
      </c>
      <c r="E367" s="6" t="str">
        <f>IFERROR(__xludf.DUMMYFUNCTION("vlookup($A367,importrange(""1fyGnaViAX9kns28pvsfPvI9925sAI7kxPlM7jpuHVJM"",""Validation!A:Z""),11,0)"),"Delivery Services")</f>
        <v>Delivery Services</v>
      </c>
      <c r="F367" s="6" t="str">
        <f>IFERROR(__xludf.DUMMYFUNCTION("vlookup($A367,importrange(""1fyGnaViAX9kns28pvsfPvI9925sAI7kxPlM7jpuHVJM"",""Validation!A:Z""),23,0)"),"Prasad Pramod Kulkarni")</f>
        <v>Prasad Pramod Kulkarni</v>
      </c>
      <c r="G367" s="6" t="str">
        <f>IFERROR(__xludf.DUMMYFUNCTION("vlookup(A367,importrange(""1fyGnaViAX9kns28pvsfPvI9925sAI7kxPlM7jpuHVJM"",""Validation!A:Z""),22,0)"),"Cluster - Sagar")</f>
        <v>Cluster - Sagar</v>
      </c>
      <c r="H367" s="4" t="str">
        <f>IFERROR(__xludf.DUMMYFUNCTION("vlookup(C367,importrange(""1kw74ismGU34AsZ5x-W4x7F3Zt2xc8NSYcCVMrCJBmdQ"",""DRP for 8 products!B:C""),2,0)"),"ONIYPSRY9")</f>
        <v>ONIYPSRY9</v>
      </c>
      <c r="I367" s="7">
        <f>IFERROR(__xludf.DUMMYFUNCTION("vlookup(C367,importrange(""1kw74ismGU34AsZ5x-W4x7F3Zt2xc8NSYcCVMrCJBmdQ"",""DRP for 8 products!B:E""),4,0)"),55.0)</f>
        <v>55</v>
      </c>
      <c r="J367" s="8" t="str">
        <f t="shared" si="1"/>
        <v>Tier 1</v>
      </c>
      <c r="K367" s="9" t="str">
        <f t="shared" si="2"/>
        <v>Active</v>
      </c>
      <c r="L367" s="4" t="str">
        <f>IFERROR(__xludf.DUMMYFUNCTION("vlookup(C367,importrange(""1kw74ismGU34AsZ5x-W4x7F3Zt2xc8NSYcCVMrCJBmdQ"",""DRP for 8 products!B:H""),6,0)"),"BigQuery")</f>
        <v>BigQuery</v>
      </c>
      <c r="M367" s="10" t="str">
        <f t="shared" si="3"/>
        <v>Yes</v>
      </c>
    </row>
    <row r="368">
      <c r="A368" s="4" t="str">
        <f>IFERROR(__xludf.DUMMYFUNCTION("vlookup(C368,IMPORTRANGE(""1Kgoo8qyo6zMtf_5B03ksZz228jg0XpZ4_KXsdHQ4Vks"",""14 Sept!A:B""),2,0)"),"DME2537")</f>
        <v>DME2537</v>
      </c>
      <c r="B368" s="5" t="str">
        <f>IFERROR(__xludf.DUMMYFUNCTION("""COMPUTED_VALUE"""),"Pratiksha Ithape")</f>
        <v>Pratiksha Ithape</v>
      </c>
      <c r="C368" s="5" t="str">
        <f>IFERROR(__xludf.DUMMYFUNCTION("""COMPUTED_VALUE"""),"pratiksha.ithape1@onixnet.com")</f>
        <v>pratiksha.ithape1@onixnet.com</v>
      </c>
      <c r="D368" s="4" t="s">
        <v>11</v>
      </c>
      <c r="E368" s="6" t="str">
        <f>IFERROR(__xludf.DUMMYFUNCTION("vlookup($A368,importrange(""1fyGnaViAX9kns28pvsfPvI9925sAI7kxPlM7jpuHVJM"",""Validation!A:Z""),11,0)"),"Delivery Services")</f>
        <v>Delivery Services</v>
      </c>
      <c r="F368" s="6" t="str">
        <f>IFERROR(__xludf.DUMMYFUNCTION("vlookup($A368,importrange(""1fyGnaViAX9kns28pvsfPvI9925sAI7kxPlM7jpuHVJM"",""Validation!A:Z""),23,0)"),"Bhagyashri Paralkar")</f>
        <v>Bhagyashri Paralkar</v>
      </c>
      <c r="G368" s="6" t="str">
        <f>IFERROR(__xludf.DUMMYFUNCTION("vlookup(A368,importrange(""1fyGnaViAX9kns28pvsfPvI9925sAI7kxPlM7jpuHVJM"",""Validation!A:Z""),22,0)"),"Cluster - Sagar")</f>
        <v>Cluster - Sagar</v>
      </c>
      <c r="H368" s="4" t="str">
        <f>IFERROR(__xludf.DUMMYFUNCTION("vlookup(C368,importrange(""1kw74ismGU34AsZ5x-W4x7F3Zt2xc8NSYcCVMrCJBmdQ"",""DRP for 8 products!B:C""),2,0)"),"ONIPIRGK0")</f>
        <v>ONIPIRGK0</v>
      </c>
      <c r="I368" s="7">
        <f>IFERROR(__xludf.DUMMYFUNCTION("vlookup(C368,importrange(""1kw74ismGU34AsZ5x-W4x7F3Zt2xc8NSYcCVMrCJBmdQ"",""DRP for 8 products!B:E""),4,0)"),43.0)</f>
        <v>43</v>
      </c>
      <c r="J368" s="8" t="str">
        <f t="shared" si="1"/>
        <v>Tier 2</v>
      </c>
      <c r="K368" s="9" t="str">
        <f t="shared" si="2"/>
        <v>Active</v>
      </c>
      <c r="L368" s="4" t="str">
        <f>IFERROR(__xludf.DUMMYFUNCTION("vlookup(C368,importrange(""1kw74ismGU34AsZ5x-W4x7F3Zt2xc8NSYcCVMrCJBmdQ"",""DRP for 8 products!B:H""),6,0)"),"BigQuery")</f>
        <v>BigQuery</v>
      </c>
      <c r="M368" s="10" t="str">
        <f t="shared" si="3"/>
        <v>Yes</v>
      </c>
    </row>
    <row r="369">
      <c r="A369" s="4" t="str">
        <f>IFERROR(__xludf.DUMMYFUNCTION("vlookup(C369,IMPORTRANGE(""1Kgoo8qyo6zMtf_5B03ksZz228jg0XpZ4_KXsdHQ4Vks"",""14 Sept!A:B""),2,0)"),"DME2382")</f>
        <v>DME2382</v>
      </c>
      <c r="B369" s="5" t="str">
        <f>IFERROR(__xludf.DUMMYFUNCTION("""COMPUTED_VALUE"""),"Sharayu Naladkar")</f>
        <v>Sharayu Naladkar</v>
      </c>
      <c r="C369" s="5" t="str">
        <f>IFERROR(__xludf.DUMMYFUNCTION("""COMPUTED_VALUE"""),"sharayu.naladkar@onixnet.com")</f>
        <v>sharayu.naladkar@onixnet.com</v>
      </c>
      <c r="D369" s="4" t="s">
        <v>11</v>
      </c>
      <c r="E369" s="6" t="str">
        <f>IFERROR(__xludf.DUMMYFUNCTION("vlookup($A369,importrange(""1fyGnaViAX9kns28pvsfPvI9925sAI7kxPlM7jpuHVJM"",""Validation!A:Z""),11,0)"),"Delivery Services")</f>
        <v>Delivery Services</v>
      </c>
      <c r="F369" s="6" t="str">
        <f>IFERROR(__xludf.DUMMYFUNCTION("vlookup($A369,importrange(""1fyGnaViAX9kns28pvsfPvI9925sAI7kxPlM7jpuHVJM"",""Validation!A:Z""),23,0)"),"Suresh Shankar Rasal")</f>
        <v>Suresh Shankar Rasal</v>
      </c>
      <c r="G369" s="6" t="str">
        <f>IFERROR(__xludf.DUMMYFUNCTION("vlookup(A369,importrange(""1fyGnaViAX9kns28pvsfPvI9925sAI7kxPlM7jpuHVJM"",""Validation!A:Z""),22,0)"),"Cluster - Gaurav")</f>
        <v>Cluster - Gaurav</v>
      </c>
      <c r="H369" s="4" t="str">
        <f>IFERROR(__xludf.DUMMYFUNCTION("vlookup(C369,importrange(""1kw74ismGU34AsZ5x-W4x7F3Zt2xc8NSYcCVMrCJBmdQ"",""DRP for 8 products!B:C""),2,0)"),"ONISNVTJ1")</f>
        <v>ONISNVTJ1</v>
      </c>
      <c r="I369" s="7">
        <f>IFERROR(__xludf.DUMMYFUNCTION("vlookup(C369,importrange(""1kw74ismGU34AsZ5x-W4x7F3Zt2xc8NSYcCVMrCJBmdQ"",""DRP for 8 products!B:E""),4,0)"),19.0)</f>
        <v>19</v>
      </c>
      <c r="J369" s="8" t="str">
        <f t="shared" si="1"/>
        <v>Tier 4</v>
      </c>
      <c r="K369" s="9" t="str">
        <f t="shared" si="2"/>
        <v>Active</v>
      </c>
      <c r="L369" s="4" t="str">
        <f>IFERROR(__xludf.DUMMYFUNCTION("vlookup(C369,importrange(""1kw74ismGU34AsZ5x-W4x7F3Zt2xc8NSYcCVMrCJBmdQ"",""DRP for 8 products!B:H""),6,0)"),"BigQuery")</f>
        <v>BigQuery</v>
      </c>
      <c r="M369" s="10" t="str">
        <f t="shared" si="3"/>
        <v>Yes</v>
      </c>
    </row>
    <row r="370">
      <c r="A370" s="4" t="str">
        <f>IFERROR(__xludf.DUMMYFUNCTION("vlookup(C370,IMPORTRANGE(""1Kgoo8qyo6zMtf_5B03ksZz228jg0XpZ4_KXsdHQ4Vks"",""14 Sept!A:B""),2,0)"),"DME2547")</f>
        <v>DME2547</v>
      </c>
      <c r="B370" s="5" t="str">
        <f>IFERROR(__xludf.DUMMYFUNCTION("""COMPUTED_VALUE"""),"Vikas Dhakne")</f>
        <v>Vikas Dhakne</v>
      </c>
      <c r="C370" s="5" t="str">
        <f>IFERROR(__xludf.DUMMYFUNCTION("""COMPUTED_VALUE"""),"vikas.dhakne@onixnet.com")</f>
        <v>vikas.dhakne@onixnet.com</v>
      </c>
      <c r="D370" s="4" t="s">
        <v>11</v>
      </c>
      <c r="E370" s="6" t="str">
        <f>IFERROR(__xludf.DUMMYFUNCTION("vlookup($A370,importrange(""1fyGnaViAX9kns28pvsfPvI9925sAI7kxPlM7jpuHVJM"",""Validation!A:Z""),11,0)"),"Delivery Services")</f>
        <v>Delivery Services</v>
      </c>
      <c r="F370" s="6" t="str">
        <f>IFERROR(__xludf.DUMMYFUNCTION("vlookup($A370,importrange(""1fyGnaViAX9kns28pvsfPvI9925sAI7kxPlM7jpuHVJM"",""Validation!A:Z""),23,0)"),"Anand Saraf")</f>
        <v>Anand Saraf</v>
      </c>
      <c r="G370" s="6" t="str">
        <f>IFERROR(__xludf.DUMMYFUNCTION("vlookup(A370,importrange(""1fyGnaViAX9kns28pvsfPvI9925sAI7kxPlM7jpuHVJM"",""Validation!A:Z""),22,0)"),"Cluster - Sachin")</f>
        <v>Cluster - Sachin</v>
      </c>
      <c r="H370" s="4" t="str">
        <f>IFERROR(__xludf.DUMMYFUNCTION("vlookup(C370,importrange(""1kw74ismGU34AsZ5x-W4x7F3Zt2xc8NSYcCVMrCJBmdQ"",""DRP for 8 products!B:C""),2,0)"),"ONIVDMLX0")</f>
        <v>ONIVDMLX0</v>
      </c>
      <c r="I370" s="7">
        <f>IFERROR(__xludf.DUMMYFUNCTION("vlookup(C370,importrange(""1kw74ismGU34AsZ5x-W4x7F3Zt2xc8NSYcCVMrCJBmdQ"",""DRP for 8 products!B:E""),4,0)"),62.0)</f>
        <v>62</v>
      </c>
      <c r="J370" s="8" t="str">
        <f t="shared" si="1"/>
        <v>Tier 1</v>
      </c>
      <c r="K370" s="9" t="str">
        <f t="shared" si="2"/>
        <v>Active</v>
      </c>
      <c r="L370" s="4" t="str">
        <f>IFERROR(__xludf.DUMMYFUNCTION("vlookup(C370,importrange(""1kw74ismGU34AsZ5x-W4x7F3Zt2xc8NSYcCVMrCJBmdQ"",""DRP for 8 products!B:H""),6,0)"),"BigQuery")</f>
        <v>BigQuery</v>
      </c>
      <c r="M370" s="10" t="str">
        <f t="shared" si="3"/>
        <v>Yes</v>
      </c>
    </row>
    <row r="371">
      <c r="A371" s="4" t="str">
        <f>IFERROR(__xludf.DUMMYFUNCTION("vlookup(C371,IMPORTRANGE(""1Kgoo8qyo6zMtf_5B03ksZz228jg0XpZ4_KXsdHQ4Vks"",""14 Sept!A:B""),2,0)"),"DME1430")</f>
        <v>DME1430</v>
      </c>
      <c r="B371" s="5" t="str">
        <f>IFERROR(__xludf.DUMMYFUNCTION("""COMPUTED_VALUE"""),"ANIL SUTAR")</f>
        <v>ANIL SUTAR</v>
      </c>
      <c r="C371" s="5" t="str">
        <f>IFERROR(__xludf.DUMMYFUNCTION("""COMPUTED_VALUE"""),"anil.sutar@onixnet.com")</f>
        <v>anil.sutar@onixnet.com</v>
      </c>
      <c r="D371" s="4" t="s">
        <v>11</v>
      </c>
      <c r="E371" s="6" t="str">
        <f>IFERROR(__xludf.DUMMYFUNCTION("vlookup($A371,importrange(""1fyGnaViAX9kns28pvsfPvI9925sAI7kxPlM7jpuHVJM"",""Validation!A:Z""),11,0)"),"Delivery Services")</f>
        <v>Delivery Services</v>
      </c>
      <c r="F371" s="6" t="str">
        <f>IFERROR(__xludf.DUMMYFUNCTION("vlookup($A371,importrange(""1fyGnaViAX9kns28pvsfPvI9925sAI7kxPlM7jpuHVJM"",""Validation!A:Z""),23,0)"),"Rabindra Nayak")</f>
        <v>Rabindra Nayak</v>
      </c>
      <c r="G371" s="6" t="str">
        <f>IFERROR(__xludf.DUMMYFUNCTION("vlookup(A371,importrange(""1fyGnaViAX9kns28pvsfPvI9925sAI7kxPlM7jpuHVJM"",""Validation!A:Z""),22,0)"),"Cluster - Sagar")</f>
        <v>Cluster - Sagar</v>
      </c>
      <c r="H371" s="4" t="str">
        <f>IFERROR(__xludf.DUMMYFUNCTION("vlookup(C371,importrange(""1kw74ismGU34AsZ5x-W4x7F3Zt2xc8NSYcCVMrCJBmdQ"",""DRP for 8 products!B:C""),2,0)"),"ONIASGEA6")</f>
        <v>ONIASGEA6</v>
      </c>
      <c r="I371" s="7">
        <f>IFERROR(__xludf.DUMMYFUNCTION("vlookup(C371,importrange(""1kw74ismGU34AsZ5x-W4x7F3Zt2xc8NSYcCVMrCJBmdQ"",""DRP for 8 products!B:E""),4,0)"),29.0)</f>
        <v>29</v>
      </c>
      <c r="J371" s="8" t="str">
        <f t="shared" si="1"/>
        <v>Tier 3</v>
      </c>
      <c r="K371" s="9" t="str">
        <f t="shared" si="2"/>
        <v>Active</v>
      </c>
      <c r="L371" s="4" t="str">
        <f>IFERROR(__xludf.DUMMYFUNCTION("vlookup(C371,importrange(""1kw74ismGU34AsZ5x-W4x7F3Zt2xc8NSYcCVMrCJBmdQ"",""DRP for 8 products!B:H""),6,0)"),"BigQuery")</f>
        <v>BigQuery</v>
      </c>
      <c r="M371" s="10" t="str">
        <f t="shared" si="3"/>
        <v>Yes</v>
      </c>
    </row>
    <row r="372">
      <c r="A372" s="4" t="str">
        <f>IFERROR(__xludf.DUMMYFUNCTION("vlookup(C372,IMPORTRANGE(""1Kgoo8qyo6zMtf_5B03ksZz228jg0XpZ4_KXsdHQ4Vks"",""14 Sept!A:B""),2,0)"),"ONIX867")</f>
        <v>ONIX867</v>
      </c>
      <c r="B372" s="5" t="str">
        <f>IFERROR(__xludf.DUMMYFUNCTION("""COMPUTED_VALUE"""),"Aniket Ujawane")</f>
        <v>Aniket Ujawane</v>
      </c>
      <c r="C372" s="5" t="str">
        <f>IFERROR(__xludf.DUMMYFUNCTION("""COMPUTED_VALUE"""),"aniket.ujawane@onixnet.com")</f>
        <v>aniket.ujawane@onixnet.com</v>
      </c>
      <c r="D372" s="4" t="s">
        <v>11</v>
      </c>
      <c r="E372" s="6" t="str">
        <f>IFERROR(__xludf.DUMMYFUNCTION("vlookup($A372,importrange(""1fyGnaViAX9kns28pvsfPvI9925sAI7kxPlM7jpuHVJM"",""Validation!A:Z""),11,0)"),"Delivery")</f>
        <v>Delivery</v>
      </c>
      <c r="F372" s="6" t="str">
        <f>IFERROR(__xludf.DUMMYFUNCTION("vlookup($A372,importrange(""1fyGnaViAX9kns28pvsfPvI9925sAI7kxPlM7jpuHVJM"",""Validation!A:Z""),23,0)"),"Hemalatha Krishnan")</f>
        <v>Hemalatha Krishnan</v>
      </c>
      <c r="G372" s="6" t="str">
        <f>IFERROR(__xludf.DUMMYFUNCTION("vlookup(A372,importrange(""1fyGnaViAX9kns28pvsfPvI9925sAI7kxPlM7jpuHVJM"",""Validation!A:Z""),22,0)"),"Portfolio - Kanth")</f>
        <v>Portfolio - Kanth</v>
      </c>
      <c r="H372" s="4" t="str">
        <f>IFERROR(__xludf.DUMMYFUNCTION("vlookup(C372,importrange(""1kw74ismGU34AsZ5x-W4x7F3Zt2xc8NSYcCVMrCJBmdQ"",""DRP for 8 products!B:C""),2,0)"),"ONIAUVVJ1")</f>
        <v>ONIAUVVJ1</v>
      </c>
      <c r="I372" s="7">
        <f>IFERROR(__xludf.DUMMYFUNCTION("vlookup(C372,importrange(""1kw74ismGU34AsZ5x-W4x7F3Zt2xc8NSYcCVMrCJBmdQ"",""DRP for 8 products!B:E""),4,0)"),60.0)</f>
        <v>60</v>
      </c>
      <c r="J372" s="8" t="str">
        <f t="shared" si="1"/>
        <v>Tier 1</v>
      </c>
      <c r="K372" s="9" t="str">
        <f t="shared" si="2"/>
        <v>Active</v>
      </c>
      <c r="L372" s="4" t="str">
        <f>IFERROR(__xludf.DUMMYFUNCTION("vlookup(C372,importrange(""1kw74ismGU34AsZ5x-W4x7F3Zt2xc8NSYcCVMrCJBmdQ"",""DRP for 8 products!B:H""),6,0)"),"BigQuery")</f>
        <v>BigQuery</v>
      </c>
      <c r="M372" s="10" t="str">
        <f t="shared" si="3"/>
        <v>Yes</v>
      </c>
    </row>
    <row r="373">
      <c r="A373" s="4" t="str">
        <f>IFERROR(__xludf.DUMMYFUNCTION("vlookup(C373,IMPORTRANGE(""1Kgoo8qyo6zMtf_5B03ksZz228jg0XpZ4_KXsdHQ4Vks"",""14 Sept!A:B""),2,0)"),"ONIX723")</f>
        <v>ONIX723</v>
      </c>
      <c r="B373" s="5" t="str">
        <f>IFERROR(__xludf.DUMMYFUNCTION("""COMPUTED_VALUE"""),"David Alberto")</f>
        <v>David Alberto</v>
      </c>
      <c r="C373" s="5" t="str">
        <f>IFERROR(__xludf.DUMMYFUNCTION("""COMPUTED_VALUE"""),"david.alberto@onixnet.com")</f>
        <v>david.alberto@onixnet.com</v>
      </c>
      <c r="D373" s="4" t="s">
        <v>11</v>
      </c>
      <c r="E373" s="6" t="str">
        <f>IFERROR(__xludf.DUMMYFUNCTION("vlookup($A373,importrange(""1fyGnaViAX9kns28pvsfPvI9925sAI7kxPlM7jpuHVJM"",""Validation!A:Z""),11,0)"),"Services")</f>
        <v>Services</v>
      </c>
      <c r="F373" s="6" t="str">
        <f>IFERROR(__xludf.DUMMYFUNCTION("vlookup($A373,importrange(""1fyGnaViAX9kns28pvsfPvI9925sAI7kxPlM7jpuHVJM"",""Validation!A:Z""),23,0)"),"Pawan Kamat")</f>
        <v>Pawan Kamat</v>
      </c>
      <c r="G373" s="6" t="str">
        <f>IFERROR(__xludf.DUMMYFUNCTION("vlookup(A373,importrange(""1fyGnaViAX9kns28pvsfPvI9925sAI7kxPlM7jpuHVJM"",""Validation!A:Z""),22,0)"),"Portfolio - Kanth")</f>
        <v>Portfolio - Kanth</v>
      </c>
      <c r="H373" s="4" t="str">
        <f>IFERROR(__xludf.DUMMYFUNCTION("vlookup(C373,importrange(""1kw74ismGU34AsZ5x-W4x7F3Zt2xc8NSYcCVMrCJBmdQ"",""DRP for 8 products!B:C""),2,0)"),"ONIDAIAM0")</f>
        <v>ONIDAIAM0</v>
      </c>
      <c r="I373" s="7">
        <f>IFERROR(__xludf.DUMMYFUNCTION("vlookup(C373,importrange(""1kw74ismGU34AsZ5x-W4x7F3Zt2xc8NSYcCVMrCJBmdQ"",""DRP for 8 products!B:E""),4,0)"),29.0)</f>
        <v>29</v>
      </c>
      <c r="J373" s="8" t="str">
        <f t="shared" si="1"/>
        <v>Tier 3</v>
      </c>
      <c r="K373" s="9" t="str">
        <f t="shared" si="2"/>
        <v>Active</v>
      </c>
      <c r="L373" s="4" t="str">
        <f>IFERROR(__xludf.DUMMYFUNCTION("vlookup(C373,importrange(""1kw74ismGU34AsZ5x-W4x7F3Zt2xc8NSYcCVMrCJBmdQ"",""DRP for 8 products!B:H""),6,0)"),"BigQuery")</f>
        <v>BigQuery</v>
      </c>
      <c r="M373" s="10" t="str">
        <f t="shared" si="3"/>
        <v>Yes</v>
      </c>
    </row>
    <row r="374">
      <c r="A374" s="4" t="str">
        <f>IFERROR(__xludf.DUMMYFUNCTION("vlookup(C374,IMPORTRANGE(""1Kgoo8qyo6zMtf_5B03ksZz228jg0XpZ4_KXsdHQ4Vks"",""14 Sept!A:B""),2,0)"),"ONIX786")</f>
        <v>ONIX786</v>
      </c>
      <c r="B374" s="5" t="str">
        <f>IFERROR(__xludf.DUMMYFUNCTION("""COMPUTED_VALUE"""),"Youssef Shehata")</f>
        <v>Youssef Shehata</v>
      </c>
      <c r="C374" s="5" t="str">
        <f>IFERROR(__xludf.DUMMYFUNCTION("""COMPUTED_VALUE"""),"youssef.shehata@onixnet.com")</f>
        <v>youssef.shehata@onixnet.com</v>
      </c>
      <c r="D374" s="4" t="s">
        <v>11</v>
      </c>
      <c r="E374" s="6" t="str">
        <f>IFERROR(__xludf.DUMMYFUNCTION("vlookup($A374,importrange(""1fyGnaViAX9kns28pvsfPvI9925sAI7kxPlM7jpuHVJM"",""Validation!A:Z""),11,0)"),"Delivery")</f>
        <v>Delivery</v>
      </c>
      <c r="F374" s="6" t="str">
        <f>IFERROR(__xludf.DUMMYFUNCTION("vlookup($A374,importrange(""1fyGnaViAX9kns28pvsfPvI9925sAI7kxPlM7jpuHVJM"",""Validation!A:Z""),23,0)"),"Bob Cielenski")</f>
        <v>Bob Cielenski</v>
      </c>
      <c r="G374" s="6" t="str">
        <f>IFERROR(__xludf.DUMMYFUNCTION("vlookup(A374,importrange(""1fyGnaViAX9kns28pvsfPvI9925sAI7kxPlM7jpuHVJM"",""Validation!A:Z""),22,0)"),"Portfolio - Rick")</f>
        <v>Portfolio - Rick</v>
      </c>
      <c r="H374" s="4" t="str">
        <f>IFERROR(__xludf.DUMMYFUNCTION("vlookup(C374,importrange(""1kw74ismGU34AsZ5x-W4x7F3Zt2xc8NSYcCVMrCJBmdQ"",""DRP for 8 products!B:C""),2,0)"),"ONIYSCOV0")</f>
        <v>ONIYSCOV0</v>
      </c>
      <c r="I374" s="7">
        <f>IFERROR(__xludf.DUMMYFUNCTION("vlookup(C374,importrange(""1kw74ismGU34AsZ5x-W4x7F3Zt2xc8NSYcCVMrCJBmdQ"",""DRP for 8 products!B:E""),4,0)"),14.0)</f>
        <v>14</v>
      </c>
      <c r="J374" s="8" t="str">
        <f t="shared" si="1"/>
        <v>Tier 4</v>
      </c>
      <c r="K374" s="9" t="str">
        <f t="shared" si="2"/>
        <v>Active</v>
      </c>
      <c r="L374" s="4" t="str">
        <f>IFERROR(__xludf.DUMMYFUNCTION("vlookup(C374,importrange(""1kw74ismGU34AsZ5x-W4x7F3Zt2xc8NSYcCVMrCJBmdQ"",""DRP for 8 products!B:H""),6,0)"),"BigQuery")</f>
        <v>BigQuery</v>
      </c>
      <c r="M374" s="10" t="str">
        <f t="shared" si="3"/>
        <v>Yes</v>
      </c>
    </row>
    <row r="375">
      <c r="A375" s="4" t="str">
        <f>IFERROR(__xludf.DUMMYFUNCTION("vlookup(C375,IMPORTRANGE(""1Kgoo8qyo6zMtf_5B03ksZz228jg0XpZ4_KXsdHQ4Vks"",""14 Sept!A:B""),2,0)"),"DME1979")</f>
        <v>DME1979</v>
      </c>
      <c r="B375" s="5" t="str">
        <f>IFERROR(__xludf.DUMMYFUNCTION("""COMPUTED_VALUE"""),"Priya Ghodke")</f>
        <v>Priya Ghodke</v>
      </c>
      <c r="C375" s="5" t="str">
        <f>IFERROR(__xludf.DUMMYFUNCTION("""COMPUTED_VALUE"""),"priya.ghodke@onixnet.com")</f>
        <v>priya.ghodke@onixnet.com</v>
      </c>
      <c r="D375" s="4" t="s">
        <v>11</v>
      </c>
      <c r="E375" s="6" t="str">
        <f>IFERROR(__xludf.DUMMYFUNCTION("vlookup($A375,importrange(""1fyGnaViAX9kns28pvsfPvI9925sAI7kxPlM7jpuHVJM"",""Validation!A:Z""),11,0)"),"Delivery Services")</f>
        <v>Delivery Services</v>
      </c>
      <c r="F375" s="6" t="str">
        <f>IFERROR(__xludf.DUMMYFUNCTION("vlookup($A375,importrange(""1fyGnaViAX9kns28pvsfPvI9925sAI7kxPlM7jpuHVJM"",""Validation!A:Z""),23,0)"),"Omkar Sonawane")</f>
        <v>Omkar Sonawane</v>
      </c>
      <c r="G375" s="6" t="str">
        <f>IFERROR(__xludf.DUMMYFUNCTION("vlookup(A375,importrange(""1fyGnaViAX9kns28pvsfPvI9925sAI7kxPlM7jpuHVJM"",""Validation!A:Z""),22,0)"),"Cluster - Sagar")</f>
        <v>Cluster - Sagar</v>
      </c>
      <c r="H375" s="4" t="str">
        <f>IFERROR(__xludf.DUMMYFUNCTION("vlookup(C375,importrange(""1kw74ismGU34AsZ5x-W4x7F3Zt2xc8NSYcCVMrCJBmdQ"",""DRP for 8 products!B:C""),2,0)"),"ONIPGWKG8")</f>
        <v>ONIPGWKG8</v>
      </c>
      <c r="I375" s="7">
        <f>IFERROR(__xludf.DUMMYFUNCTION("vlookup(C375,importrange(""1kw74ismGU34AsZ5x-W4x7F3Zt2xc8NSYcCVMrCJBmdQ"",""DRP for 8 products!B:E""),4,0)"),14.0)</f>
        <v>14</v>
      </c>
      <c r="J375" s="8" t="str">
        <f t="shared" si="1"/>
        <v>Tier 4</v>
      </c>
      <c r="K375" s="9" t="str">
        <f t="shared" si="2"/>
        <v>Active</v>
      </c>
      <c r="L375" s="4" t="str">
        <f>IFERROR(__xludf.DUMMYFUNCTION("vlookup(C375,importrange(""1kw74ismGU34AsZ5x-W4x7F3Zt2xc8NSYcCVMrCJBmdQ"",""DRP for 8 products!B:H""),6,0)"),"BigQuery")</f>
        <v>BigQuery</v>
      </c>
      <c r="M375" s="10" t="str">
        <f t="shared" si="3"/>
        <v>Yes</v>
      </c>
    </row>
    <row r="376">
      <c r="A376" s="4" t="str">
        <f>IFERROR(__xludf.DUMMYFUNCTION("vlookup(C376,IMPORTRANGE(""1Kgoo8qyo6zMtf_5B03ksZz228jg0XpZ4_KXsdHQ4Vks"",""14 Sept!A:B""),2,0)"),"DME1910")</f>
        <v>DME1910</v>
      </c>
      <c r="B376" s="5" t="str">
        <f>IFERROR(__xludf.DUMMYFUNCTION("""COMPUTED_VALUE"""),"shubham ghadage")</f>
        <v>shubham ghadage</v>
      </c>
      <c r="C376" s="5" t="str">
        <f>IFERROR(__xludf.DUMMYFUNCTION("""COMPUTED_VALUE"""),"shubham.ghadage@onixnet.com")</f>
        <v>shubham.ghadage@onixnet.com</v>
      </c>
      <c r="D376" s="4" t="s">
        <v>11</v>
      </c>
      <c r="E376" s="6" t="str">
        <f>IFERROR(__xludf.DUMMYFUNCTION("vlookup($A376,importrange(""1fyGnaViAX9kns28pvsfPvI9925sAI7kxPlM7jpuHVJM"",""Validation!A:Z""),11,0)"),"Eagle Assessment")</f>
        <v>Eagle Assessment</v>
      </c>
      <c r="F376" s="6" t="str">
        <f>IFERROR(__xludf.DUMMYFUNCTION("vlookup($A376,importrange(""1fyGnaViAX9kns28pvsfPvI9925sAI7kxPlM7jpuHVJM"",""Validation!A:Z""),23,0)"),"Swapnil Salunke")</f>
        <v>Swapnil Salunke</v>
      </c>
      <c r="G376" s="6" t="str">
        <f>IFERROR(__xludf.DUMMYFUNCTION("vlookup(A376,importrange(""1fyGnaViAX9kns28pvsfPvI9925sAI7kxPlM7jpuHVJM"",""Validation!A:Z""),22,0)"),"Cluster - Kalpa")</f>
        <v>Cluster - Kalpa</v>
      </c>
      <c r="H376" s="4" t="str">
        <f>IFERROR(__xludf.DUMMYFUNCTION("vlookup(C376,importrange(""1kw74ismGU34AsZ5x-W4x7F3Zt2xc8NSYcCVMrCJBmdQ"",""DRP for 8 products!B:C""),2,0)"),"ONISGREI0")</f>
        <v>ONISGREI0</v>
      </c>
      <c r="I376" s="7">
        <f>IFERROR(__xludf.DUMMYFUNCTION("vlookup(C376,importrange(""1kw74ismGU34AsZ5x-W4x7F3Zt2xc8NSYcCVMrCJBmdQ"",""DRP for 8 products!B:E""),4,0)"),64.0)</f>
        <v>64</v>
      </c>
      <c r="J376" s="8" t="str">
        <f t="shared" si="1"/>
        <v>Tier 1</v>
      </c>
      <c r="K376" s="9" t="str">
        <f t="shared" si="2"/>
        <v>Active</v>
      </c>
      <c r="L376" s="4" t="str">
        <f>IFERROR(__xludf.DUMMYFUNCTION("vlookup(C376,importrange(""1kw74ismGU34AsZ5x-W4x7F3Zt2xc8NSYcCVMrCJBmdQ"",""DRP for 8 products!B:H""),6,0)"),"BigQuery")</f>
        <v>BigQuery</v>
      </c>
      <c r="M376" s="10" t="str">
        <f t="shared" si="3"/>
        <v>Yes</v>
      </c>
    </row>
    <row r="377">
      <c r="A377" s="4" t="str">
        <f>IFERROR(__xludf.DUMMYFUNCTION("vlookup(C377,IMPORTRANGE(""1Kgoo8qyo6zMtf_5B03ksZz228jg0XpZ4_KXsdHQ4Vks"",""14 Sept!A:B""),2,0)"),"DME2086")</f>
        <v>DME2086</v>
      </c>
      <c r="B377" s="5" t="str">
        <f>IFERROR(__xludf.DUMMYFUNCTION("""COMPUTED_VALUE"""),"Akshay Tathe")</f>
        <v>Akshay Tathe</v>
      </c>
      <c r="C377" s="5" t="str">
        <f>IFERROR(__xludf.DUMMYFUNCTION("""COMPUTED_VALUE"""),"akshay.tathe@onixnet.com")</f>
        <v>akshay.tathe@onixnet.com</v>
      </c>
      <c r="D377" s="4" t="s">
        <v>11</v>
      </c>
      <c r="E377" s="6" t="str">
        <f>IFERROR(__xludf.DUMMYFUNCTION("vlookup($A377,importrange(""1fyGnaViAX9kns28pvsfPvI9925sAI7kxPlM7jpuHVJM"",""Validation!A:Z""),11,0)"),"Delivery Services")</f>
        <v>Delivery Services</v>
      </c>
      <c r="F377" s="6" t="str">
        <f>IFERROR(__xludf.DUMMYFUNCTION("vlookup($A377,importrange(""1fyGnaViAX9kns28pvsfPvI9925sAI7kxPlM7jpuHVJM"",""Validation!A:Z""),23,0)"),"Suresh Shankar Rasal")</f>
        <v>Suresh Shankar Rasal</v>
      </c>
      <c r="G377" s="6" t="str">
        <f>IFERROR(__xludf.DUMMYFUNCTION("vlookup(A377,importrange(""1fyGnaViAX9kns28pvsfPvI9925sAI7kxPlM7jpuHVJM"",""Validation!A:Z""),22,0)"),"Cluster - Gaurav")</f>
        <v>Cluster - Gaurav</v>
      </c>
      <c r="H377" s="4" t="str">
        <f>IFERROR(__xludf.DUMMYFUNCTION("vlookup(C377,importrange(""1kw74ismGU34AsZ5x-W4x7F3Zt2xc8NSYcCVMrCJBmdQ"",""DRP for 8 products!B:C""),2,0)"),"ONIATTIM7")</f>
        <v>ONIATTIM7</v>
      </c>
      <c r="I377" s="7">
        <f>IFERROR(__xludf.DUMMYFUNCTION("vlookup(C377,importrange(""1kw74ismGU34AsZ5x-W4x7F3Zt2xc8NSYcCVMrCJBmdQ"",""DRP for 8 products!B:E""),4,0)"),49.0)</f>
        <v>49</v>
      </c>
      <c r="J377" s="8" t="str">
        <f t="shared" si="1"/>
        <v>Tier 2</v>
      </c>
      <c r="K377" s="9" t="str">
        <f t="shared" si="2"/>
        <v>Active</v>
      </c>
      <c r="L377" s="4" t="str">
        <f>IFERROR(__xludf.DUMMYFUNCTION("vlookup(C377,importrange(""1kw74ismGU34AsZ5x-W4x7F3Zt2xc8NSYcCVMrCJBmdQ"",""DRP for 8 products!B:H""),6,0)"),"BigQuery")</f>
        <v>BigQuery</v>
      </c>
      <c r="M377" s="10" t="str">
        <f t="shared" si="3"/>
        <v>Yes</v>
      </c>
    </row>
    <row r="378">
      <c r="A378" s="4" t="str">
        <f>IFERROR(__xludf.DUMMYFUNCTION("vlookup(C378,IMPORTRANGE(""1Kgoo8qyo6zMtf_5B03ksZz228jg0XpZ4_KXsdHQ4Vks"",""14 Sept!A:B""),2,0)"),"DME2597")</f>
        <v>DME2597</v>
      </c>
      <c r="B378" s="5" t="str">
        <f>IFERROR(__xludf.DUMMYFUNCTION("""COMPUTED_VALUE"""),"Anurag Gargote")</f>
        <v>Anurag Gargote</v>
      </c>
      <c r="C378" s="5" t="str">
        <f>IFERROR(__xludf.DUMMYFUNCTION("""COMPUTED_VALUE"""),"anurag.gargote@onixnet.com")</f>
        <v>anurag.gargote@onixnet.com</v>
      </c>
      <c r="D378" s="4" t="s">
        <v>11</v>
      </c>
      <c r="E378" s="6" t="str">
        <f>IFERROR(__xludf.DUMMYFUNCTION("vlookup($A378,importrange(""1fyGnaViAX9kns28pvsfPvI9925sAI7kxPlM7jpuHVJM"",""Validation!A:Z""),11,0)"),"Product Engineering")</f>
        <v>Product Engineering</v>
      </c>
      <c r="F378" s="6" t="str">
        <f>IFERROR(__xludf.DUMMYFUNCTION("vlookup($A378,importrange(""1fyGnaViAX9kns28pvsfPvI9925sAI7kxPlM7jpuHVJM"",""Validation!A:Z""),23,0)"),"Nishant Tiwary")</f>
        <v>Nishant Tiwary</v>
      </c>
      <c r="G378" s="6" t="str">
        <f>IFERROR(__xludf.DUMMYFUNCTION("vlookup(A378,importrange(""1fyGnaViAX9kns28pvsfPvI9925sAI7kxPlM7jpuHVJM"",""Validation!A:Z""),22,0)"),"Cluster - Mayur")</f>
        <v>Cluster - Mayur</v>
      </c>
      <c r="H378" s="4" t="str">
        <f>IFERROR(__xludf.DUMMYFUNCTION("vlookup(C378,importrange(""1kw74ismGU34AsZ5x-W4x7F3Zt2xc8NSYcCVMrCJBmdQ"",""DRP for 8 products!B:C""),2,0)"),"ONIAGNKW2")</f>
        <v>ONIAGNKW2</v>
      </c>
      <c r="I378" s="7">
        <f>IFERROR(__xludf.DUMMYFUNCTION("vlookup(C378,importrange(""1kw74ismGU34AsZ5x-W4x7F3Zt2xc8NSYcCVMrCJBmdQ"",""DRP for 8 products!B:E""),4,0)"),44.0)</f>
        <v>44</v>
      </c>
      <c r="J378" s="8" t="str">
        <f t="shared" si="1"/>
        <v>Tier 2</v>
      </c>
      <c r="K378" s="9" t="str">
        <f t="shared" si="2"/>
        <v>Active</v>
      </c>
      <c r="L378" s="4" t="str">
        <f>IFERROR(__xludf.DUMMYFUNCTION("vlookup(C378,importrange(""1kw74ismGU34AsZ5x-W4x7F3Zt2xc8NSYcCVMrCJBmdQ"",""DRP for 8 products!B:H""),6,0)"),"BigQuery")</f>
        <v>BigQuery</v>
      </c>
      <c r="M378" s="10" t="str">
        <f t="shared" si="3"/>
        <v>Yes</v>
      </c>
    </row>
    <row r="379">
      <c r="A379" s="4" t="str">
        <f>IFERROR(__xludf.DUMMYFUNCTION("vlookup(C379,IMPORTRANGE(""1Kgoo8qyo6zMtf_5B03ksZz228jg0XpZ4_KXsdHQ4Vks"",""14 Sept!A:B""),2,0)"),"DME2592")</f>
        <v>DME2592</v>
      </c>
      <c r="B379" s="5" t="str">
        <f>IFERROR(__xludf.DUMMYFUNCTION("""COMPUTED_VALUE"""),"Onkar Mehetre")</f>
        <v>Onkar Mehetre</v>
      </c>
      <c r="C379" s="5" t="str">
        <f>IFERROR(__xludf.DUMMYFUNCTION("""COMPUTED_VALUE"""),"onkar.mehetre@onixnet.com")</f>
        <v>onkar.mehetre@onixnet.com</v>
      </c>
      <c r="D379" s="4" t="s">
        <v>11</v>
      </c>
      <c r="E379" s="6" t="str">
        <f>IFERROR(__xludf.DUMMYFUNCTION("vlookup($A379,importrange(""1fyGnaViAX9kns28pvsfPvI9925sAI7kxPlM7jpuHVJM"",""Validation!A:Z""),11,0)"),"Delivery Services")</f>
        <v>Delivery Services</v>
      </c>
      <c r="F379" s="6" t="str">
        <f>IFERROR(__xludf.DUMMYFUNCTION("vlookup($A379,importrange(""1fyGnaViAX9kns28pvsfPvI9925sAI7kxPlM7jpuHVJM"",""Validation!A:Z""),23,0)"),"Venkatavivekananda Sala")</f>
        <v>Venkatavivekananda Sala</v>
      </c>
      <c r="G379" s="6" t="str">
        <f>IFERROR(__xludf.DUMMYFUNCTION("vlookup(A379,importrange(""1fyGnaViAX9kns28pvsfPvI9925sAI7kxPlM7jpuHVJM"",""Validation!A:Z""),22,0)"),"Cluster - Sachin")</f>
        <v>Cluster - Sachin</v>
      </c>
      <c r="H379" s="4" t="str">
        <f>IFERROR(__xludf.DUMMYFUNCTION("vlookup(C379,importrange(""1kw74ismGU34AsZ5x-W4x7F3Zt2xc8NSYcCVMrCJBmdQ"",""DRP for 8 products!B:C""),2,0)"),"ONIOMUXB7")</f>
        <v>ONIOMUXB7</v>
      </c>
      <c r="I379" s="7">
        <f>IFERROR(__xludf.DUMMYFUNCTION("vlookup(C379,importrange(""1kw74ismGU34AsZ5x-W4x7F3Zt2xc8NSYcCVMrCJBmdQ"",""DRP for 8 products!B:E""),4,0)"),53.0)</f>
        <v>53</v>
      </c>
      <c r="J379" s="8" t="str">
        <f t="shared" si="1"/>
        <v>Tier 1</v>
      </c>
      <c r="K379" s="9" t="str">
        <f t="shared" si="2"/>
        <v>Active</v>
      </c>
      <c r="L379" s="4" t="str">
        <f>IFERROR(__xludf.DUMMYFUNCTION("vlookup(C379,importrange(""1kw74ismGU34AsZ5x-W4x7F3Zt2xc8NSYcCVMrCJBmdQ"",""DRP for 8 products!B:H""),6,0)"),"BigQuery")</f>
        <v>BigQuery</v>
      </c>
      <c r="M379" s="10" t="str">
        <f t="shared" si="3"/>
        <v>Yes</v>
      </c>
    </row>
    <row r="380">
      <c r="A380" s="4" t="str">
        <f>IFERROR(__xludf.DUMMYFUNCTION("vlookup(C380,IMPORTRANGE(""1Kgoo8qyo6zMtf_5B03ksZz228jg0XpZ4_KXsdHQ4Vks"",""14 Sept!A:B""),2,0)"),"DME2048")</f>
        <v>DME2048</v>
      </c>
      <c r="B380" s="5" t="str">
        <f>IFERROR(__xludf.DUMMYFUNCTION("""COMPUTED_VALUE"""),"Vedant Bhogawade")</f>
        <v>Vedant Bhogawade</v>
      </c>
      <c r="C380" s="5" t="str">
        <f>IFERROR(__xludf.DUMMYFUNCTION("""COMPUTED_VALUE"""),"vedant.bhogawade@onixnet.com")</f>
        <v>vedant.bhogawade@onixnet.com</v>
      </c>
      <c r="D380" s="4" t="s">
        <v>11</v>
      </c>
      <c r="E380" s="6" t="str">
        <f>IFERROR(__xludf.DUMMYFUNCTION("vlookup($A380,importrange(""1fyGnaViAX9kns28pvsfPvI9925sAI7kxPlM7jpuHVJM"",""Validation!A:Z""),11,0)"),"Delivery Services")</f>
        <v>Delivery Services</v>
      </c>
      <c r="F380" s="6" t="str">
        <f>IFERROR(__xludf.DUMMYFUNCTION("vlookup($A380,importrange(""1fyGnaViAX9kns28pvsfPvI9925sAI7kxPlM7jpuHVJM"",""Validation!A:Z""),23,0)"),"Varun Katyal")</f>
        <v>Varun Katyal</v>
      </c>
      <c r="G380" s="6" t="str">
        <f>IFERROR(__xludf.DUMMYFUNCTION("vlookup(A380,importrange(""1fyGnaViAX9kns28pvsfPvI9925sAI7kxPlM7jpuHVJM"",""Validation!A:Z""),22,0)"),"Cluster - Varun")</f>
        <v>Cluster - Varun</v>
      </c>
      <c r="H380" s="4" t="str">
        <f>IFERROR(__xludf.DUMMYFUNCTION("vlookup(C380,importrange(""1kw74ismGU34AsZ5x-W4x7F3Zt2xc8NSYcCVMrCJBmdQ"",""DRP for 8 products!B:C""),2,0)"),"ONIVBCZX6")</f>
        <v>ONIVBCZX6</v>
      </c>
      <c r="I380" s="7">
        <f>IFERROR(__xludf.DUMMYFUNCTION("vlookup(C380,importrange(""1kw74ismGU34AsZ5x-W4x7F3Zt2xc8NSYcCVMrCJBmdQ"",""DRP for 8 products!B:E""),4,0)"),34.0)</f>
        <v>34</v>
      </c>
      <c r="J380" s="8" t="str">
        <f t="shared" si="1"/>
        <v>Tier 3</v>
      </c>
      <c r="K380" s="9" t="str">
        <f t="shared" si="2"/>
        <v>Active</v>
      </c>
      <c r="L380" s="4" t="str">
        <f>IFERROR(__xludf.DUMMYFUNCTION("vlookup(C380,importrange(""1kw74ismGU34AsZ5x-W4x7F3Zt2xc8NSYcCVMrCJBmdQ"",""DRP for 8 products!B:H""),6,0)"),"BigQuery")</f>
        <v>BigQuery</v>
      </c>
      <c r="M380" s="10" t="str">
        <f t="shared" si="3"/>
        <v>Yes</v>
      </c>
    </row>
    <row r="381">
      <c r="A381" s="4" t="str">
        <f>IFERROR(__xludf.DUMMYFUNCTION("vlookup(C381,IMPORTRANGE(""1Kgoo8qyo6zMtf_5B03ksZz228jg0XpZ4_KXsdHQ4Vks"",""14 Sept!A:B""),2,0)"),"DME3120")</f>
        <v>DME3120</v>
      </c>
      <c r="B381" s="5" t="str">
        <f>IFERROR(__xludf.DUMMYFUNCTION("""COMPUTED_VALUE"""),"Ashok Parashar")</f>
        <v>Ashok Parashar</v>
      </c>
      <c r="C381" s="5" t="str">
        <f>IFERROR(__xludf.DUMMYFUNCTION("""COMPUTED_VALUE"""),"ashok.parashar@onixnet.com")</f>
        <v>ashok.parashar@onixnet.com</v>
      </c>
      <c r="D381" s="4" t="s">
        <v>11</v>
      </c>
      <c r="E381" s="6" t="str">
        <f>IFERROR(__xludf.DUMMYFUNCTION("vlookup($A381,importrange(""1fyGnaViAX9kns28pvsfPvI9925sAI7kxPlM7jpuHVJM"",""Validation!A:Z""),11,0)"),"Delivery Services")</f>
        <v>Delivery Services</v>
      </c>
      <c r="F381" s="6" t="str">
        <f>IFERROR(__xludf.DUMMYFUNCTION("vlookup($A381,importrange(""1fyGnaViAX9kns28pvsfPvI9925sAI7kxPlM7jpuHVJM"",""Validation!A:Z""),23,0)"),"Sneha Bhatambrekar")</f>
        <v>Sneha Bhatambrekar</v>
      </c>
      <c r="G381" s="6" t="str">
        <f>IFERROR(__xludf.DUMMYFUNCTION("vlookup(A381,importrange(""1fyGnaViAX9kns28pvsfPvI9925sAI7kxPlM7jpuHVJM"",""Validation!A:Z""),22,0)"),"Cluster - Sandeep")</f>
        <v>Cluster - Sandeep</v>
      </c>
      <c r="H381" s="4" t="str">
        <f>IFERROR(__xludf.DUMMYFUNCTION("vlookup(C381,importrange(""1kw74ismGU34AsZ5x-W4x7F3Zt2xc8NSYcCVMrCJBmdQ"",""DRP for 8 products!B:C""),2,0)"),"ONIAPLOC0")</f>
        <v>ONIAPLOC0</v>
      </c>
      <c r="I381" s="7">
        <f>IFERROR(__xludf.DUMMYFUNCTION("vlookup(C381,importrange(""1kw74ismGU34AsZ5x-W4x7F3Zt2xc8NSYcCVMrCJBmdQ"",""DRP for 8 products!B:E""),4,0)"),11.0)</f>
        <v>11</v>
      </c>
      <c r="J381" s="8" t="str">
        <f t="shared" si="1"/>
        <v>Tier 4</v>
      </c>
      <c r="K381" s="9" t="str">
        <f t="shared" si="2"/>
        <v>Active</v>
      </c>
      <c r="L381" s="4" t="str">
        <f>IFERROR(__xludf.DUMMYFUNCTION("vlookup(C381,importrange(""1kw74ismGU34AsZ5x-W4x7F3Zt2xc8NSYcCVMrCJBmdQ"",""DRP for 8 products!B:H""),6,0)"),"BigQuery")</f>
        <v>BigQuery</v>
      </c>
      <c r="M381" s="10" t="str">
        <f t="shared" si="3"/>
        <v>Yes</v>
      </c>
    </row>
    <row r="382">
      <c r="A382" s="4" t="str">
        <f>IFERROR(__xludf.DUMMYFUNCTION("vlookup(C382,IMPORTRANGE(""1Kgoo8qyo6zMtf_5B03ksZz228jg0XpZ4_KXsdHQ4Vks"",""14 Sept!A:B""),2,0)"),"DME2791")</f>
        <v>DME2791</v>
      </c>
      <c r="B382" s="5" t="str">
        <f>IFERROR(__xludf.DUMMYFUNCTION("""COMPUTED_VALUE"""),"Pratiksha Tambe")</f>
        <v>Pratiksha Tambe</v>
      </c>
      <c r="C382" s="5" t="str">
        <f>IFERROR(__xludf.DUMMYFUNCTION("""COMPUTED_VALUE"""),"pratiksha.tambe@onixnet.com")</f>
        <v>pratiksha.tambe@onixnet.com</v>
      </c>
      <c r="D382" s="4" t="s">
        <v>11</v>
      </c>
      <c r="E382" s="6" t="str">
        <f>IFERROR(__xludf.DUMMYFUNCTION("vlookup($A382,importrange(""1fyGnaViAX9kns28pvsfPvI9925sAI7kxPlM7jpuHVJM"",""Validation!A:Z""),11,0)"),"Delivery Services")</f>
        <v>Delivery Services</v>
      </c>
      <c r="F382" s="6" t="str">
        <f>IFERROR(__xludf.DUMMYFUNCTION("vlookup($A382,importrange(""1fyGnaViAX9kns28pvsfPvI9925sAI7kxPlM7jpuHVJM"",""Validation!A:Z""),23,0)"),"Prabhat Jain")</f>
        <v>Prabhat Jain</v>
      </c>
      <c r="G382" s="6" t="str">
        <f>IFERROR(__xludf.DUMMYFUNCTION("vlookup(A382,importrange(""1fyGnaViAX9kns28pvsfPvI9925sAI7kxPlM7jpuHVJM"",""Validation!A:Z""),22,0)"),"Cluster - Gaurav")</f>
        <v>Cluster - Gaurav</v>
      </c>
      <c r="H382" s="4" t="str">
        <f>IFERROR(__xludf.DUMMYFUNCTION("vlookup(C382,importrange(""1kw74ismGU34AsZ5x-W4x7F3Zt2xc8NSYcCVMrCJBmdQ"",""DRP for 8 products!B:C""),2,0)"),"ONIPTFTH5")</f>
        <v>ONIPTFTH5</v>
      </c>
      <c r="I382" s="7">
        <f>IFERROR(__xludf.DUMMYFUNCTION("vlookup(C382,importrange(""1kw74ismGU34AsZ5x-W4x7F3Zt2xc8NSYcCVMrCJBmdQ"",""DRP for 8 products!B:E""),4,0)"),5.0)</f>
        <v>5</v>
      </c>
      <c r="J382" s="8" t="str">
        <f t="shared" si="1"/>
        <v>Tier 4</v>
      </c>
      <c r="K382" s="9" t="str">
        <f t="shared" si="2"/>
        <v>Active</v>
      </c>
      <c r="L382" s="4" t="str">
        <f>IFERROR(__xludf.DUMMYFUNCTION("vlookup(C382,importrange(""1kw74ismGU34AsZ5x-W4x7F3Zt2xc8NSYcCVMrCJBmdQ"",""DRP for 8 products!B:H""),6,0)"),"BigQuery")</f>
        <v>BigQuery</v>
      </c>
      <c r="M382" s="10" t="str">
        <f t="shared" si="3"/>
        <v>Yes</v>
      </c>
    </row>
    <row r="383">
      <c r="A383" s="4" t="str">
        <f>IFERROR(__xludf.DUMMYFUNCTION("vlookup(C383,IMPORTRANGE(""1Kgoo8qyo6zMtf_5B03ksZz228jg0XpZ4_KXsdHQ4Vks"",""14 Sept!A:B""),2,0)"),"DME2824")</f>
        <v>DME2824</v>
      </c>
      <c r="B383" s="5" t="str">
        <f>IFERROR(__xludf.DUMMYFUNCTION("""COMPUTED_VALUE"""),"ujjawal prakash")</f>
        <v>ujjawal prakash</v>
      </c>
      <c r="C383" s="5" t="str">
        <f>IFERROR(__xludf.DUMMYFUNCTION("""COMPUTED_VALUE"""),"ujjawal.prakash@onixnet.com")</f>
        <v>ujjawal.prakash@onixnet.com</v>
      </c>
      <c r="D383" s="4" t="s">
        <v>11</v>
      </c>
      <c r="E383" s="6" t="str">
        <f>IFERROR(__xludf.DUMMYFUNCTION("vlookup($A383,importrange(""1fyGnaViAX9kns28pvsfPvI9925sAI7kxPlM7jpuHVJM"",""Validation!A:Z""),11,0)"),"Delivery Services")</f>
        <v>Delivery Services</v>
      </c>
      <c r="F383" s="6" t="str">
        <f>IFERROR(__xludf.DUMMYFUNCTION("vlookup($A383,importrange(""1fyGnaViAX9kns28pvsfPvI9925sAI7kxPlM7jpuHVJM"",""Validation!A:Z""),23,0)"),"Kanhaiya Jha")</f>
        <v>Kanhaiya Jha</v>
      </c>
      <c r="G383" s="6" t="str">
        <f>IFERROR(__xludf.DUMMYFUNCTION("vlookup(A383,importrange(""1fyGnaViAX9kns28pvsfPvI9925sAI7kxPlM7jpuHVJM"",""Validation!A:Z""),22,0)"),"Cluster - Kanhaiya")</f>
        <v>Cluster - Kanhaiya</v>
      </c>
      <c r="H383" s="4" t="str">
        <f>IFERROR(__xludf.DUMMYFUNCTION("vlookup(C383,importrange(""1kw74ismGU34AsZ5x-W4x7F3Zt2xc8NSYcCVMrCJBmdQ"",""DRP for 8 products!B:C""),2,0)"),"ONIUPCRU1")</f>
        <v>ONIUPCRU1</v>
      </c>
      <c r="I383" s="7">
        <f>IFERROR(__xludf.DUMMYFUNCTION("vlookup(C383,importrange(""1kw74ismGU34AsZ5x-W4x7F3Zt2xc8NSYcCVMrCJBmdQ"",""DRP for 8 products!B:E""),4,0)"),9.0)</f>
        <v>9</v>
      </c>
      <c r="J383" s="8" t="str">
        <f t="shared" si="1"/>
        <v>Tier 4</v>
      </c>
      <c r="K383" s="9" t="str">
        <f t="shared" si="2"/>
        <v>Active</v>
      </c>
      <c r="L383" s="4" t="str">
        <f>IFERROR(__xludf.DUMMYFUNCTION("vlookup(C383,importrange(""1kw74ismGU34AsZ5x-W4x7F3Zt2xc8NSYcCVMrCJBmdQ"",""DRP for 8 products!B:H""),6,0)"),"Dataflow")</f>
        <v>Dataflow</v>
      </c>
      <c r="M383" s="10" t="str">
        <f t="shared" si="3"/>
        <v>Yes</v>
      </c>
    </row>
    <row r="384">
      <c r="A384" s="4" t="str">
        <f>IFERROR(__xludf.DUMMYFUNCTION("vlookup(C384,IMPORTRANGE(""1Kgoo8qyo6zMtf_5B03ksZz228jg0XpZ4_KXsdHQ4Vks"",""14 Sept!A:B""),2,0)"),"DME1100")</f>
        <v>DME1100</v>
      </c>
      <c r="B384" s="5" t="str">
        <f>IFERROR(__xludf.DUMMYFUNCTION("""COMPUTED_VALUE"""),"Aditya Vairale")</f>
        <v>Aditya Vairale</v>
      </c>
      <c r="C384" s="5" t="str">
        <f>IFERROR(__xludf.DUMMYFUNCTION("""COMPUTED_VALUE"""),"aditya.vairale@onixnet.com")</f>
        <v>aditya.vairale@onixnet.com</v>
      </c>
      <c r="D384" s="4" t="s">
        <v>11</v>
      </c>
      <c r="E384" s="6" t="str">
        <f>IFERROR(__xludf.DUMMYFUNCTION("vlookup($A384,importrange(""1fyGnaViAX9kns28pvsfPvI9925sAI7kxPlM7jpuHVJM"",""Validation!A:Z""),11,0)"),"Delivery Services")</f>
        <v>Delivery Services</v>
      </c>
      <c r="F384" s="6" t="str">
        <f>IFERROR(__xludf.DUMMYFUNCTION("vlookup($A384,importrange(""1fyGnaViAX9kns28pvsfPvI9925sAI7kxPlM7jpuHVJM"",""Validation!A:Z""),23,0)"),"Pooja Chawda")</f>
        <v>Pooja Chawda</v>
      </c>
      <c r="G384" s="6" t="str">
        <f>IFERROR(__xludf.DUMMYFUNCTION("vlookup(A384,importrange(""1fyGnaViAX9kns28pvsfPvI9925sAI7kxPlM7jpuHVJM"",""Validation!A:Z""),22,0)"),"Cluster - Sandeep")</f>
        <v>Cluster - Sandeep</v>
      </c>
      <c r="H384" s="4" t="str">
        <f>IFERROR(__xludf.DUMMYFUNCTION("vlookup(C384,importrange(""1kw74ismGU34AsZ5x-W4x7F3Zt2xc8NSYcCVMrCJBmdQ"",""DRP for 8 products!B:C""),2,0)"),"ONIAVJAB3")</f>
        <v>ONIAVJAB3</v>
      </c>
      <c r="I384" s="7">
        <f>IFERROR(__xludf.DUMMYFUNCTION("vlookup(C384,importrange(""1kw74ismGU34AsZ5x-W4x7F3Zt2xc8NSYcCVMrCJBmdQ"",""DRP for 8 products!B:E""),4,0)"),59.0)</f>
        <v>59</v>
      </c>
      <c r="J384" s="8" t="str">
        <f t="shared" si="1"/>
        <v>Tier 1</v>
      </c>
      <c r="K384" s="9" t="str">
        <f t="shared" si="2"/>
        <v>Active</v>
      </c>
      <c r="L384" s="4" t="str">
        <f>IFERROR(__xludf.DUMMYFUNCTION("vlookup(C384,importrange(""1kw74ismGU34AsZ5x-W4x7F3Zt2xc8NSYcCVMrCJBmdQ"",""DRP for 8 products!B:H""),6,0)"),"BigQuery")</f>
        <v>BigQuery</v>
      </c>
      <c r="M384" s="10" t="str">
        <f t="shared" si="3"/>
        <v>Yes</v>
      </c>
    </row>
    <row r="385">
      <c r="A385" s="4" t="str">
        <f>IFERROR(__xludf.DUMMYFUNCTION("vlookup(C385,IMPORTRANGE(""1Kgoo8qyo6zMtf_5B03ksZz228jg0XpZ4_KXsdHQ4Vks"",""14 Sept!A:B""),2,0)"),"DME1984")</f>
        <v>DME1984</v>
      </c>
      <c r="B385" s="5" t="str">
        <f>IFERROR(__xludf.DUMMYFUNCTION("""COMPUTED_VALUE"""),"Shubhangi Belhekar")</f>
        <v>Shubhangi Belhekar</v>
      </c>
      <c r="C385" s="5" t="str">
        <f>IFERROR(__xludf.DUMMYFUNCTION("""COMPUTED_VALUE"""),"shubhangi.belhekar@onixnet.com")</f>
        <v>shubhangi.belhekar@onixnet.com</v>
      </c>
      <c r="D385" s="4" t="s">
        <v>11</v>
      </c>
      <c r="E385" s="6" t="str">
        <f>IFERROR(__xludf.DUMMYFUNCTION("vlookup($A385,importrange(""1fyGnaViAX9kns28pvsfPvI9925sAI7kxPlM7jpuHVJM"",""Validation!A:Z""),11,0)"),"Professional Services")</f>
        <v>Professional Services</v>
      </c>
      <c r="F385" s="6" t="str">
        <f>IFERROR(__xludf.DUMMYFUNCTION("vlookup($A385,importrange(""1fyGnaViAX9kns28pvsfPvI9925sAI7kxPlM7jpuHVJM"",""Validation!A:Z""),23,0)"),"Hemanth Kolluru")</f>
        <v>Hemanth Kolluru</v>
      </c>
      <c r="G385" s="6" t="str">
        <f>IFERROR(__xludf.DUMMYFUNCTION("vlookup(A385,importrange(""1fyGnaViAX9kns28pvsfPvI9925sAI7kxPlM7jpuHVJM"",""Validation!A:Z""),22,0)"),"Cluster - Sachin")</f>
        <v>Cluster - Sachin</v>
      </c>
      <c r="H385" s="4" t="str">
        <f>IFERROR(__xludf.DUMMYFUNCTION("vlookup(C385,importrange(""1kw74ismGU34AsZ5x-W4x7F3Zt2xc8NSYcCVMrCJBmdQ"",""DRP for 8 products!B:C""),2,0)"),"ONISBQGP7")</f>
        <v>ONISBQGP7</v>
      </c>
      <c r="I385" s="7">
        <f>IFERROR(__xludf.DUMMYFUNCTION("vlookup(C385,importrange(""1kw74ismGU34AsZ5x-W4x7F3Zt2xc8NSYcCVMrCJBmdQ"",""DRP for 8 products!B:E""),4,0)"),59.0)</f>
        <v>59</v>
      </c>
      <c r="J385" s="8" t="str">
        <f t="shared" si="1"/>
        <v>Tier 1</v>
      </c>
      <c r="K385" s="9" t="str">
        <f t="shared" si="2"/>
        <v>Active</v>
      </c>
      <c r="L385" s="4" t="str">
        <f>IFERROR(__xludf.DUMMYFUNCTION("vlookup(C385,importrange(""1kw74ismGU34AsZ5x-W4x7F3Zt2xc8NSYcCVMrCJBmdQ"",""DRP for 8 products!B:H""),6,0)"),"BigQuery")</f>
        <v>BigQuery</v>
      </c>
      <c r="M385" s="10" t="str">
        <f t="shared" si="3"/>
        <v>Yes</v>
      </c>
    </row>
    <row r="386">
      <c r="A386" s="4" t="str">
        <f>IFERROR(__xludf.DUMMYFUNCTION("vlookup(C386,IMPORTRANGE(""1Kgoo8qyo6zMtf_5B03ksZz228jg0XpZ4_KXsdHQ4Vks"",""14 Sept!A:B""),2,0)"),"DME1825")</f>
        <v>DME1825</v>
      </c>
      <c r="B386" s="5" t="str">
        <f>IFERROR(__xludf.DUMMYFUNCTION("""COMPUTED_VALUE"""),"Yogesh Jadhav")</f>
        <v>Yogesh Jadhav</v>
      </c>
      <c r="C386" s="5" t="str">
        <f>IFERROR(__xludf.DUMMYFUNCTION("""COMPUTED_VALUE"""),"yogesh.jadhav@onixnet.com")</f>
        <v>yogesh.jadhav@onixnet.com</v>
      </c>
      <c r="D386" s="4" t="s">
        <v>11</v>
      </c>
      <c r="E386" s="6" t="str">
        <f>IFERROR(__xludf.DUMMYFUNCTION("vlookup($A386,importrange(""1fyGnaViAX9kns28pvsfPvI9925sAI7kxPlM7jpuHVJM"",""Validation!A:Z""),11,0)"),"Delivery Services")</f>
        <v>Delivery Services</v>
      </c>
      <c r="F386" s="6" t="str">
        <f>IFERROR(__xludf.DUMMYFUNCTION("vlookup($A386,importrange(""1fyGnaViAX9kns28pvsfPvI9925sAI7kxPlM7jpuHVJM"",""Validation!A:Z""),23,0)"),"Sanyam Jain")</f>
        <v>Sanyam Jain</v>
      </c>
      <c r="G386" s="6" t="str">
        <f>IFERROR(__xludf.DUMMYFUNCTION("vlookup(A386,importrange(""1fyGnaViAX9kns28pvsfPvI9925sAI7kxPlM7jpuHVJM"",""Validation!A:Z""),22,0)"),"Cluster - Sandeep")</f>
        <v>Cluster - Sandeep</v>
      </c>
      <c r="H386" s="4" t="str">
        <f>IFERROR(__xludf.DUMMYFUNCTION("vlookup(C386,importrange(""1kw74ismGU34AsZ5x-W4x7F3Zt2xc8NSYcCVMrCJBmdQ"",""DRP for 8 products!B:C""),2,0)"),"ONIYJVOY4")</f>
        <v>ONIYJVOY4</v>
      </c>
      <c r="I386" s="7">
        <f>IFERROR(__xludf.DUMMYFUNCTION("vlookup(C386,importrange(""1kw74ismGU34AsZ5x-W4x7F3Zt2xc8NSYcCVMrCJBmdQ"",""DRP for 8 products!B:E""),4,0)"),10.0)</f>
        <v>10</v>
      </c>
      <c r="J386" s="8" t="str">
        <f t="shared" si="1"/>
        <v>Tier 4</v>
      </c>
      <c r="K386" s="9" t="str">
        <f t="shared" si="2"/>
        <v>Active</v>
      </c>
      <c r="L386" s="4" t="str">
        <f>IFERROR(__xludf.DUMMYFUNCTION("vlookup(C386,importrange(""1kw74ismGU34AsZ5x-W4x7F3Zt2xc8NSYcCVMrCJBmdQ"",""DRP for 8 products!B:H""),6,0)"),"BigQuery")</f>
        <v>BigQuery</v>
      </c>
      <c r="M386" s="10" t="str">
        <f t="shared" si="3"/>
        <v>Yes</v>
      </c>
    </row>
    <row r="387">
      <c r="A387" s="4" t="str">
        <f>IFERROR(__xludf.DUMMYFUNCTION("vlookup(C387,IMPORTRANGE(""1Kgoo8qyo6zMtf_5B03ksZz228jg0XpZ4_KXsdHQ4Vks"",""14 Sept!A:B""),2,0)"),"DME3089")</f>
        <v>DME3089</v>
      </c>
      <c r="B387" s="5" t="str">
        <f>IFERROR(__xludf.DUMMYFUNCTION("""COMPUTED_VALUE"""),"Nupur Rathi")</f>
        <v>Nupur Rathi</v>
      </c>
      <c r="C387" s="5" t="str">
        <f>IFERROR(__xludf.DUMMYFUNCTION("""COMPUTED_VALUE"""),"nupur.rathi@onixnet.com")</f>
        <v>nupur.rathi@onixnet.com</v>
      </c>
      <c r="D387" s="4" t="s">
        <v>11</v>
      </c>
      <c r="E387" s="6" t="str">
        <f>IFERROR(__xludf.DUMMYFUNCTION("vlookup($A387,importrange(""1fyGnaViAX9kns28pvsfPvI9925sAI7kxPlM7jpuHVJM"",""Validation!A:Z""),11,0)"),"Delivery Services")</f>
        <v>Delivery Services</v>
      </c>
      <c r="F387" s="6" t="str">
        <f>IFERROR(__xludf.DUMMYFUNCTION("vlookup($A387,importrange(""1fyGnaViAX9kns28pvsfPvI9925sAI7kxPlM7jpuHVJM"",""Validation!A:Z""),23,0)"),"Sheela Sawant")</f>
        <v>Sheela Sawant</v>
      </c>
      <c r="G387" s="6" t="str">
        <f>IFERROR(__xludf.DUMMYFUNCTION("vlookup(A387,importrange(""1fyGnaViAX9kns28pvsfPvI9925sAI7kxPlM7jpuHVJM"",""Validation!A:Z""),22,0)"),"Cluster - Sachin")</f>
        <v>Cluster - Sachin</v>
      </c>
      <c r="H387" s="4" t="str">
        <f>IFERROR(__xludf.DUMMYFUNCTION("vlookup(C387,importrange(""1kw74ismGU34AsZ5x-W4x7F3Zt2xc8NSYcCVMrCJBmdQ"",""DRP for 8 products!B:C""),2,0)"),"ONINROBF5")</f>
        <v>ONINROBF5</v>
      </c>
      <c r="I387" s="7">
        <f>IFERROR(__xludf.DUMMYFUNCTION("vlookup(C387,importrange(""1kw74ismGU34AsZ5x-W4x7F3Zt2xc8NSYcCVMrCJBmdQ"",""DRP for 8 products!B:E""),4,0)"),18.0)</f>
        <v>18</v>
      </c>
      <c r="J387" s="8" t="str">
        <f t="shared" si="1"/>
        <v>Tier 4</v>
      </c>
      <c r="K387" s="9" t="str">
        <f t="shared" si="2"/>
        <v>Active</v>
      </c>
      <c r="L387" s="4" t="str">
        <f>IFERROR(__xludf.DUMMYFUNCTION("vlookup(C387,importrange(""1kw74ismGU34AsZ5x-W4x7F3Zt2xc8NSYcCVMrCJBmdQ"",""DRP for 8 products!B:H""),6,0)"),"BigQuery")</f>
        <v>BigQuery</v>
      </c>
      <c r="M387" s="10" t="str">
        <f t="shared" si="3"/>
        <v>Yes</v>
      </c>
    </row>
    <row r="388">
      <c r="A388" s="4" t="str">
        <f>IFERROR(__xludf.DUMMYFUNCTION("vlookup(C388,IMPORTRANGE(""1Kgoo8qyo6zMtf_5B03ksZz228jg0XpZ4_KXsdHQ4Vks"",""14 Sept!A:B""),2,0)"),"DME1511")</f>
        <v>DME1511</v>
      </c>
      <c r="B388" s="5" t="str">
        <f>IFERROR(__xludf.DUMMYFUNCTION("""COMPUTED_VALUE"""),"Amit Parekh")</f>
        <v>Amit Parekh</v>
      </c>
      <c r="C388" s="5" t="str">
        <f>IFERROR(__xludf.DUMMYFUNCTION("""COMPUTED_VALUE"""),"amit.parekh@onixnet.com")</f>
        <v>amit.parekh@onixnet.com</v>
      </c>
      <c r="D388" s="4" t="s">
        <v>11</v>
      </c>
      <c r="E388" s="6" t="str">
        <f>IFERROR(__xludf.DUMMYFUNCTION("vlookup($A388,importrange(""1fyGnaViAX9kns28pvsfPvI9925sAI7kxPlM7jpuHVJM"",""Validation!A:Z""),11,0)"),"Delivery Services")</f>
        <v>Delivery Services</v>
      </c>
      <c r="F388" s="6" t="str">
        <f>IFERROR(__xludf.DUMMYFUNCTION("vlookup($A388,importrange(""1fyGnaViAX9kns28pvsfPvI9925sAI7kxPlM7jpuHVJM"",""Validation!A:Z""),23,0)"),"Sneha Bhatambrekar")</f>
        <v>Sneha Bhatambrekar</v>
      </c>
      <c r="G388" s="6" t="str">
        <f>IFERROR(__xludf.DUMMYFUNCTION("vlookup(A388,importrange(""1fyGnaViAX9kns28pvsfPvI9925sAI7kxPlM7jpuHVJM"",""Validation!A:Z""),22,0)"),"Cluster - Sandeep")</f>
        <v>Cluster - Sandeep</v>
      </c>
      <c r="H388" s="4" t="str">
        <f>IFERROR(__xludf.DUMMYFUNCTION("vlookup(C388,importrange(""1kw74ismGU34AsZ5x-W4x7F3Zt2xc8NSYcCVMrCJBmdQ"",""DRP for 8 products!B:C""),2,0)"),"ONIAPSHY5")</f>
        <v>ONIAPSHY5</v>
      </c>
      <c r="I388" s="7">
        <f>IFERROR(__xludf.DUMMYFUNCTION("vlookup(C388,importrange(""1kw74ismGU34AsZ5x-W4x7F3Zt2xc8NSYcCVMrCJBmdQ"",""DRP for 8 products!B:E""),4,0)"),44.0)</f>
        <v>44</v>
      </c>
      <c r="J388" s="8" t="str">
        <f t="shared" si="1"/>
        <v>Tier 2</v>
      </c>
      <c r="K388" s="9" t="str">
        <f t="shared" si="2"/>
        <v>Active</v>
      </c>
      <c r="L388" s="4" t="str">
        <f>IFERROR(__xludf.DUMMYFUNCTION("vlookup(C388,importrange(""1kw74ismGU34AsZ5x-W4x7F3Zt2xc8NSYcCVMrCJBmdQ"",""DRP for 8 products!B:H""),6,0)"),"BigQuery")</f>
        <v>BigQuery</v>
      </c>
      <c r="M388" s="10" t="str">
        <f t="shared" si="3"/>
        <v>Yes</v>
      </c>
    </row>
    <row r="389">
      <c r="A389" s="4" t="str">
        <f>IFERROR(__xludf.DUMMYFUNCTION("vlookup(C389,IMPORTRANGE(""1Kgoo8qyo6zMtf_5B03ksZz228jg0XpZ4_KXsdHQ4Vks"",""14 Sept!A:B""),2,0)"),"DME2561")</f>
        <v>DME2561</v>
      </c>
      <c r="B389" s="5" t="str">
        <f>IFERROR(__xludf.DUMMYFUNCTION("""COMPUTED_VALUE"""),"prasad kokane")</f>
        <v>prasad kokane</v>
      </c>
      <c r="C389" s="5" t="str">
        <f>IFERROR(__xludf.DUMMYFUNCTION("""COMPUTED_VALUE"""),"prasad.kokane@onixnet.com")</f>
        <v>prasad.kokane@onixnet.com</v>
      </c>
      <c r="D389" s="4" t="s">
        <v>11</v>
      </c>
      <c r="E389" s="6" t="str">
        <f>IFERROR(__xludf.DUMMYFUNCTION("vlookup($A389,importrange(""1fyGnaViAX9kns28pvsfPvI9925sAI7kxPlM7jpuHVJM"",""Validation!A:Z""),11,0)"),"Delivery Services")</f>
        <v>Delivery Services</v>
      </c>
      <c r="F389" s="6" t="str">
        <f>IFERROR(__xludf.DUMMYFUNCTION("vlookup($A389,importrange(""1fyGnaViAX9kns28pvsfPvI9925sAI7kxPlM7jpuHVJM"",""Validation!A:Z""),23,0)"),"Mayuri Patole")</f>
        <v>Mayuri Patole</v>
      </c>
      <c r="G389" s="6" t="str">
        <f>IFERROR(__xludf.DUMMYFUNCTION("vlookup(A389,importrange(""1fyGnaViAX9kns28pvsfPvI9925sAI7kxPlM7jpuHVJM"",""Validation!A:Z""),22,0)"),"Cluster - Sachin")</f>
        <v>Cluster - Sachin</v>
      </c>
      <c r="H389" s="4" t="str">
        <f>IFERROR(__xludf.DUMMYFUNCTION("vlookup(C389,importrange(""1kw74ismGU34AsZ5x-W4x7F3Zt2xc8NSYcCVMrCJBmdQ"",""DRP for 8 products!B:C""),2,0)"),"ONIPKJTI5")</f>
        <v>ONIPKJTI5</v>
      </c>
      <c r="I389" s="7">
        <f>IFERROR(__xludf.DUMMYFUNCTION("vlookup(C389,importrange(""1kw74ismGU34AsZ5x-W4x7F3Zt2xc8NSYcCVMrCJBmdQ"",""DRP for 8 products!B:E""),4,0)"),29.0)</f>
        <v>29</v>
      </c>
      <c r="J389" s="8" t="str">
        <f t="shared" si="1"/>
        <v>Tier 3</v>
      </c>
      <c r="K389" s="9" t="str">
        <f t="shared" si="2"/>
        <v>Active</v>
      </c>
      <c r="L389" s="4" t="str">
        <f>IFERROR(__xludf.DUMMYFUNCTION("vlookup(C389,importrange(""1kw74ismGU34AsZ5x-W4x7F3Zt2xc8NSYcCVMrCJBmdQ"",""DRP for 8 products!B:H""),6,0)"),"BigQuery")</f>
        <v>BigQuery</v>
      </c>
      <c r="M389" s="10" t="str">
        <f t="shared" si="3"/>
        <v>Yes</v>
      </c>
    </row>
    <row r="390">
      <c r="A390" s="4" t="str">
        <f>IFERROR(__xludf.DUMMYFUNCTION("vlookup(C390,IMPORTRANGE(""1Kgoo8qyo6zMtf_5B03ksZz228jg0XpZ4_KXsdHQ4Vks"",""14 Sept!A:B""),2,0)"),"DME0821")</f>
        <v>DME0821</v>
      </c>
      <c r="B390" s="5" t="str">
        <f>IFERROR(__xludf.DUMMYFUNCTION("""COMPUTED_VALUE"""),"Imtiyaz Pathan")</f>
        <v>Imtiyaz Pathan</v>
      </c>
      <c r="C390" s="5" t="str">
        <f>IFERROR(__xludf.DUMMYFUNCTION("""COMPUTED_VALUE"""),"imtiyaz.pathan@onixnet.com")</f>
        <v>imtiyaz.pathan@onixnet.com</v>
      </c>
      <c r="D390" s="4" t="s">
        <v>11</v>
      </c>
      <c r="E390" s="6" t="str">
        <f>IFERROR(__xludf.DUMMYFUNCTION("vlookup($A390,importrange(""1fyGnaViAX9kns28pvsfPvI9925sAI7kxPlM7jpuHVJM"",""Validation!A:Z""),11,0)"),"Product Engineering")</f>
        <v>Product Engineering</v>
      </c>
      <c r="F390" s="6" t="str">
        <f>IFERROR(__xludf.DUMMYFUNCTION("vlookup($A390,importrange(""1fyGnaViAX9kns28pvsfPvI9925sAI7kxPlM7jpuHVJM"",""Validation!A:Z""),23,0)"),"Dhiraj Kumar")</f>
        <v>Dhiraj Kumar</v>
      </c>
      <c r="G390" s="6" t="str">
        <f>IFERROR(__xludf.DUMMYFUNCTION("vlookup(A390,importrange(""1fyGnaViAX9kns28pvsfPvI9925sAI7kxPlM7jpuHVJM"",""Validation!A:Z""),22,0)"),"Cluster - Mayur")</f>
        <v>Cluster - Mayur</v>
      </c>
      <c r="H390" s="4" t="str">
        <f>IFERROR(__xludf.DUMMYFUNCTION("vlookup(C390,importrange(""1kw74ismGU34AsZ5x-W4x7F3Zt2xc8NSYcCVMrCJBmdQ"",""DRP for 8 products!B:C""),2,0)"),"ONIIPTJU8")</f>
        <v>ONIIPTJU8</v>
      </c>
      <c r="I390" s="7">
        <f>IFERROR(__xludf.DUMMYFUNCTION("vlookup(C390,importrange(""1kw74ismGU34AsZ5x-W4x7F3Zt2xc8NSYcCVMrCJBmdQ"",""DRP for 8 products!B:E""),4,0)"),14.0)</f>
        <v>14</v>
      </c>
      <c r="J390" s="8" t="str">
        <f t="shared" si="1"/>
        <v>Tier 4</v>
      </c>
      <c r="K390" s="9" t="str">
        <f t="shared" si="2"/>
        <v>Active</v>
      </c>
      <c r="L390" s="4" t="str">
        <f>IFERROR(__xludf.DUMMYFUNCTION("vlookup(C390,importrange(""1kw74ismGU34AsZ5x-W4x7F3Zt2xc8NSYcCVMrCJBmdQ"",""DRP for 8 products!B:H""),6,0)"),"BigQuery")</f>
        <v>BigQuery</v>
      </c>
      <c r="M390" s="10" t="str">
        <f t="shared" si="3"/>
        <v>Yes</v>
      </c>
    </row>
    <row r="391">
      <c r="A391" s="4" t="str">
        <f>IFERROR(__xludf.DUMMYFUNCTION("vlookup(C391,IMPORTRANGE(""1Kgoo8qyo6zMtf_5B03ksZz228jg0XpZ4_KXsdHQ4Vks"",""14 Sept!A:B""),2,0)"),"DME2719")</f>
        <v>DME2719</v>
      </c>
      <c r="B391" s="5" t="str">
        <f>IFERROR(__xludf.DUMMYFUNCTION("""COMPUTED_VALUE"""),"Urmila Satalkar")</f>
        <v>Urmila Satalkar</v>
      </c>
      <c r="C391" s="5" t="str">
        <f>IFERROR(__xludf.DUMMYFUNCTION("""COMPUTED_VALUE"""),"urmila.satalkar@onixnet.com")</f>
        <v>urmila.satalkar@onixnet.com</v>
      </c>
      <c r="D391" s="4" t="s">
        <v>11</v>
      </c>
      <c r="E391" s="6" t="str">
        <f>IFERROR(__xludf.DUMMYFUNCTION("vlookup($A391,importrange(""1fyGnaViAX9kns28pvsfPvI9925sAI7kxPlM7jpuHVJM"",""Validation!A:Z""),11,0)"),"Delivery Services")</f>
        <v>Delivery Services</v>
      </c>
      <c r="F391" s="6" t="str">
        <f>IFERROR(__xludf.DUMMYFUNCTION("vlookup($A391,importrange(""1fyGnaViAX9kns28pvsfPvI9925sAI7kxPlM7jpuHVJM"",""Validation!A:Z""),23,0)"),"Naveen Harish")</f>
        <v>Naveen Harish</v>
      </c>
      <c r="G391" s="6" t="str">
        <f>IFERROR(__xludf.DUMMYFUNCTION("vlookup(A391,importrange(""1fyGnaViAX9kns28pvsfPvI9925sAI7kxPlM7jpuHVJM"",""Validation!A:Z""),22,0)"),"Cluster - Varun")</f>
        <v>Cluster - Varun</v>
      </c>
      <c r="H391" s="4" t="str">
        <f>IFERROR(__xludf.DUMMYFUNCTION("vlookup(C391,importrange(""1kw74ismGU34AsZ5x-W4x7F3Zt2xc8NSYcCVMrCJBmdQ"",""DRP for 8 products!B:C""),2,0)"),"ONIUSUDA6")</f>
        <v>ONIUSUDA6</v>
      </c>
      <c r="I391" s="7">
        <f>IFERROR(__xludf.DUMMYFUNCTION("vlookup(C391,importrange(""1kw74ismGU34AsZ5x-W4x7F3Zt2xc8NSYcCVMrCJBmdQ"",""DRP for 8 products!B:E""),4,0)"),58.0)</f>
        <v>58</v>
      </c>
      <c r="J391" s="8" t="str">
        <f t="shared" si="1"/>
        <v>Tier 1</v>
      </c>
      <c r="K391" s="9" t="str">
        <f t="shared" si="2"/>
        <v>Active</v>
      </c>
      <c r="L391" s="4" t="str">
        <f>IFERROR(__xludf.DUMMYFUNCTION("vlookup(C391,importrange(""1kw74ismGU34AsZ5x-W4x7F3Zt2xc8NSYcCVMrCJBmdQ"",""DRP for 8 products!B:H""),6,0)"),"BigQuery")</f>
        <v>BigQuery</v>
      </c>
      <c r="M391" s="10" t="str">
        <f t="shared" si="3"/>
        <v>Yes</v>
      </c>
    </row>
    <row r="392">
      <c r="A392" s="4" t="str">
        <f>IFERROR(__xludf.DUMMYFUNCTION("vlookup(C392,IMPORTRANGE(""1Kgoo8qyo6zMtf_5B03ksZz228jg0XpZ4_KXsdHQ4Vks"",""14 Sept!A:B""),2,0)"),"DME2817")</f>
        <v>DME2817</v>
      </c>
      <c r="B392" s="5" t="str">
        <f>IFERROR(__xludf.DUMMYFUNCTION("""COMPUTED_VALUE"""),"Shaikhmalik Chaudhari")</f>
        <v>Shaikhmalik Chaudhari</v>
      </c>
      <c r="C392" s="5" t="str">
        <f>IFERROR(__xludf.DUMMYFUNCTION("""COMPUTED_VALUE"""),"shaikhmalik.c@onixnet.com")</f>
        <v>shaikhmalik.c@onixnet.com</v>
      </c>
      <c r="D392" s="4" t="s">
        <v>11</v>
      </c>
      <c r="E392" s="6" t="str">
        <f>IFERROR(__xludf.DUMMYFUNCTION("vlookup($A392,importrange(""1fyGnaViAX9kns28pvsfPvI9925sAI7kxPlM7jpuHVJM"",""Validation!A:Z""),11,0)"),"Delivery Services")</f>
        <v>Delivery Services</v>
      </c>
      <c r="F392" s="6" t="str">
        <f>IFERROR(__xludf.DUMMYFUNCTION("vlookup($A392,importrange(""1fyGnaViAX9kns28pvsfPvI9925sAI7kxPlM7jpuHVJM"",""Validation!A:Z""),23,0)"),"Sheela Sawant")</f>
        <v>Sheela Sawant</v>
      </c>
      <c r="G392" s="6" t="str">
        <f>IFERROR(__xludf.DUMMYFUNCTION("vlookup(A392,importrange(""1fyGnaViAX9kns28pvsfPvI9925sAI7kxPlM7jpuHVJM"",""Validation!A:Z""),22,0)"),"Cluster - Sagar")</f>
        <v>Cluster - Sagar</v>
      </c>
      <c r="H392" s="4" t="str">
        <f>IFERROR(__xludf.DUMMYFUNCTION("vlookup(C392,importrange(""1kw74ismGU34AsZ5x-W4x7F3Zt2xc8NSYcCVMrCJBmdQ"",""DRP for 8 products!B:C""),2,0)"),"ONISCVMB7")</f>
        <v>ONISCVMB7</v>
      </c>
      <c r="I392" s="7">
        <f>IFERROR(__xludf.DUMMYFUNCTION("vlookup(C392,importrange(""1kw74ismGU34AsZ5x-W4x7F3Zt2xc8NSYcCVMrCJBmdQ"",""DRP for 8 products!B:E""),4,0)"),59.0)</f>
        <v>59</v>
      </c>
      <c r="J392" s="8" t="str">
        <f t="shared" si="1"/>
        <v>Tier 1</v>
      </c>
      <c r="K392" s="9" t="str">
        <f t="shared" si="2"/>
        <v>Active</v>
      </c>
      <c r="L392" s="4" t="str">
        <f>IFERROR(__xludf.DUMMYFUNCTION("vlookup(C392,importrange(""1kw74ismGU34AsZ5x-W4x7F3Zt2xc8NSYcCVMrCJBmdQ"",""DRP for 8 products!B:H""),6,0)"),"Looker")</f>
        <v>Looker</v>
      </c>
      <c r="M392" s="10" t="str">
        <f t="shared" si="3"/>
        <v>Yes</v>
      </c>
    </row>
    <row r="393">
      <c r="A393" s="4" t="str">
        <f>IFERROR(__xludf.DUMMYFUNCTION("vlookup(C393,IMPORTRANGE(""1Kgoo8qyo6zMtf_5B03ksZz228jg0XpZ4_KXsdHQ4Vks"",""14 Sept!A:B""),2,0)"),"DME3013")</f>
        <v>DME3013</v>
      </c>
      <c r="B393" s="5" t="str">
        <f>IFERROR(__xludf.DUMMYFUNCTION("""COMPUTED_VALUE"""),"Vijender Bhardwaj")</f>
        <v>Vijender Bhardwaj</v>
      </c>
      <c r="C393" s="5" t="str">
        <f>IFERROR(__xludf.DUMMYFUNCTION("""COMPUTED_VALUE"""),"vijender.bhardwaj@onixnet.com")</f>
        <v>vijender.bhardwaj@onixnet.com</v>
      </c>
      <c r="D393" s="4" t="s">
        <v>11</v>
      </c>
      <c r="E393" s="6" t="str">
        <f>IFERROR(__xludf.DUMMYFUNCTION("vlookup($A393,importrange(""1fyGnaViAX9kns28pvsfPvI9925sAI7kxPlM7jpuHVJM"",""Validation!A:Z""),11,0)"),"Delivery Services")</f>
        <v>Delivery Services</v>
      </c>
      <c r="F393" s="6" t="str">
        <f>IFERROR(__xludf.DUMMYFUNCTION("vlookup($A393,importrange(""1fyGnaViAX9kns28pvsfPvI9925sAI7kxPlM7jpuHVJM"",""Validation!A:Z""),23,0)"),"Varun Katyal")</f>
        <v>Varun Katyal</v>
      </c>
      <c r="G393" s="6" t="str">
        <f>IFERROR(__xludf.DUMMYFUNCTION("vlookup(A393,importrange(""1fyGnaViAX9kns28pvsfPvI9925sAI7kxPlM7jpuHVJM"",""Validation!A:Z""),22,0)"),"Cluster - Varun")</f>
        <v>Cluster - Varun</v>
      </c>
      <c r="H393" s="4" t="str">
        <f>IFERROR(__xludf.DUMMYFUNCTION("vlookup(C393,importrange(""1kw74ismGU34AsZ5x-W4x7F3Zt2xc8NSYcCVMrCJBmdQ"",""DRP for 8 products!B:C""),2,0)"),"ONIVBDJA9")</f>
        <v>ONIVBDJA9</v>
      </c>
      <c r="I393" s="7">
        <f>IFERROR(__xludf.DUMMYFUNCTION("vlookup(C393,importrange(""1kw74ismGU34AsZ5x-W4x7F3Zt2xc8NSYcCVMrCJBmdQ"",""DRP for 8 products!B:E""),4,0)"),14.0)</f>
        <v>14</v>
      </c>
      <c r="J393" s="8" t="str">
        <f t="shared" si="1"/>
        <v>Tier 4</v>
      </c>
      <c r="K393" s="9" t="str">
        <f t="shared" si="2"/>
        <v>Active</v>
      </c>
      <c r="L393" s="4" t="str">
        <f>IFERROR(__xludf.DUMMYFUNCTION("vlookup(C393,importrange(""1kw74ismGU34AsZ5x-W4x7F3Zt2xc8NSYcCVMrCJBmdQ"",""DRP for 8 products!B:H""),6,0)"),"BigQuery")</f>
        <v>BigQuery</v>
      </c>
      <c r="M393" s="10" t="str">
        <f t="shared" si="3"/>
        <v>Yes</v>
      </c>
    </row>
    <row r="394">
      <c r="A394" s="4" t="str">
        <f>IFERROR(__xludf.DUMMYFUNCTION("vlookup(C394,IMPORTRANGE(""1Kgoo8qyo6zMtf_5B03ksZz228jg0XpZ4_KXsdHQ4Vks"",""14 Sept!A:B""),2,0)"),"DME2997")</f>
        <v>DME2997</v>
      </c>
      <c r="B394" s="5" t="str">
        <f>IFERROR(__xludf.DUMMYFUNCTION("""COMPUTED_VALUE"""),"Rajinder Thakur")</f>
        <v>Rajinder Thakur</v>
      </c>
      <c r="C394" s="5" t="str">
        <f>IFERROR(__xludf.DUMMYFUNCTION("""COMPUTED_VALUE"""),"rajinder.thakur@onixnet.com")</f>
        <v>rajinder.thakur@onixnet.com</v>
      </c>
      <c r="D394" s="4" t="s">
        <v>11</v>
      </c>
      <c r="E394" s="6" t="str">
        <f>IFERROR(__xludf.DUMMYFUNCTION("vlookup($A394,importrange(""1fyGnaViAX9kns28pvsfPvI9925sAI7kxPlM7jpuHVJM"",""Validation!A:Z""),11,0)"),"Delivery Services")</f>
        <v>Delivery Services</v>
      </c>
      <c r="F394" s="6" t="str">
        <f>IFERROR(__xludf.DUMMYFUNCTION("vlookup($A394,importrange(""1fyGnaViAX9kns28pvsfPvI9925sAI7kxPlM7jpuHVJM"",""Validation!A:Z""),23,0)"),"Varun Katyal")</f>
        <v>Varun Katyal</v>
      </c>
      <c r="G394" s="6" t="str">
        <f>IFERROR(__xludf.DUMMYFUNCTION("vlookup(A394,importrange(""1fyGnaViAX9kns28pvsfPvI9925sAI7kxPlM7jpuHVJM"",""Validation!A:Z""),22,0)"),"Cluster - Varun")</f>
        <v>Cluster - Varun</v>
      </c>
      <c r="H394" s="4" t="str">
        <f>IFERROR(__xludf.DUMMYFUNCTION("vlookup(C394,importrange(""1kw74ismGU34AsZ5x-W4x7F3Zt2xc8NSYcCVMrCJBmdQ"",""DRP for 8 products!B:C""),2,0)"),"ONIRTTLT0")</f>
        <v>ONIRTTLT0</v>
      </c>
      <c r="I394" s="7">
        <f>IFERROR(__xludf.DUMMYFUNCTION("vlookup(C394,importrange(""1kw74ismGU34AsZ5x-W4x7F3Zt2xc8NSYcCVMrCJBmdQ"",""DRP for 8 products!B:E""),4,0)"),19.0)</f>
        <v>19</v>
      </c>
      <c r="J394" s="8" t="str">
        <f t="shared" si="1"/>
        <v>Tier 4</v>
      </c>
      <c r="K394" s="9" t="str">
        <f t="shared" si="2"/>
        <v>Active</v>
      </c>
      <c r="L394" s="4" t="str">
        <f>IFERROR(__xludf.DUMMYFUNCTION("vlookup(C394,importrange(""1kw74ismGU34AsZ5x-W4x7F3Zt2xc8NSYcCVMrCJBmdQ"",""DRP for 8 products!B:H""),6,0)"),"AlloyDB for PostgreSQL")</f>
        <v>AlloyDB for PostgreSQL</v>
      </c>
      <c r="M394" s="10" t="str">
        <f t="shared" si="3"/>
        <v>Yes</v>
      </c>
    </row>
    <row r="395">
      <c r="A395" s="4" t="str">
        <f>IFERROR(__xludf.DUMMYFUNCTION("vlookup(C395,IMPORTRANGE(""1Kgoo8qyo6zMtf_5B03ksZz228jg0XpZ4_KXsdHQ4Vks"",""14 Sept!A:B""),2,0)"),"DMSI0103")</f>
        <v>DMSI0103</v>
      </c>
      <c r="B395" s="5" t="str">
        <f>IFERROR(__xludf.DUMMYFUNCTION("""COMPUTED_VALUE"""),"venkata hari krishna malyala")</f>
        <v>venkata hari krishna malyala</v>
      </c>
      <c r="C395" s="5" t="str">
        <f>IFERROR(__xludf.DUMMYFUNCTION("""COMPUTED_VALUE"""),"venkata.malyala@onixnet.com")</f>
        <v>venkata.malyala@onixnet.com</v>
      </c>
      <c r="D395" s="4" t="s">
        <v>11</v>
      </c>
      <c r="E395" s="6" t="str">
        <f>IFERROR(__xludf.DUMMYFUNCTION("vlookup($A395,importrange(""1fyGnaViAX9kns28pvsfPvI9925sAI7kxPlM7jpuHVJM"",""Validation!A:Z""),11,0)"),"Services")</f>
        <v>Services</v>
      </c>
      <c r="F395" s="6" t="str">
        <f>IFERROR(__xludf.DUMMYFUNCTION("vlookup($A395,importrange(""1fyGnaViAX9kns28pvsfPvI9925sAI7kxPlM7jpuHVJM"",""Validation!A:Z""),23,0)"),"Vrushali Srivastava")</f>
        <v>Vrushali Srivastava</v>
      </c>
      <c r="G395" s="6" t="str">
        <f>IFERROR(__xludf.DUMMYFUNCTION("vlookup(A395,importrange(""1fyGnaViAX9kns28pvsfPvI9925sAI7kxPlM7jpuHVJM"",""Validation!A:Z""),22,0)"),"Portfolio - Rajesh")</f>
        <v>Portfolio - Rajesh</v>
      </c>
      <c r="H395" s="4" t="str">
        <f>IFERROR(__xludf.DUMMYFUNCTION("vlookup(C395,importrange(""1kw74ismGU34AsZ5x-W4x7F3Zt2xc8NSYcCVMrCJBmdQ"",""DRP for 8 products!B:C""),2,0)"),"ONIVMWBI5")</f>
        <v>ONIVMWBI5</v>
      </c>
      <c r="I395" s="7">
        <f>IFERROR(__xludf.DUMMYFUNCTION("vlookup(C395,importrange(""1kw74ismGU34AsZ5x-W4x7F3Zt2xc8NSYcCVMrCJBmdQ"",""DRP for 8 products!B:E""),4,0)"),10.0)</f>
        <v>10</v>
      </c>
      <c r="J395" s="8" t="str">
        <f t="shared" si="1"/>
        <v>Tier 4</v>
      </c>
      <c r="K395" s="9" t="str">
        <f t="shared" si="2"/>
        <v>Active</v>
      </c>
      <c r="L395" s="4" t="str">
        <f>IFERROR(__xludf.DUMMYFUNCTION("vlookup(C395,importrange(""1kw74ismGU34AsZ5x-W4x7F3Zt2xc8NSYcCVMrCJBmdQ"",""DRP for 8 products!B:H""),6,0)"),"Dataflow")</f>
        <v>Dataflow</v>
      </c>
      <c r="M395" s="10" t="str">
        <f t="shared" si="3"/>
        <v>Yes</v>
      </c>
    </row>
    <row r="396">
      <c r="A396" s="4" t="str">
        <f>IFERROR(__xludf.DUMMYFUNCTION("vlookup(C396,IMPORTRANGE(""1Kgoo8qyo6zMtf_5B03ksZz228jg0XpZ4_KXsdHQ4Vks"",""14 Sept!A:B""),2,0)"),"DMC1062")</f>
        <v>DMC1062</v>
      </c>
      <c r="B396" s="5" t="str">
        <f>IFERROR(__xludf.DUMMYFUNCTION("""COMPUTED_VALUE"""),"Aditya Hans")</f>
        <v>Aditya Hans</v>
      </c>
      <c r="C396" s="5" t="str">
        <f>IFERROR(__xludf.DUMMYFUNCTION("""COMPUTED_VALUE"""),"aditya.hans@onixnet.com")</f>
        <v>aditya.hans@onixnet.com</v>
      </c>
      <c r="D396" s="4" t="s">
        <v>11</v>
      </c>
      <c r="E396" s="6" t="str">
        <f>IFERROR(__xludf.DUMMYFUNCTION("vlookup($A396,importrange(""1fyGnaViAX9kns28pvsfPvI9925sAI7kxPlM7jpuHVJM"",""Validation!A:Z""),11,0)"),"Delivery Services")</f>
        <v>Delivery Services</v>
      </c>
      <c r="F396" s="6" t="str">
        <f>IFERROR(__xludf.DUMMYFUNCTION("vlookup($A396,importrange(""1fyGnaViAX9kns28pvsfPvI9925sAI7kxPlM7jpuHVJM"",""Validation!A:Z""),23,0)"),"Mayur Tawhare")</f>
        <v>Mayur Tawhare</v>
      </c>
      <c r="G396" s="6" t="str">
        <f>IFERROR(__xludf.DUMMYFUNCTION("vlookup(A396,importrange(""1fyGnaViAX9kns28pvsfPvI9925sAI7kxPlM7jpuHVJM"",""Validation!A:Z""),22,0)"),"Cluster - Varun")</f>
        <v>Cluster - Varun</v>
      </c>
      <c r="H396" s="4" t="str">
        <f>IFERROR(__xludf.DUMMYFUNCTION("vlookup(C396,importrange(""1kw74ismGU34AsZ5x-W4x7F3Zt2xc8NSYcCVMrCJBmdQ"",""DRP for 8 products!B:C""),2,0)"),"ONIAHKCD2")</f>
        <v>ONIAHKCD2</v>
      </c>
      <c r="I396" s="7">
        <f>IFERROR(__xludf.DUMMYFUNCTION("vlookup(C396,importrange(""1kw74ismGU34AsZ5x-W4x7F3Zt2xc8NSYcCVMrCJBmdQ"",""DRP for 8 products!B:E""),4,0)"),35.0)</f>
        <v>35</v>
      </c>
      <c r="J396" s="8" t="str">
        <f t="shared" si="1"/>
        <v>Tier 2</v>
      </c>
      <c r="K396" s="9" t="str">
        <f t="shared" si="2"/>
        <v>Active</v>
      </c>
      <c r="L396" s="4" t="str">
        <f>IFERROR(__xludf.DUMMYFUNCTION("vlookup(C396,importrange(""1kw74ismGU34AsZ5x-W4x7F3Zt2xc8NSYcCVMrCJBmdQ"",""DRP for 8 products!B:H""),6,0)"),"BigQuery")</f>
        <v>BigQuery</v>
      </c>
      <c r="M396" s="10" t="str">
        <f t="shared" si="3"/>
        <v>Yes</v>
      </c>
    </row>
    <row r="397">
      <c r="A397" s="4" t="str">
        <f>IFERROR(__xludf.DUMMYFUNCTION("vlookup(C397,IMPORTRANGE(""1Kgoo8qyo6zMtf_5B03ksZz228jg0XpZ4_KXsdHQ4Vks"",""14 Sept!A:B""),2,0)"),"DME3362")</f>
        <v>DME3362</v>
      </c>
      <c r="B397" s="5" t="str">
        <f>IFERROR(__xludf.DUMMYFUNCTION("""COMPUTED_VALUE"""),"Soham Kulkarni")</f>
        <v>Soham Kulkarni</v>
      </c>
      <c r="C397" s="5" t="str">
        <f>IFERROR(__xludf.DUMMYFUNCTION("""COMPUTED_VALUE"""),"soham.kulkarni@onixnet.com")</f>
        <v>soham.kulkarni@onixnet.com</v>
      </c>
      <c r="D397" s="4" t="s">
        <v>11</v>
      </c>
      <c r="E397" s="6" t="str">
        <f>IFERROR(__xludf.DUMMYFUNCTION("vlookup($A397,importrange(""1fyGnaViAX9kns28pvsfPvI9925sAI7kxPlM7jpuHVJM"",""Validation!A:Z""),11,0)"),"Product Engineering")</f>
        <v>Product Engineering</v>
      </c>
      <c r="F397" s="6" t="str">
        <f>IFERROR(__xludf.DUMMYFUNCTION("vlookup($A397,importrange(""1fyGnaViAX9kns28pvsfPvI9925sAI7kxPlM7jpuHVJM"",""Validation!A:Z""),23,0)"),"Samarth Chowksay")</f>
        <v>Samarth Chowksay</v>
      </c>
      <c r="G397" s="6" t="str">
        <f>IFERROR(__xludf.DUMMYFUNCTION("vlookup(A397,importrange(""1fyGnaViAX9kns28pvsfPvI9925sAI7kxPlM7jpuHVJM"",""Validation!A:Z""),22,0)"),"Cluster - Mayur")</f>
        <v>Cluster - Mayur</v>
      </c>
      <c r="H397" s="4" t="str">
        <f>IFERROR(__xludf.DUMMYFUNCTION("vlookup(C397,importrange(""1kw74ismGU34AsZ5x-W4x7F3Zt2xc8NSYcCVMrCJBmdQ"",""DRP for 8 products!B:C""),2,0)"),"ONISKVRT6")</f>
        <v>ONISKVRT6</v>
      </c>
      <c r="I397" s="7">
        <f>IFERROR(__xludf.DUMMYFUNCTION("vlookup(C397,importrange(""1kw74ismGU34AsZ5x-W4x7F3Zt2xc8NSYcCVMrCJBmdQ"",""DRP for 8 products!B:E""),4,0)"),11.0)</f>
        <v>11</v>
      </c>
      <c r="J397" s="8" t="str">
        <f t="shared" si="1"/>
        <v>Tier 4</v>
      </c>
      <c r="K397" s="9" t="str">
        <f t="shared" si="2"/>
        <v>Active</v>
      </c>
      <c r="L397" s="4" t="str">
        <f>IFERROR(__xludf.DUMMYFUNCTION("vlookup(C397,importrange(""1kw74ismGU34AsZ5x-W4x7F3Zt2xc8NSYcCVMrCJBmdQ"",""DRP for 8 products!B:H""),6,0)"),"BigQuery")</f>
        <v>BigQuery</v>
      </c>
      <c r="M397" s="10" t="str">
        <f t="shared" si="3"/>
        <v>Yes</v>
      </c>
    </row>
    <row r="398">
      <c r="A398" s="4" t="str">
        <f>IFERROR(__xludf.DUMMYFUNCTION("vlookup(C398,IMPORTRANGE(""1Kgoo8qyo6zMtf_5B03ksZz228jg0XpZ4_KXsdHQ4Vks"",""14 Sept!A:B""),2,0)"),"DME2909")</f>
        <v>DME2909</v>
      </c>
      <c r="B398" s="5" t="str">
        <f>IFERROR(__xludf.DUMMYFUNCTION("""COMPUTED_VALUE"""),"Komal Shetkar")</f>
        <v>Komal Shetkar</v>
      </c>
      <c r="C398" s="5" t="str">
        <f>IFERROR(__xludf.DUMMYFUNCTION("""COMPUTED_VALUE"""),"komal.shetkar@onixnet.com")</f>
        <v>komal.shetkar@onixnet.com</v>
      </c>
      <c r="D398" s="4" t="s">
        <v>11</v>
      </c>
      <c r="E398" s="6" t="str">
        <f>IFERROR(__xludf.DUMMYFUNCTION("vlookup($A398,importrange(""1fyGnaViAX9kns28pvsfPvI9925sAI7kxPlM7jpuHVJM"",""Validation!A:Z""),11,0)"),"Product Engineering")</f>
        <v>Product Engineering</v>
      </c>
      <c r="F398" s="6" t="str">
        <f>IFERROR(__xludf.DUMMYFUNCTION("vlookup($A398,importrange(""1fyGnaViAX9kns28pvsfPvI9925sAI7kxPlM7jpuHVJM"",""Validation!A:Z""),23,0)"),"Kamlesh Kumar")</f>
        <v>Kamlesh Kumar</v>
      </c>
      <c r="G398" s="6" t="str">
        <f>IFERROR(__xludf.DUMMYFUNCTION("vlookup(A398,importrange(""1fyGnaViAX9kns28pvsfPvI9925sAI7kxPlM7jpuHVJM"",""Validation!A:Z""),22,0)"),"Cluster - Mayur")</f>
        <v>Cluster - Mayur</v>
      </c>
      <c r="H398" s="4" t="str">
        <f>IFERROR(__xludf.DUMMYFUNCTION("vlookup(C398,importrange(""1kw74ismGU34AsZ5x-W4x7F3Zt2xc8NSYcCVMrCJBmdQ"",""DRP for 8 products!B:C""),2,0)"),"ONIKSCEQ3")</f>
        <v>ONIKSCEQ3</v>
      </c>
      <c r="I398" s="7">
        <f>IFERROR(__xludf.DUMMYFUNCTION("vlookup(C398,importrange(""1kw74ismGU34AsZ5x-W4x7F3Zt2xc8NSYcCVMrCJBmdQ"",""DRP for 8 products!B:E""),4,0)"),15.0)</f>
        <v>15</v>
      </c>
      <c r="J398" s="8" t="str">
        <f t="shared" si="1"/>
        <v>Tier 4</v>
      </c>
      <c r="K398" s="9" t="str">
        <f t="shared" si="2"/>
        <v>Active</v>
      </c>
      <c r="L398" s="4" t="str">
        <f>IFERROR(__xludf.DUMMYFUNCTION("vlookup(C398,importrange(""1kw74ismGU34AsZ5x-W4x7F3Zt2xc8NSYcCVMrCJBmdQ"",""DRP for 8 products!B:H""),6,0)"),"Dataflow")</f>
        <v>Dataflow</v>
      </c>
      <c r="M398" s="10" t="str">
        <f t="shared" si="3"/>
        <v>Yes</v>
      </c>
    </row>
    <row r="399">
      <c r="A399" s="4" t="str">
        <f>IFERROR(__xludf.DUMMYFUNCTION("vlookup(C399,IMPORTRANGE(""1Kgoo8qyo6zMtf_5B03ksZz228jg0XpZ4_KXsdHQ4Vks"",""14 Sept!A:B""),2,0)"),"DME2714")</f>
        <v>DME2714</v>
      </c>
      <c r="B399" s="5" t="str">
        <f>IFERROR(__xludf.DUMMYFUNCTION("""COMPUTED_VALUE"""),"Atharva Pawar")</f>
        <v>Atharva Pawar</v>
      </c>
      <c r="C399" s="5" t="str">
        <f>IFERROR(__xludf.DUMMYFUNCTION("""COMPUTED_VALUE"""),"atharva.pawar@onixnet.com")</f>
        <v>atharva.pawar@onixnet.com</v>
      </c>
      <c r="D399" s="4" t="s">
        <v>11</v>
      </c>
      <c r="E399" s="6" t="str">
        <f>IFERROR(__xludf.DUMMYFUNCTION("vlookup($A399,importrange(""1fyGnaViAX9kns28pvsfPvI9925sAI7kxPlM7jpuHVJM"",""Validation!A:Z""),11,0)"),"Delivery Services")</f>
        <v>Delivery Services</v>
      </c>
      <c r="F399" s="6" t="str">
        <f>IFERROR(__xludf.DUMMYFUNCTION("vlookup($A399,importrange(""1fyGnaViAX9kns28pvsfPvI9925sAI7kxPlM7jpuHVJM"",""Validation!A:Z""),23,0)"),"Priyanka Parab")</f>
        <v>Priyanka Parab</v>
      </c>
      <c r="G399" s="6" t="str">
        <f>IFERROR(__xludf.DUMMYFUNCTION("vlookup(A399,importrange(""1fyGnaViAX9kns28pvsfPvI9925sAI7kxPlM7jpuHVJM"",""Validation!A:Z""),22,0)"),"Cluster - Sagar")</f>
        <v>Cluster - Sagar</v>
      </c>
      <c r="H399" s="4" t="str">
        <f>IFERROR(__xludf.DUMMYFUNCTION("vlookup(C399,importrange(""1kw74ismGU34AsZ5x-W4x7F3Zt2xc8NSYcCVMrCJBmdQ"",""DRP for 8 products!B:C""),2,0)"),"ONIAPRAU2")</f>
        <v>ONIAPRAU2</v>
      </c>
      <c r="I399" s="7">
        <f>IFERROR(__xludf.DUMMYFUNCTION("vlookup(C399,importrange(""1kw74ismGU34AsZ5x-W4x7F3Zt2xc8NSYcCVMrCJBmdQ"",""DRP for 8 products!B:E""),4,0)"),27.0)</f>
        <v>27</v>
      </c>
      <c r="J399" s="8" t="str">
        <f t="shared" si="1"/>
        <v>Tier 3</v>
      </c>
      <c r="K399" s="9" t="str">
        <f t="shared" si="2"/>
        <v>Active</v>
      </c>
      <c r="L399" s="4" t="str">
        <f>IFERROR(__xludf.DUMMYFUNCTION("vlookup(C399,importrange(""1kw74ismGU34AsZ5x-W4x7F3Zt2xc8NSYcCVMrCJBmdQ"",""DRP for 8 products!B:H""),6,0)"),"BigQuery")</f>
        <v>BigQuery</v>
      </c>
      <c r="M399" s="10" t="str">
        <f t="shared" si="3"/>
        <v>Yes</v>
      </c>
    </row>
    <row r="400">
      <c r="A400" s="4" t="str">
        <f>IFERROR(__xludf.DUMMYFUNCTION("vlookup(C400,IMPORTRANGE(""1Kgoo8qyo6zMtf_5B03ksZz228jg0XpZ4_KXsdHQ4Vks"",""14 Sept!A:B""),2,0)"),"DME2717")</f>
        <v>DME2717</v>
      </c>
      <c r="B400" s="5" t="str">
        <f>IFERROR(__xludf.DUMMYFUNCTION("""COMPUTED_VALUE"""),"Sushrut Gaikwad")</f>
        <v>Sushrut Gaikwad</v>
      </c>
      <c r="C400" s="5" t="str">
        <f>IFERROR(__xludf.DUMMYFUNCTION("""COMPUTED_VALUE"""),"sushrut.gaikwad@onixnet.com")</f>
        <v>sushrut.gaikwad@onixnet.com</v>
      </c>
      <c r="D400" s="4" t="s">
        <v>11</v>
      </c>
      <c r="E400" s="6" t="str">
        <f>IFERROR(__xludf.DUMMYFUNCTION("vlookup($A400,importrange(""1fyGnaViAX9kns28pvsfPvI9925sAI7kxPlM7jpuHVJM"",""Validation!A:Z""),11,0)"),"Delivery Services")</f>
        <v>Delivery Services</v>
      </c>
      <c r="F400" s="6" t="str">
        <f>IFERROR(__xludf.DUMMYFUNCTION("vlookup($A400,importrange(""1fyGnaViAX9kns28pvsfPvI9925sAI7kxPlM7jpuHVJM"",""Validation!A:Z""),23,0)"),"Pratik Karpe")</f>
        <v>Pratik Karpe</v>
      </c>
      <c r="G400" s="6" t="str">
        <f>IFERROR(__xludf.DUMMYFUNCTION("vlookup(A400,importrange(""1fyGnaViAX9kns28pvsfPvI9925sAI7kxPlM7jpuHVJM"",""Validation!A:Z""),22,0)"),"Cluster - Gaurav")</f>
        <v>Cluster - Gaurav</v>
      </c>
      <c r="H400" s="4" t="str">
        <f>IFERROR(__xludf.DUMMYFUNCTION("vlookup(C400,importrange(""1kw74ismGU34AsZ5x-W4x7F3Zt2xc8NSYcCVMrCJBmdQ"",""DRP for 8 products!B:C""),2,0)"),"ONISGMDA6")</f>
        <v>ONISGMDA6</v>
      </c>
      <c r="I400" s="7">
        <f>IFERROR(__xludf.DUMMYFUNCTION("vlookup(C400,importrange(""1kw74ismGU34AsZ5x-W4x7F3Zt2xc8NSYcCVMrCJBmdQ"",""DRP for 8 products!B:E""),4,0)"),62.0)</f>
        <v>62</v>
      </c>
      <c r="J400" s="8" t="str">
        <f t="shared" si="1"/>
        <v>Tier 1</v>
      </c>
      <c r="K400" s="9" t="str">
        <f t="shared" si="2"/>
        <v>Active</v>
      </c>
      <c r="L400" s="4" t="str">
        <f>IFERROR(__xludf.DUMMYFUNCTION("vlookup(C400,importrange(""1kw74ismGU34AsZ5x-W4x7F3Zt2xc8NSYcCVMrCJBmdQ"",""DRP for 8 products!B:H""),6,0)"),"BigQuery")</f>
        <v>BigQuery</v>
      </c>
      <c r="M400" s="10" t="str">
        <f t="shared" si="3"/>
        <v>Yes</v>
      </c>
    </row>
    <row r="401">
      <c r="A401" s="4" t="str">
        <f>IFERROR(__xludf.DUMMYFUNCTION("vlookup(C401,IMPORTRANGE(""1Kgoo8qyo6zMtf_5B03ksZz228jg0XpZ4_KXsdHQ4Vks"",""14 Sept!A:B""),2,0)"),"DME2152")</f>
        <v>DME2152</v>
      </c>
      <c r="B401" s="5" t="str">
        <f>IFERROR(__xludf.DUMMYFUNCTION("""COMPUTED_VALUE"""),"Mukul kale")</f>
        <v>Mukul kale</v>
      </c>
      <c r="C401" s="5" t="str">
        <f>IFERROR(__xludf.DUMMYFUNCTION("""COMPUTED_VALUE"""),"mukul.kale@onixnet.com")</f>
        <v>mukul.kale@onixnet.com</v>
      </c>
      <c r="D401" s="4" t="s">
        <v>11</v>
      </c>
      <c r="E401" s="6" t="str">
        <f>IFERROR(__xludf.DUMMYFUNCTION("vlookup($A401,importrange(""1fyGnaViAX9kns28pvsfPvI9925sAI7kxPlM7jpuHVJM"",""Validation!A:Z""),11,0)"),"Delivery Services")</f>
        <v>Delivery Services</v>
      </c>
      <c r="F401" s="6" t="str">
        <f>IFERROR(__xludf.DUMMYFUNCTION("vlookup($A401,importrange(""1fyGnaViAX9kns28pvsfPvI9925sAI7kxPlM7jpuHVJM"",""Validation!A:Z""),23,0)"),"Anand Saraf")</f>
        <v>Anand Saraf</v>
      </c>
      <c r="G401" s="6" t="str">
        <f>IFERROR(__xludf.DUMMYFUNCTION("vlookup(A401,importrange(""1fyGnaViAX9kns28pvsfPvI9925sAI7kxPlM7jpuHVJM"",""Validation!A:Z""),22,0)"),"Cluster - Sachin")</f>
        <v>Cluster - Sachin</v>
      </c>
      <c r="H401" s="4" t="str">
        <f>IFERROR(__xludf.DUMMYFUNCTION("vlookup(C401,importrange(""1kw74ismGU34AsZ5x-W4x7F3Zt2xc8NSYcCVMrCJBmdQ"",""DRP for 8 products!B:C""),2,0)"),"ONIMKQBR8")</f>
        <v>ONIMKQBR8</v>
      </c>
      <c r="I401" s="7">
        <f>IFERROR(__xludf.DUMMYFUNCTION("vlookup(C401,importrange(""1kw74ismGU34AsZ5x-W4x7F3Zt2xc8NSYcCVMrCJBmdQ"",""DRP for 8 products!B:E""),4,0)"),40.0)</f>
        <v>40</v>
      </c>
      <c r="J401" s="8" t="str">
        <f t="shared" si="1"/>
        <v>Tier 2</v>
      </c>
      <c r="K401" s="9" t="str">
        <f t="shared" si="2"/>
        <v>Active</v>
      </c>
      <c r="L401" s="4" t="str">
        <f>IFERROR(__xludf.DUMMYFUNCTION("vlookup(C401,importrange(""1kw74ismGU34AsZ5x-W4x7F3Zt2xc8NSYcCVMrCJBmdQ"",""DRP for 8 products!B:H""),6,0)"),"BigQuery")</f>
        <v>BigQuery</v>
      </c>
      <c r="M401" s="10" t="str">
        <f t="shared" si="3"/>
        <v>Yes</v>
      </c>
    </row>
    <row r="402">
      <c r="A402" s="4" t="str">
        <f>IFERROR(__xludf.DUMMYFUNCTION("vlookup(C402,IMPORTRANGE(""1Kgoo8qyo6zMtf_5B03ksZz228jg0XpZ4_KXsdHQ4Vks"",""14 Sept!A:B""),2,0)"),"DME3083")</f>
        <v>DME3083</v>
      </c>
      <c r="B402" s="5" t="str">
        <f>IFERROR(__xludf.DUMMYFUNCTION("""COMPUTED_VALUE"""),"Sai Ram Annavarapu")</f>
        <v>Sai Ram Annavarapu</v>
      </c>
      <c r="C402" s="5" t="str">
        <f>IFERROR(__xludf.DUMMYFUNCTION("""COMPUTED_VALUE"""),"sai.annavarapu@onixnet.com")</f>
        <v>sai.annavarapu@onixnet.com</v>
      </c>
      <c r="D402" s="4" t="s">
        <v>11</v>
      </c>
      <c r="E402" s="6" t="str">
        <f>IFERROR(__xludf.DUMMYFUNCTION("vlookup($A402,importrange(""1fyGnaViAX9kns28pvsfPvI9925sAI7kxPlM7jpuHVJM"",""Validation!A:Z""),11,0)"),"Delivery Services")</f>
        <v>Delivery Services</v>
      </c>
      <c r="F402" s="6" t="str">
        <f>IFERROR(__xludf.DUMMYFUNCTION("vlookup($A402,importrange(""1fyGnaViAX9kns28pvsfPvI9925sAI7kxPlM7jpuHVJM"",""Validation!A:Z""),23,0)"),"Manoj Patil")</f>
        <v>Manoj Patil</v>
      </c>
      <c r="G402" s="6" t="str">
        <f>IFERROR(__xludf.DUMMYFUNCTION("vlookup(A402,importrange(""1fyGnaViAX9kns28pvsfPvI9925sAI7kxPlM7jpuHVJM"",""Validation!A:Z""),22,0)"),"Cluster - Shreepad")</f>
        <v>Cluster - Shreepad</v>
      </c>
      <c r="H402" s="4" t="str">
        <f>IFERROR(__xludf.DUMMYFUNCTION("vlookup(C402,importrange(""1kw74ismGU34AsZ5x-W4x7F3Zt2xc8NSYcCVMrCJBmdQ"",""DRP for 8 products!B:C""),2,0)"),"ONISALBT9")</f>
        <v>ONISALBT9</v>
      </c>
      <c r="I402" s="7">
        <f>IFERROR(__xludf.DUMMYFUNCTION("vlookup(C402,importrange(""1kw74ismGU34AsZ5x-W4x7F3Zt2xc8NSYcCVMrCJBmdQ"",""DRP for 8 products!B:E""),4,0)"),44.0)</f>
        <v>44</v>
      </c>
      <c r="J402" s="8" t="str">
        <f t="shared" si="1"/>
        <v>Tier 2</v>
      </c>
      <c r="K402" s="9" t="str">
        <f t="shared" si="2"/>
        <v>Active</v>
      </c>
      <c r="L402" s="4" t="str">
        <f>IFERROR(__xludf.DUMMYFUNCTION("vlookup(C402,importrange(""1kw74ismGU34AsZ5x-W4x7F3Zt2xc8NSYcCVMrCJBmdQ"",""DRP for 8 products!B:H""),6,0)"),"BigQuery")</f>
        <v>BigQuery</v>
      </c>
      <c r="M402" s="10" t="str">
        <f t="shared" si="3"/>
        <v>Yes</v>
      </c>
    </row>
    <row r="403">
      <c r="A403" s="4" t="str">
        <f>IFERROR(__xludf.DUMMYFUNCTION("vlookup(C403,IMPORTRANGE(""1Kgoo8qyo6zMtf_5B03ksZz228jg0XpZ4_KXsdHQ4Vks"",""14 Sept!A:B""),2,0)"),"DMC1131")</f>
        <v>DMC1131</v>
      </c>
      <c r="B403" s="5" t="str">
        <f>IFERROR(__xludf.DUMMYFUNCTION("""COMPUTED_VALUE"""),"Biren Modi")</f>
        <v>Biren Modi</v>
      </c>
      <c r="C403" s="5" t="str">
        <f>IFERROR(__xludf.DUMMYFUNCTION("""COMPUTED_VALUE"""),"biren.modi@onixnet.us")</f>
        <v>biren.modi@onixnet.us</v>
      </c>
      <c r="D403" s="4" t="s">
        <v>11</v>
      </c>
      <c r="E403" s="6" t="str">
        <f>IFERROR(__xludf.DUMMYFUNCTION("vlookup($A403,importrange(""1fyGnaViAX9kns28pvsfPvI9925sAI7kxPlM7jpuHVJM"",""Validation!A:Z""),11,0)"),"Delivery Services")</f>
        <v>Delivery Services</v>
      </c>
      <c r="F403" s="6" t="str">
        <f>IFERROR(__xludf.DUMMYFUNCTION("vlookup($A403,importrange(""1fyGnaViAX9kns28pvsfPvI9925sAI7kxPlM7jpuHVJM"",""Validation!A:Z""),23,0)"),"Mayur Tawhare")</f>
        <v>Mayur Tawhare</v>
      </c>
      <c r="G403" s="6" t="str">
        <f>IFERROR(__xludf.DUMMYFUNCTION("vlookup(A403,importrange(""1fyGnaViAX9kns28pvsfPvI9925sAI7kxPlM7jpuHVJM"",""Validation!A:Z""),22,0)"),"Cluster - Varun")</f>
        <v>Cluster - Varun</v>
      </c>
      <c r="H403" s="4" t="str">
        <f>IFERROR(__xludf.DUMMYFUNCTION("vlookup(C403,importrange(""1kw74ismGU34AsZ5x-W4x7F3Zt2xc8NSYcCVMrCJBmdQ"",""DRP for 8 products!B:C""),2,0)"),"ONIBMQPZ6")</f>
        <v>ONIBMQPZ6</v>
      </c>
      <c r="I403" s="7">
        <f>IFERROR(__xludf.DUMMYFUNCTION("vlookup(C403,importrange(""1kw74ismGU34AsZ5x-W4x7F3Zt2xc8NSYcCVMrCJBmdQ"",""DRP for 8 products!B:E""),4,0)"),9.0)</f>
        <v>9</v>
      </c>
      <c r="J403" s="8" t="str">
        <f t="shared" si="1"/>
        <v>Tier 4</v>
      </c>
      <c r="K403" s="9" t="str">
        <f t="shared" si="2"/>
        <v>Active</v>
      </c>
      <c r="L403" s="4" t="str">
        <f>IFERROR(__xludf.DUMMYFUNCTION("vlookup(C403,importrange(""1kw74ismGU34AsZ5x-W4x7F3Zt2xc8NSYcCVMrCJBmdQ"",""DRP for 8 products!B:H""),6,0)"),"Cloud SQL")</f>
        <v>Cloud SQL</v>
      </c>
      <c r="M403" s="10" t="str">
        <f t="shared" si="3"/>
        <v>Yes</v>
      </c>
    </row>
    <row r="404">
      <c r="A404" s="4" t="str">
        <f>IFERROR(__xludf.DUMMYFUNCTION("vlookup(C404,IMPORTRANGE(""1Kgoo8qyo6zMtf_5B03ksZz228jg0XpZ4_KXsdHQ4Vks"",""14 Sept!A:B""),2,0)"),"DME3016")</f>
        <v>DME3016</v>
      </c>
      <c r="B404" s="5" t="str">
        <f>IFERROR(__xludf.DUMMYFUNCTION("""COMPUTED_VALUE"""),"Pramod Mhalaskar")</f>
        <v>Pramod Mhalaskar</v>
      </c>
      <c r="C404" s="5" t="str">
        <f>IFERROR(__xludf.DUMMYFUNCTION("""COMPUTED_VALUE"""),"pramod.mhalaskar@onixnet.com")</f>
        <v>pramod.mhalaskar@onixnet.com</v>
      </c>
      <c r="D404" s="4" t="s">
        <v>11</v>
      </c>
      <c r="E404" s="6" t="str">
        <f>IFERROR(__xludf.DUMMYFUNCTION("vlookup($A404,importrange(""1fyGnaViAX9kns28pvsfPvI9925sAI7kxPlM7jpuHVJM"",""Validation!A:Z""),11,0)"),"Delivery Services")</f>
        <v>Delivery Services</v>
      </c>
      <c r="F404" s="6" t="str">
        <f>IFERROR(__xludf.DUMMYFUNCTION("vlookup($A404,importrange(""1fyGnaViAX9kns28pvsfPvI9925sAI7kxPlM7jpuHVJM"",""Validation!A:Z""),23,0)"),"Sneha Bhatambrekar")</f>
        <v>Sneha Bhatambrekar</v>
      </c>
      <c r="G404" s="6" t="str">
        <f>IFERROR(__xludf.DUMMYFUNCTION("vlookup(A404,importrange(""1fyGnaViAX9kns28pvsfPvI9925sAI7kxPlM7jpuHVJM"",""Validation!A:Z""),22,0)"),"Cluster - Sandeep")</f>
        <v>Cluster - Sandeep</v>
      </c>
      <c r="H404" s="4" t="str">
        <f>IFERROR(__xludf.DUMMYFUNCTION("vlookup(C404,importrange(""1kw74ismGU34AsZ5x-W4x7F3Zt2xc8NSYcCVMrCJBmdQ"",""DRP for 8 products!B:C""),2,0)"),"ONIPMUJK2")</f>
        <v>ONIPMUJK2</v>
      </c>
      <c r="I404" s="7">
        <f>IFERROR(__xludf.DUMMYFUNCTION("vlookup(C404,importrange(""1kw74ismGU34AsZ5x-W4x7F3Zt2xc8NSYcCVMrCJBmdQ"",""DRP for 8 products!B:E""),4,0)"),34.0)</f>
        <v>34</v>
      </c>
      <c r="J404" s="8" t="str">
        <f t="shared" si="1"/>
        <v>Tier 3</v>
      </c>
      <c r="K404" s="9" t="str">
        <f t="shared" si="2"/>
        <v>Active</v>
      </c>
      <c r="L404" s="4" t="str">
        <f>IFERROR(__xludf.DUMMYFUNCTION("vlookup(C404,importrange(""1kw74ismGU34AsZ5x-W4x7F3Zt2xc8NSYcCVMrCJBmdQ"",""DRP for 8 products!B:H""),6,0)"),"BigQuery")</f>
        <v>BigQuery</v>
      </c>
      <c r="M404" s="10" t="str">
        <f t="shared" si="3"/>
        <v>Yes</v>
      </c>
    </row>
    <row r="405">
      <c r="A405" s="4" t="str">
        <f>IFERROR(__xludf.DUMMYFUNCTION("vlookup(C405,IMPORTRANGE(""1Kgoo8qyo6zMtf_5B03ksZz228jg0XpZ4_KXsdHQ4Vks"",""14 Sept!A:B""),2,0)"),"DME3069")</f>
        <v>DME3069</v>
      </c>
      <c r="B405" s="5" t="str">
        <f>IFERROR(__xludf.DUMMYFUNCTION("""COMPUTED_VALUE"""),"Yogesh Deshmukh")</f>
        <v>Yogesh Deshmukh</v>
      </c>
      <c r="C405" s="5" t="str">
        <f>IFERROR(__xludf.DUMMYFUNCTION("""COMPUTED_VALUE"""),"yogesh.deshmukh@onixnet.com")</f>
        <v>yogesh.deshmukh@onixnet.com</v>
      </c>
      <c r="D405" s="4" t="s">
        <v>11</v>
      </c>
      <c r="E405" s="6" t="str">
        <f>IFERROR(__xludf.DUMMYFUNCTION("vlookup($A405,importrange(""1fyGnaViAX9kns28pvsfPvI9925sAI7kxPlM7jpuHVJM"",""Validation!A:Z""),11,0)"),"Delivery Services")</f>
        <v>Delivery Services</v>
      </c>
      <c r="F405" s="6" t="str">
        <f>IFERROR(__xludf.DUMMYFUNCTION("vlookup($A405,importrange(""1fyGnaViAX9kns28pvsfPvI9925sAI7kxPlM7jpuHVJM"",""Validation!A:Z""),23,0)"),"Pritesh Chaudhari")</f>
        <v>Pritesh Chaudhari</v>
      </c>
      <c r="G405" s="6" t="str">
        <f>IFERROR(__xludf.DUMMYFUNCTION("vlookup(A405,importrange(""1fyGnaViAX9kns28pvsfPvI9925sAI7kxPlM7jpuHVJM"",""Validation!A:Z""),22,0)"),"Cluster - Sagar")</f>
        <v>Cluster - Sagar</v>
      </c>
      <c r="H405" s="4" t="str">
        <f>IFERROR(__xludf.DUMMYFUNCTION("vlookup(C405,importrange(""1kw74ismGU34AsZ5x-W4x7F3Zt2xc8NSYcCVMrCJBmdQ"",""DRP for 8 products!B:C""),2,0)"),"ONIYDOVN6")</f>
        <v>ONIYDOVN6</v>
      </c>
      <c r="I405" s="7">
        <f>IFERROR(__xludf.DUMMYFUNCTION("vlookup(C405,importrange(""1kw74ismGU34AsZ5x-W4x7F3Zt2xc8NSYcCVMrCJBmdQ"",""DRP for 8 products!B:E""),4,0)"),20.0)</f>
        <v>20</v>
      </c>
      <c r="J405" s="8" t="str">
        <f t="shared" si="1"/>
        <v>Tier 3</v>
      </c>
      <c r="K405" s="9" t="str">
        <f t="shared" si="2"/>
        <v>Active</v>
      </c>
      <c r="L405" s="4" t="str">
        <f>IFERROR(__xludf.DUMMYFUNCTION("vlookup(C405,importrange(""1kw74ismGU34AsZ5x-W4x7F3Zt2xc8NSYcCVMrCJBmdQ"",""DRP for 8 products!B:H""),6,0)"),"BigQuery")</f>
        <v>BigQuery</v>
      </c>
      <c r="M405" s="10" t="str">
        <f t="shared" si="3"/>
        <v>Yes</v>
      </c>
    </row>
    <row r="406">
      <c r="A406" s="4" t="str">
        <f>IFERROR(__xludf.DUMMYFUNCTION("vlookup(C406,IMPORTRANGE(""1Kgoo8qyo6zMtf_5B03ksZz228jg0XpZ4_KXsdHQ4Vks"",""14 Sept!A:B""),2,0)"),"DME2732")</f>
        <v>DME2732</v>
      </c>
      <c r="B406" s="5" t="str">
        <f>IFERROR(__xludf.DUMMYFUNCTION("""COMPUTED_VALUE"""),"Nitesh Lokhande")</f>
        <v>Nitesh Lokhande</v>
      </c>
      <c r="C406" s="5" t="str">
        <f>IFERROR(__xludf.DUMMYFUNCTION("""COMPUTED_VALUE"""),"nitesh.lokhande@onixnet.com")</f>
        <v>nitesh.lokhande@onixnet.com</v>
      </c>
      <c r="D406" s="4" t="s">
        <v>11</v>
      </c>
      <c r="E406" s="6" t="str">
        <f>IFERROR(__xludf.DUMMYFUNCTION("vlookup($A406,importrange(""1fyGnaViAX9kns28pvsfPvI9925sAI7kxPlM7jpuHVJM"",""Validation!A:Z""),11,0)"),"Product Engineering")</f>
        <v>Product Engineering</v>
      </c>
      <c r="F406" s="6" t="str">
        <f>IFERROR(__xludf.DUMMYFUNCTION("vlookup($A406,importrange(""1fyGnaViAX9kns28pvsfPvI9925sAI7kxPlM7jpuHVJM"",""Validation!A:Z""),23,0)"),"Savan Tak")</f>
        <v>Savan Tak</v>
      </c>
      <c r="G406" s="6" t="str">
        <f>IFERROR(__xludf.DUMMYFUNCTION("vlookup(A406,importrange(""1fyGnaViAX9kns28pvsfPvI9925sAI7kxPlM7jpuHVJM"",""Validation!A:Z""),22,0)"),"Cluster - Mayur")</f>
        <v>Cluster - Mayur</v>
      </c>
      <c r="H406" s="4" t="str">
        <f>IFERROR(__xludf.DUMMYFUNCTION("vlookup(C406,importrange(""1kw74ismGU34AsZ5x-W4x7F3Zt2xc8NSYcCVMrCJBmdQ"",""DRP for 8 products!B:C""),2,0)"),"ONINLHRV1")</f>
        <v>ONINLHRV1</v>
      </c>
      <c r="I406" s="7">
        <f>IFERROR(__xludf.DUMMYFUNCTION("vlookup(C406,importrange(""1kw74ismGU34AsZ5x-W4x7F3Zt2xc8NSYcCVMrCJBmdQ"",""DRP for 8 products!B:E""),4,0)"),7.0)</f>
        <v>7</v>
      </c>
      <c r="J406" s="8" t="str">
        <f t="shared" si="1"/>
        <v>Tier 4</v>
      </c>
      <c r="K406" s="9" t="str">
        <f t="shared" si="2"/>
        <v>Active</v>
      </c>
      <c r="L406" s="4" t="str">
        <f>IFERROR(__xludf.DUMMYFUNCTION("vlookup(C406,importrange(""1kw74ismGU34AsZ5x-W4x7F3Zt2xc8NSYcCVMrCJBmdQ"",""DRP for 8 products!B:H""),6,0)"),"BigQuery")</f>
        <v>BigQuery</v>
      </c>
      <c r="M406" s="10" t="str">
        <f t="shared" si="3"/>
        <v>Yes</v>
      </c>
    </row>
    <row r="407">
      <c r="A407" s="4" t="str">
        <f>IFERROR(__xludf.DUMMYFUNCTION("vlookup(C407,IMPORTRANGE(""1Kgoo8qyo6zMtf_5B03ksZz228jg0XpZ4_KXsdHQ4Vks"",""14 Sept!A:B""),2,0)"),"ONIX714")</f>
        <v>ONIX714</v>
      </c>
      <c r="B407" s="5" t="str">
        <f>IFERROR(__xludf.DUMMYFUNCTION("""COMPUTED_VALUE"""),"Nicholas Osborn")</f>
        <v>Nicholas Osborn</v>
      </c>
      <c r="C407" s="5" t="str">
        <f>IFERROR(__xludf.DUMMYFUNCTION("""COMPUTED_VALUE"""),"nick.osborn@onixnet.com")</f>
        <v>nick.osborn@onixnet.com</v>
      </c>
      <c r="D407" s="4" t="s">
        <v>11</v>
      </c>
      <c r="E407" s="6" t="str">
        <f>IFERROR(__xludf.DUMMYFUNCTION("vlookup($A407,importrange(""1fyGnaViAX9kns28pvsfPvI9925sAI7kxPlM7jpuHVJM"",""Validation!A:Z""),11,0)"),"Services")</f>
        <v>Services</v>
      </c>
      <c r="F407" s="6" t="str">
        <f>IFERROR(__xludf.DUMMYFUNCTION("vlookup($A407,importrange(""1fyGnaViAX9kns28pvsfPvI9925sAI7kxPlM7jpuHVJM"",""Validation!A:Z""),23,0)"),"LeePatrick McIntire")</f>
        <v>LeePatrick McIntire</v>
      </c>
      <c r="G407" s="6" t="str">
        <f>IFERROR(__xludf.DUMMYFUNCTION("vlookup(A407,importrange(""1fyGnaViAX9kns28pvsfPvI9925sAI7kxPlM7jpuHVJM"",""Validation!A:Z""),22,0)"),"Portfolio - Thomas (AI)")</f>
        <v>Portfolio - Thomas (AI)</v>
      </c>
      <c r="H407" s="4" t="str">
        <f>IFERROR(__xludf.DUMMYFUNCTION("vlookup(C407,importrange(""1kw74ismGU34AsZ5x-W4x7F3Zt2xc8NSYcCVMrCJBmdQ"",""DRP for 8 products!B:C""),2,0)"),"ONINOJDR5")</f>
        <v>ONINOJDR5</v>
      </c>
      <c r="I407" s="7">
        <f>IFERROR(__xludf.DUMMYFUNCTION("vlookup(C407,importrange(""1kw74ismGU34AsZ5x-W4x7F3Zt2xc8NSYcCVMrCJBmdQ"",""DRP for 8 products!B:E""),4,0)"),19.0)</f>
        <v>19</v>
      </c>
      <c r="J407" s="8" t="str">
        <f t="shared" si="1"/>
        <v>Tier 4</v>
      </c>
      <c r="K407" s="9" t="str">
        <f t="shared" si="2"/>
        <v>Active</v>
      </c>
      <c r="L407" s="4" t="str">
        <f>IFERROR(__xludf.DUMMYFUNCTION("vlookup(C407,importrange(""1kw74ismGU34AsZ5x-W4x7F3Zt2xc8NSYcCVMrCJBmdQ"",""DRP for 8 products!B:H""),6,0)"),"BigQuery")</f>
        <v>BigQuery</v>
      </c>
      <c r="M407" s="10" t="str">
        <f t="shared" si="3"/>
        <v>Yes</v>
      </c>
    </row>
    <row r="408">
      <c r="A408" s="4" t="str">
        <f>IFERROR(__xludf.DUMMYFUNCTION("vlookup(C408,IMPORTRANGE(""1Kgoo8qyo6zMtf_5B03ksZz228jg0XpZ4_KXsdHQ4Vks"",""14 Sept!A:B""),2,0)"),"DME3019")</f>
        <v>DME3019</v>
      </c>
      <c r="B408" s="5" t="str">
        <f>IFERROR(__xludf.DUMMYFUNCTION("""COMPUTED_VALUE"""),"Pranav Gavhane")</f>
        <v>Pranav Gavhane</v>
      </c>
      <c r="C408" s="5" t="str">
        <f>IFERROR(__xludf.DUMMYFUNCTION("""COMPUTED_VALUE"""),"pranav.gavhane@onixnet.com")</f>
        <v>pranav.gavhane@onixnet.com</v>
      </c>
      <c r="D408" s="4" t="s">
        <v>11</v>
      </c>
      <c r="E408" s="6" t="str">
        <f>IFERROR(__xludf.DUMMYFUNCTION("vlookup($A408,importrange(""1fyGnaViAX9kns28pvsfPvI9925sAI7kxPlM7jpuHVJM"",""Validation!A:Z""),11,0)"),"Delivery Services")</f>
        <v>Delivery Services</v>
      </c>
      <c r="F408" s="6" t="str">
        <f>IFERROR(__xludf.DUMMYFUNCTION("vlookup($A408,importrange(""1fyGnaViAX9kns28pvsfPvI9925sAI7kxPlM7jpuHVJM"",""Validation!A:Z""),23,0)"),"Amit Parekh")</f>
        <v>Amit Parekh</v>
      </c>
      <c r="G408" s="6" t="str">
        <f>IFERROR(__xludf.DUMMYFUNCTION("vlookup(A408,importrange(""1fyGnaViAX9kns28pvsfPvI9925sAI7kxPlM7jpuHVJM"",""Validation!A:Z""),22,0)"),"Cluster - Sandeep")</f>
        <v>Cluster - Sandeep</v>
      </c>
      <c r="H408" s="4" t="str">
        <f>IFERROR(__xludf.DUMMYFUNCTION("vlookup(C408,importrange(""1kw74ismGU34AsZ5x-W4x7F3Zt2xc8NSYcCVMrCJBmdQ"",""DRP for 8 products!B:C""),2,0)"),"ONIPGWNR0")</f>
        <v>ONIPGWNR0</v>
      </c>
      <c r="I408" s="7">
        <f>IFERROR(__xludf.DUMMYFUNCTION("vlookup(C408,importrange(""1kw74ismGU34AsZ5x-W4x7F3Zt2xc8NSYcCVMrCJBmdQ"",""DRP for 8 products!B:E""),4,0)"),14.0)</f>
        <v>14</v>
      </c>
      <c r="J408" s="8" t="str">
        <f t="shared" si="1"/>
        <v>Tier 4</v>
      </c>
      <c r="K408" s="9" t="str">
        <f t="shared" si="2"/>
        <v>Active</v>
      </c>
      <c r="L408" s="4" t="str">
        <f>IFERROR(__xludf.DUMMYFUNCTION("vlookup(C408,importrange(""1kw74ismGU34AsZ5x-W4x7F3Zt2xc8NSYcCVMrCJBmdQ"",""DRP for 8 products!B:H""),6,0)"),"Cloud SQL")</f>
        <v>Cloud SQL</v>
      </c>
      <c r="M408" s="10" t="str">
        <f t="shared" si="3"/>
        <v>Yes</v>
      </c>
    </row>
    <row r="409">
      <c r="A409" s="4" t="str">
        <f>IFERROR(__xludf.DUMMYFUNCTION("vlookup(C409,IMPORTRANGE(""1Kgoo8qyo6zMtf_5B03ksZz228jg0XpZ4_KXsdHQ4Vks"",""14 Sept!A:B""),2,0)"),"DMC1146")</f>
        <v>DMC1146</v>
      </c>
      <c r="B409" s="5" t="str">
        <f>IFERROR(__xludf.DUMMYFUNCTION("""COMPUTED_VALUE"""),"Karm Singh")</f>
        <v>Karm Singh</v>
      </c>
      <c r="C409" s="5" t="str">
        <f>IFERROR(__xludf.DUMMYFUNCTION("""COMPUTED_VALUE"""),"karm.singh@onixnet.us")</f>
        <v>karm.singh@onixnet.us</v>
      </c>
      <c r="D409" s="4" t="s">
        <v>11</v>
      </c>
      <c r="E409" s="6" t="str">
        <f>IFERROR(__xludf.DUMMYFUNCTION("vlookup($A409,importrange(""1fyGnaViAX9kns28pvsfPvI9925sAI7kxPlM7jpuHVJM"",""Validation!A:Z""),11,0)"),"Delivery Services")</f>
        <v>Delivery Services</v>
      </c>
      <c r="F409" s="6" t="str">
        <f>IFERROR(__xludf.DUMMYFUNCTION("vlookup($A409,importrange(""1fyGnaViAX9kns28pvsfPvI9925sAI7kxPlM7jpuHVJM"",""Validation!A:Z""),23,0)"),"Sneha Bhatambrekar")</f>
        <v>Sneha Bhatambrekar</v>
      </c>
      <c r="G409" s="6" t="str">
        <f>IFERROR(__xludf.DUMMYFUNCTION("vlookup(A409,importrange(""1fyGnaViAX9kns28pvsfPvI9925sAI7kxPlM7jpuHVJM"",""Validation!A:Z""),22,0)"),"Cluster - Sandeep")</f>
        <v>Cluster - Sandeep</v>
      </c>
      <c r="H409" s="4" t="str">
        <f>IFERROR(__xludf.DUMMYFUNCTION("vlookup(C409,importrange(""1kw74ismGU34AsZ5x-W4x7F3Zt2xc8NSYcCVMrCJBmdQ"",""DRP for 8 products!B:C""),2,0)"),"ONIKSXJO8")</f>
        <v>ONIKSXJO8</v>
      </c>
      <c r="I409" s="7">
        <f>IFERROR(__xludf.DUMMYFUNCTION("vlookup(C409,importrange(""1kw74ismGU34AsZ5x-W4x7F3Zt2xc8NSYcCVMrCJBmdQ"",""DRP for 8 products!B:E""),4,0)"),6.0)</f>
        <v>6</v>
      </c>
      <c r="J409" s="8" t="str">
        <f t="shared" si="1"/>
        <v>Tier 4</v>
      </c>
      <c r="K409" s="9" t="str">
        <f t="shared" si="2"/>
        <v>Active</v>
      </c>
      <c r="L409" s="4" t="str">
        <f>IFERROR(__xludf.DUMMYFUNCTION("vlookup(C409,importrange(""1kw74ismGU34AsZ5x-W4x7F3Zt2xc8NSYcCVMrCJBmdQ"",""DRP for 8 products!B:H""),6,0)"),"BigQuery")</f>
        <v>BigQuery</v>
      </c>
      <c r="M409" s="10" t="str">
        <f t="shared" si="3"/>
        <v>Yes</v>
      </c>
    </row>
    <row r="410">
      <c r="A410" s="4" t="str">
        <f>IFERROR(__xludf.DUMMYFUNCTION("vlookup(C410,IMPORTRANGE(""1Kgoo8qyo6zMtf_5B03ksZz228jg0XpZ4_KXsdHQ4Vks"",""14 Sept!A:B""),2,0)"),"DME1479")</f>
        <v>DME1479</v>
      </c>
      <c r="B410" s="5" t="str">
        <f>IFERROR(__xludf.DUMMYFUNCTION("""COMPUTED_VALUE"""),"Sagar Surana")</f>
        <v>Sagar Surana</v>
      </c>
      <c r="C410" s="5" t="str">
        <f>IFERROR(__xludf.DUMMYFUNCTION("""COMPUTED_VALUE"""),"sagar.surana@onixnet.com")</f>
        <v>sagar.surana@onixnet.com</v>
      </c>
      <c r="D410" s="4" t="s">
        <v>11</v>
      </c>
      <c r="E410" s="6" t="str">
        <f>IFERROR(__xludf.DUMMYFUNCTION("vlookup($A410,importrange(""1fyGnaViAX9kns28pvsfPvI9925sAI7kxPlM7jpuHVJM"",""Validation!A:Z""),11,0)"),"Delivery Services")</f>
        <v>Delivery Services</v>
      </c>
      <c r="F410" s="6" t="str">
        <f>IFERROR(__xludf.DUMMYFUNCTION("vlookup($A410,importrange(""1fyGnaViAX9kns28pvsfPvI9925sAI7kxPlM7jpuHVJM"",""Validation!A:Z""),23,0)"),"Gaurav Bharara")</f>
        <v>Gaurav Bharara</v>
      </c>
      <c r="G410" s="6" t="str">
        <f>IFERROR(__xludf.DUMMYFUNCTION("vlookup(A410,importrange(""1fyGnaViAX9kns28pvsfPvI9925sAI7kxPlM7jpuHVJM"",""Validation!A:Z""),22,0)"),"Cluster - Sagar")</f>
        <v>Cluster - Sagar</v>
      </c>
      <c r="H410" s="4" t="str">
        <f>IFERROR(__xludf.DUMMYFUNCTION("vlookup(C410,importrange(""1kw74ismGU34AsZ5x-W4x7F3Zt2xc8NSYcCVMrCJBmdQ"",""DRP for 8 products!B:C""),2,0)"),"ONISSCEE0")</f>
        <v>ONISSCEE0</v>
      </c>
      <c r="I410" s="7">
        <f>IFERROR(__xludf.DUMMYFUNCTION("vlookup(C410,importrange(""1kw74ismGU34AsZ5x-W4x7F3Zt2xc8NSYcCVMrCJBmdQ"",""DRP for 8 products!B:E""),4,0)"),55.0)</f>
        <v>55</v>
      </c>
      <c r="J410" s="8" t="str">
        <f t="shared" si="1"/>
        <v>Tier 1</v>
      </c>
      <c r="K410" s="9" t="str">
        <f t="shared" si="2"/>
        <v>Active</v>
      </c>
      <c r="L410" s="4" t="str">
        <f>IFERROR(__xludf.DUMMYFUNCTION("vlookup(C410,importrange(""1kw74ismGU34AsZ5x-W4x7F3Zt2xc8NSYcCVMrCJBmdQ"",""DRP for 8 products!B:H""),6,0)"),"BigQuery")</f>
        <v>BigQuery</v>
      </c>
      <c r="M410" s="10" t="str">
        <f t="shared" si="3"/>
        <v>Yes</v>
      </c>
    </row>
    <row r="411">
      <c r="A411" s="4" t="str">
        <f>IFERROR(__xludf.DUMMYFUNCTION("vlookup(C411,IMPORTRANGE(""1Kgoo8qyo6zMtf_5B03ksZz228jg0XpZ4_KXsdHQ4Vks"",""14 Sept!A:B""),2,0)"),"DME2776")</f>
        <v>DME2776</v>
      </c>
      <c r="B411" s="5" t="str">
        <f>IFERROR(__xludf.DUMMYFUNCTION("""COMPUTED_VALUE"""),"Pradnya Kate")</f>
        <v>Pradnya Kate</v>
      </c>
      <c r="C411" s="5" t="str">
        <f>IFERROR(__xludf.DUMMYFUNCTION("""COMPUTED_VALUE"""),"pradnya.kate@onixnet.com")</f>
        <v>pradnya.kate@onixnet.com</v>
      </c>
      <c r="D411" s="4" t="s">
        <v>11</v>
      </c>
      <c r="E411" s="6" t="str">
        <f>IFERROR(__xludf.DUMMYFUNCTION("vlookup($A411,importrange(""1fyGnaViAX9kns28pvsfPvI9925sAI7kxPlM7jpuHVJM"",""Validation!A:Z""),11,0)"),"Product Engineering")</f>
        <v>Product Engineering</v>
      </c>
      <c r="F411" s="6" t="str">
        <f>IFERROR(__xludf.DUMMYFUNCTION("vlookup($A411,importrange(""1fyGnaViAX9kns28pvsfPvI9925sAI7kxPlM7jpuHVJM"",""Validation!A:Z""),23,0)"),"Anil Aleppy")</f>
        <v>Anil Aleppy</v>
      </c>
      <c r="G411" s="6" t="str">
        <f>IFERROR(__xludf.DUMMYFUNCTION("vlookup(A411,importrange(""1fyGnaViAX9kns28pvsfPvI9925sAI7kxPlM7jpuHVJM"",""Validation!A:Z""),22,0)"),"Cluster - Mayur")</f>
        <v>Cluster - Mayur</v>
      </c>
      <c r="H411" s="4" t="str">
        <f>IFERROR(__xludf.DUMMYFUNCTION("vlookup(C411,importrange(""1kw74ismGU34AsZ5x-W4x7F3Zt2xc8NSYcCVMrCJBmdQ"",""DRP for 8 products!B:C""),2,0)"),"ONIPKBWB0")</f>
        <v>ONIPKBWB0</v>
      </c>
      <c r="I411" s="7">
        <f>IFERROR(__xludf.DUMMYFUNCTION("vlookup(C411,importrange(""1kw74ismGU34AsZ5x-W4x7F3Zt2xc8NSYcCVMrCJBmdQ"",""DRP for 8 products!B:E""),4,0)"),9.0)</f>
        <v>9</v>
      </c>
      <c r="J411" s="8" t="str">
        <f t="shared" si="1"/>
        <v>Tier 4</v>
      </c>
      <c r="K411" s="9" t="str">
        <f t="shared" si="2"/>
        <v>Active</v>
      </c>
      <c r="L411" s="4" t="str">
        <f>IFERROR(__xludf.DUMMYFUNCTION("vlookup(C411,importrange(""1kw74ismGU34AsZ5x-W4x7F3Zt2xc8NSYcCVMrCJBmdQ"",""DRP for 8 products!B:H""),6,0)"),"BigQuery")</f>
        <v>BigQuery</v>
      </c>
      <c r="M411" s="10" t="str">
        <f t="shared" si="3"/>
        <v>Yes</v>
      </c>
    </row>
    <row r="412">
      <c r="A412" s="4" t="str">
        <f>IFERROR(__xludf.DUMMYFUNCTION("vlookup(C412,IMPORTRANGE(""1Kgoo8qyo6zMtf_5B03ksZz228jg0XpZ4_KXsdHQ4Vks"",""14 Sept!A:B""),2,0)"),"DME3235")</f>
        <v>DME3235</v>
      </c>
      <c r="B412" s="5" t="str">
        <f>IFERROR(__xludf.DUMMYFUNCTION("""COMPUTED_VALUE"""),"Nivedita Shivhare")</f>
        <v>Nivedita Shivhare</v>
      </c>
      <c r="C412" s="5" t="str">
        <f>IFERROR(__xludf.DUMMYFUNCTION("""COMPUTED_VALUE"""),"nivedita.shivhare@onixnet.com")</f>
        <v>nivedita.shivhare@onixnet.com</v>
      </c>
      <c r="D412" s="4" t="s">
        <v>11</v>
      </c>
      <c r="E412" s="6" t="str">
        <f>IFERROR(__xludf.DUMMYFUNCTION("vlookup($A412,importrange(""1fyGnaViAX9kns28pvsfPvI9925sAI7kxPlM7jpuHVJM"",""Validation!A:Z""),11,0)"),"Delivery Services")</f>
        <v>Delivery Services</v>
      </c>
      <c r="F412" s="6" t="str">
        <f>IFERROR(__xludf.DUMMYFUNCTION("vlookup($A412,importrange(""1fyGnaViAX9kns28pvsfPvI9925sAI7kxPlM7jpuHVJM"",""Validation!A:Z""),23,0)"),"Rahul Chandak")</f>
        <v>Rahul Chandak</v>
      </c>
      <c r="G412" s="6" t="str">
        <f>IFERROR(__xludf.DUMMYFUNCTION("vlookup(A412,importrange(""1fyGnaViAX9kns28pvsfPvI9925sAI7kxPlM7jpuHVJM"",""Validation!A:Z""),22,0)"),"Cluster - Sagar")</f>
        <v>Cluster - Sagar</v>
      </c>
      <c r="H412" s="4" t="str">
        <f>IFERROR(__xludf.DUMMYFUNCTION("vlookup(C412,importrange(""1kw74ismGU34AsZ5x-W4x7F3Zt2xc8NSYcCVMrCJBmdQ"",""DRP for 8 products!B:C""),2,0)"),"ONINSDQH6")</f>
        <v>ONINSDQH6</v>
      </c>
      <c r="I412" s="7">
        <f>IFERROR(__xludf.DUMMYFUNCTION("vlookup(C412,importrange(""1kw74ismGU34AsZ5x-W4x7F3Zt2xc8NSYcCVMrCJBmdQ"",""DRP for 8 products!B:E""),4,0)"),53.0)</f>
        <v>53</v>
      </c>
      <c r="J412" s="8" t="str">
        <f t="shared" si="1"/>
        <v>Tier 1</v>
      </c>
      <c r="K412" s="9" t="str">
        <f t="shared" si="2"/>
        <v>Active</v>
      </c>
      <c r="L412" s="4" t="str">
        <f>IFERROR(__xludf.DUMMYFUNCTION("vlookup(C412,importrange(""1kw74ismGU34AsZ5x-W4x7F3Zt2xc8NSYcCVMrCJBmdQ"",""DRP for 8 products!B:H""),6,0)"),"BigQuery")</f>
        <v>BigQuery</v>
      </c>
      <c r="M412" s="10" t="str">
        <f t="shared" si="3"/>
        <v>Yes</v>
      </c>
    </row>
    <row r="413">
      <c r="A413" s="4" t="str">
        <f>IFERROR(__xludf.DUMMYFUNCTION("vlookup(C413,IMPORTRANGE(""1Kgoo8qyo6zMtf_5B03ksZz228jg0XpZ4_KXsdHQ4Vks"",""14 Sept!A:B""),2,0)"),"ONIX623")</f>
        <v>ONIX623</v>
      </c>
      <c r="B413" s="5" t="str">
        <f>IFERROR(__xludf.DUMMYFUNCTION("""COMPUTED_VALUE"""),"Francesco Leone")</f>
        <v>Francesco Leone</v>
      </c>
      <c r="C413" s="5" t="str">
        <f>IFERROR(__xludf.DUMMYFUNCTION("""COMPUTED_VALUE"""),"francesco.leone@onixnet.com")</f>
        <v>francesco.leone@onixnet.com</v>
      </c>
      <c r="D413" s="4" t="s">
        <v>11</v>
      </c>
      <c r="E413" s="6" t="str">
        <f>IFERROR(__xludf.DUMMYFUNCTION("vlookup($A413,importrange(""1fyGnaViAX9kns28pvsfPvI9925sAI7kxPlM7jpuHVJM"",""Validation!A:Z""),11,0)"),"Services")</f>
        <v>Services</v>
      </c>
      <c r="F413" s="6" t="str">
        <f>IFERROR(__xludf.DUMMYFUNCTION("vlookup($A413,importrange(""1fyGnaViAX9kns28pvsfPvI9925sAI7kxPlM7jpuHVJM"",""Validation!A:Z""),23,0)"),"Kyle Clark")</f>
        <v>Kyle Clark</v>
      </c>
      <c r="G413" s="6" t="str">
        <f>IFERROR(__xludf.DUMMYFUNCTION("vlookup(A413,importrange(""1fyGnaViAX9kns28pvsfPvI9925sAI7kxPlM7jpuHVJM"",""Validation!A:Z""),22,0)"),"Portfolio - Rick")</f>
        <v>Portfolio - Rick</v>
      </c>
      <c r="H413" s="4" t="str">
        <f>IFERROR(__xludf.DUMMYFUNCTION("vlookup(C413,importrange(""1kw74ismGU34AsZ5x-W4x7F3Zt2xc8NSYcCVMrCJBmdQ"",""DRP for 8 products!B:C""),2,0)"),"ONIFLXXA9")</f>
        <v>ONIFLXXA9</v>
      </c>
      <c r="I413" s="7">
        <f>IFERROR(__xludf.DUMMYFUNCTION("vlookup(C413,importrange(""1kw74ismGU34AsZ5x-W4x7F3Zt2xc8NSYcCVMrCJBmdQ"",""DRP for 8 products!B:E""),4,0)"),9.0)</f>
        <v>9</v>
      </c>
      <c r="J413" s="8" t="str">
        <f t="shared" si="1"/>
        <v>Tier 4</v>
      </c>
      <c r="K413" s="9" t="str">
        <f t="shared" si="2"/>
        <v>Active</v>
      </c>
      <c r="L413" s="4" t="str">
        <f>IFERROR(__xludf.DUMMYFUNCTION("vlookup(C413,importrange(""1kw74ismGU34AsZ5x-W4x7F3Zt2xc8NSYcCVMrCJBmdQ"",""DRP for 8 products!B:H""),6,0)"),"Looker")</f>
        <v>Looker</v>
      </c>
      <c r="M413" s="10" t="str">
        <f t="shared" si="3"/>
        <v>Yes</v>
      </c>
    </row>
    <row r="414">
      <c r="A414" s="4" t="str">
        <f>IFERROR(__xludf.DUMMYFUNCTION("vlookup(C414,IMPORTRANGE(""1Kgoo8qyo6zMtf_5B03ksZz228jg0XpZ4_KXsdHQ4Vks"",""14 Sept!A:B""),2,0)"),"ONIX815")</f>
        <v>ONIX815</v>
      </c>
      <c r="B414" s="5" t="str">
        <f>IFERROR(__xludf.DUMMYFUNCTION("""COMPUTED_VALUE"""),"Prathmesh Pethkar")</f>
        <v>Prathmesh Pethkar</v>
      </c>
      <c r="C414" s="5" t="str">
        <f>IFERROR(__xludf.DUMMYFUNCTION("""COMPUTED_VALUE"""),"prathmesh.pethkar@onixnet.com")</f>
        <v>prathmesh.pethkar@onixnet.com</v>
      </c>
      <c r="D414" s="4" t="s">
        <v>11</v>
      </c>
      <c r="E414" s="6" t="str">
        <f>IFERROR(__xludf.DUMMYFUNCTION("vlookup($A414,importrange(""1fyGnaViAX9kns28pvsfPvI9925sAI7kxPlM7jpuHVJM"",""Validation!A:Z""),11,0)"),"Services")</f>
        <v>Services</v>
      </c>
      <c r="F414" s="6" t="str">
        <f>IFERROR(__xludf.DUMMYFUNCTION("vlookup($A414,importrange(""1fyGnaViAX9kns28pvsfPvI9925sAI7kxPlM7jpuHVJM"",""Validation!A:Z""),23,0)"),"Venkat Srinivasan")</f>
        <v>Venkat Srinivasan</v>
      </c>
      <c r="G414" s="6" t="str">
        <f>IFERROR(__xludf.DUMMYFUNCTION("vlookup(A414,importrange(""1fyGnaViAX9kns28pvsfPvI9925sAI7kxPlM7jpuHVJM"",""Validation!A:Z""),22,0)"),"Portfolio - Rajesh")</f>
        <v>Portfolio - Rajesh</v>
      </c>
      <c r="H414" s="4" t="str">
        <f>IFERROR(__xludf.DUMMYFUNCTION("vlookup(C414,importrange(""1kw74ismGU34AsZ5x-W4x7F3Zt2xc8NSYcCVMrCJBmdQ"",""DRP for 8 products!B:C""),2,0)"),"ONIPPGJB4")</f>
        <v>ONIPPGJB4</v>
      </c>
      <c r="I414" s="7">
        <f>IFERROR(__xludf.DUMMYFUNCTION("vlookup(C414,importrange(""1kw74ismGU34AsZ5x-W4x7F3Zt2xc8NSYcCVMrCJBmdQ"",""DRP for 8 products!B:E""),4,0)"),29.0)</f>
        <v>29</v>
      </c>
      <c r="J414" s="8" t="str">
        <f t="shared" si="1"/>
        <v>Tier 3</v>
      </c>
      <c r="K414" s="9" t="str">
        <f t="shared" si="2"/>
        <v>Active</v>
      </c>
      <c r="L414" s="4" t="str">
        <f>IFERROR(__xludf.DUMMYFUNCTION("vlookup(C414,importrange(""1kw74ismGU34AsZ5x-W4x7F3Zt2xc8NSYcCVMrCJBmdQ"",""DRP for 8 products!B:H""),6,0)"),"BigQuery")</f>
        <v>BigQuery</v>
      </c>
      <c r="M414" s="10" t="str">
        <f t="shared" si="3"/>
        <v>Yes</v>
      </c>
    </row>
    <row r="415">
      <c r="A415" s="4" t="str">
        <f>IFERROR(__xludf.DUMMYFUNCTION("vlookup(C415,IMPORTRANGE(""1Kgoo8qyo6zMtf_5B03ksZz228jg0XpZ4_KXsdHQ4Vks"",""14 Sept!A:B""),2,0)"),"DME2442")</f>
        <v>DME2442</v>
      </c>
      <c r="B415" s="5" t="str">
        <f>IFERROR(__xludf.DUMMYFUNCTION("""COMPUTED_VALUE"""),"Upendra Rangisetti")</f>
        <v>Upendra Rangisetti</v>
      </c>
      <c r="C415" s="5" t="str">
        <f>IFERROR(__xludf.DUMMYFUNCTION("""COMPUTED_VALUE"""),"upendra.r@onixnet.com")</f>
        <v>upendra.r@onixnet.com</v>
      </c>
      <c r="D415" s="4" t="s">
        <v>11</v>
      </c>
      <c r="E415" s="6" t="str">
        <f>IFERROR(__xludf.DUMMYFUNCTION("vlookup($A415,importrange(""1fyGnaViAX9kns28pvsfPvI9925sAI7kxPlM7jpuHVJM"",""Validation!A:Z""),11,0)"),"Delivery Services")</f>
        <v>Delivery Services</v>
      </c>
      <c r="F415" s="6" t="str">
        <f>IFERROR(__xludf.DUMMYFUNCTION("vlookup($A415,importrange(""1fyGnaViAX9kns28pvsfPvI9925sAI7kxPlM7jpuHVJM"",""Validation!A:Z""),23,0)"),"Dinesh Bhamare")</f>
        <v>Dinesh Bhamare</v>
      </c>
      <c r="G415" s="6" t="str">
        <f>IFERROR(__xludf.DUMMYFUNCTION("vlookup(A415,importrange(""1fyGnaViAX9kns28pvsfPvI9925sAI7kxPlM7jpuHVJM"",""Validation!A:Z""),22,0)"),"Cluster - Shreepad")</f>
        <v>Cluster - Shreepad</v>
      </c>
      <c r="H415" s="4" t="str">
        <f>IFERROR(__xludf.DUMMYFUNCTION("vlookup(C415,importrange(""1kw74ismGU34AsZ5x-W4x7F3Zt2xc8NSYcCVMrCJBmdQ"",""DRP for 8 products!B:C""),2,0)"),"ONIURMNI7")</f>
        <v>ONIURMNI7</v>
      </c>
      <c r="I415" s="7">
        <f>IFERROR(__xludf.DUMMYFUNCTION("vlookup(C415,importrange(""1kw74ismGU34AsZ5x-W4x7F3Zt2xc8NSYcCVMrCJBmdQ"",""DRP for 8 products!B:E""),4,0)"),53.0)</f>
        <v>53</v>
      </c>
      <c r="J415" s="8" t="str">
        <f t="shared" si="1"/>
        <v>Tier 1</v>
      </c>
      <c r="K415" s="9" t="str">
        <f t="shared" si="2"/>
        <v>Active</v>
      </c>
      <c r="L415" s="4" t="str">
        <f>IFERROR(__xludf.DUMMYFUNCTION("vlookup(C415,importrange(""1kw74ismGU34AsZ5x-W4x7F3Zt2xc8NSYcCVMrCJBmdQ"",""DRP for 8 products!B:H""),6,0)"),"BigQuery")</f>
        <v>BigQuery</v>
      </c>
      <c r="M415" s="10" t="str">
        <f t="shared" si="3"/>
        <v>Yes</v>
      </c>
    </row>
    <row r="416">
      <c r="A416" s="4" t="str">
        <f>IFERROR(__xludf.DUMMYFUNCTION("vlookup(C416,IMPORTRANGE(""1Kgoo8qyo6zMtf_5B03ksZz228jg0XpZ4_KXsdHQ4Vks"",""14 Sept!A:B""),2,0)"),"DME1763")</f>
        <v>DME1763</v>
      </c>
      <c r="B416" s="5" t="str">
        <f>IFERROR(__xludf.DUMMYFUNCTION("""COMPUTED_VALUE"""),"dinesh kakade")</f>
        <v>dinesh kakade</v>
      </c>
      <c r="C416" s="5" t="str">
        <f>IFERROR(__xludf.DUMMYFUNCTION("""COMPUTED_VALUE"""),"dinesh.kakade@onixnet.com")</f>
        <v>dinesh.kakade@onixnet.com</v>
      </c>
      <c r="D416" s="4" t="s">
        <v>11</v>
      </c>
      <c r="E416" s="6" t="str">
        <f>IFERROR(__xludf.DUMMYFUNCTION("vlookup($A416,importrange(""1fyGnaViAX9kns28pvsfPvI9925sAI7kxPlM7jpuHVJM"",""Validation!A:Z""),11,0)"),"Eagle Assessment")</f>
        <v>Eagle Assessment</v>
      </c>
      <c r="F416" s="6" t="str">
        <f>IFERROR(__xludf.DUMMYFUNCTION("vlookup($A416,importrange(""1fyGnaViAX9kns28pvsfPvI9925sAI7kxPlM7jpuHVJM"",""Validation!A:Z""),23,0)"),"Amruta Shreerang Urane")</f>
        <v>Amruta Shreerang Urane</v>
      </c>
      <c r="G416" s="6" t="str">
        <f>IFERROR(__xludf.DUMMYFUNCTION("vlookup(A416,importrange(""1fyGnaViAX9kns28pvsfPvI9925sAI7kxPlM7jpuHVJM"",""Validation!A:Z""),22,0)"),"Cluster - Kalpa")</f>
        <v>Cluster - Kalpa</v>
      </c>
      <c r="H416" s="4" t="str">
        <f>IFERROR(__xludf.DUMMYFUNCTION("vlookup(C416,importrange(""1kw74ismGU34AsZ5x-W4x7F3Zt2xc8NSYcCVMrCJBmdQ"",""DRP for 8 products!B:C""),2,0)"),"ONIDKSAV9")</f>
        <v>ONIDKSAV9</v>
      </c>
      <c r="I416" s="7">
        <f>IFERROR(__xludf.DUMMYFUNCTION("vlookup(C416,importrange(""1kw74ismGU34AsZ5x-W4x7F3Zt2xc8NSYcCVMrCJBmdQ"",""DRP for 8 products!B:E""),4,0)"),30.0)</f>
        <v>30</v>
      </c>
      <c r="J416" s="8" t="str">
        <f t="shared" si="1"/>
        <v>Tier 3</v>
      </c>
      <c r="K416" s="9" t="str">
        <f t="shared" si="2"/>
        <v>Active</v>
      </c>
      <c r="L416" s="4" t="str">
        <f>IFERROR(__xludf.DUMMYFUNCTION("vlookup(C416,importrange(""1kw74ismGU34AsZ5x-W4x7F3Zt2xc8NSYcCVMrCJBmdQ"",""DRP for 8 products!B:H""),6,0)"),"BigQuery")</f>
        <v>BigQuery</v>
      </c>
      <c r="M416" s="10" t="str">
        <f t="shared" si="3"/>
        <v>Yes</v>
      </c>
    </row>
    <row r="417">
      <c r="A417" s="4" t="str">
        <f>IFERROR(__xludf.DUMMYFUNCTION("vlookup(C417,IMPORTRANGE(""1Kgoo8qyo6zMtf_5B03ksZz228jg0XpZ4_KXsdHQ4Vks"",""14 Sept!A:B""),2,0)"),"DME1565")</f>
        <v>DME1565</v>
      </c>
      <c r="B417" s="5" t="str">
        <f>IFERROR(__xludf.DUMMYFUNCTION("""COMPUTED_VALUE"""),"Komal Kamthe")</f>
        <v>Komal Kamthe</v>
      </c>
      <c r="C417" s="5" t="str">
        <f>IFERROR(__xludf.DUMMYFUNCTION("""COMPUTED_VALUE"""),"komal.dabhade@onixnet.com")</f>
        <v>komal.dabhade@onixnet.com</v>
      </c>
      <c r="D417" s="4" t="s">
        <v>11</v>
      </c>
      <c r="E417" s="6" t="str">
        <f>IFERROR(__xludf.DUMMYFUNCTION("vlookup($A417,importrange(""1fyGnaViAX9kns28pvsfPvI9925sAI7kxPlM7jpuHVJM"",""Validation!A:Z""),11,0)"),"Delivery Services")</f>
        <v>Delivery Services</v>
      </c>
      <c r="F417" s="6" t="str">
        <f>IFERROR(__xludf.DUMMYFUNCTION("vlookup($A417,importrange(""1fyGnaViAX9kns28pvsfPvI9925sAI7kxPlM7jpuHVJM"",""Validation!A:Z""),23,0)"),"Naveen Harish")</f>
        <v>Naveen Harish</v>
      </c>
      <c r="G417" s="6" t="str">
        <f>IFERROR(__xludf.DUMMYFUNCTION("vlookup(A417,importrange(""1fyGnaViAX9kns28pvsfPvI9925sAI7kxPlM7jpuHVJM"",""Validation!A:Z""),22,0)"),"Cluster - Varun")</f>
        <v>Cluster - Varun</v>
      </c>
      <c r="H417" s="4" t="str">
        <f>IFERROR(__xludf.DUMMYFUNCTION("vlookup(C417,importrange(""1kw74ismGU34AsZ5x-W4x7F3Zt2xc8NSYcCVMrCJBmdQ"",""DRP for 8 products!B:C""),2,0)"),"ONIKKCKG9")</f>
        <v>ONIKKCKG9</v>
      </c>
      <c r="I417" s="7">
        <f>IFERROR(__xludf.DUMMYFUNCTION("vlookup(C417,importrange(""1kw74ismGU34AsZ5x-W4x7F3Zt2xc8NSYcCVMrCJBmdQ"",""DRP for 8 products!B:E""),4,0)"),69.0)</f>
        <v>69</v>
      </c>
      <c r="J417" s="8" t="str">
        <f t="shared" si="1"/>
        <v>Tier 1</v>
      </c>
      <c r="K417" s="9" t="str">
        <f t="shared" si="2"/>
        <v>Active</v>
      </c>
      <c r="L417" s="4" t="str">
        <f>IFERROR(__xludf.DUMMYFUNCTION("vlookup(C417,importrange(""1kw74ismGU34AsZ5x-W4x7F3Zt2xc8NSYcCVMrCJBmdQ"",""DRP for 8 products!B:H""),6,0)"),"BigQuery")</f>
        <v>BigQuery</v>
      </c>
      <c r="M417" s="10" t="str">
        <f t="shared" si="3"/>
        <v>Yes</v>
      </c>
    </row>
    <row r="418">
      <c r="A418" s="4" t="str">
        <f>IFERROR(__xludf.DUMMYFUNCTION("vlookup(C418,IMPORTRANGE(""1Kgoo8qyo6zMtf_5B03ksZz228jg0XpZ4_KXsdHQ4Vks"",""14 Sept!A:B""),2,0)"),"DME2336")</f>
        <v>DME2336</v>
      </c>
      <c r="B418" s="5" t="str">
        <f>IFERROR(__xludf.DUMMYFUNCTION("""COMPUTED_VALUE"""),"Saikiran Veeragouni")</f>
        <v>Saikiran Veeragouni</v>
      </c>
      <c r="C418" s="5" t="str">
        <f>IFERROR(__xludf.DUMMYFUNCTION("""COMPUTED_VALUE"""),"sai.veeragouni@onixnet.com")</f>
        <v>sai.veeragouni@onixnet.com</v>
      </c>
      <c r="D418" s="4" t="s">
        <v>11</v>
      </c>
      <c r="E418" s="6" t="str">
        <f>IFERROR(__xludf.DUMMYFUNCTION("vlookup($A418,importrange(""1fyGnaViAX9kns28pvsfPvI9925sAI7kxPlM7jpuHVJM"",""Validation!A:Z""),11,0)"),"Delivery Services")</f>
        <v>Delivery Services</v>
      </c>
      <c r="F418" s="6" t="str">
        <f>IFERROR(__xludf.DUMMYFUNCTION("vlookup($A418,importrange(""1fyGnaViAX9kns28pvsfPvI9925sAI7kxPlM7jpuHVJM"",""Validation!A:Z""),23,0)"),"Kamal Amrutham")</f>
        <v>Kamal Amrutham</v>
      </c>
      <c r="G418" s="6" t="str">
        <f>IFERROR(__xludf.DUMMYFUNCTION("vlookup(A418,importrange(""1fyGnaViAX9kns28pvsfPvI9925sAI7kxPlM7jpuHVJM"",""Validation!A:Z""),22,0)"),"Cluster - Shreepad")</f>
        <v>Cluster - Shreepad</v>
      </c>
      <c r="H418" s="4" t="str">
        <f>IFERROR(__xludf.DUMMYFUNCTION("vlookup(C418,importrange(""1kw74ismGU34AsZ5x-W4x7F3Zt2xc8NSYcCVMrCJBmdQ"",""DRP for 8 products!B:C""),2,0)"),"ONISVLFB5")</f>
        <v>ONISVLFB5</v>
      </c>
      <c r="I418" s="7">
        <f>IFERROR(__xludf.DUMMYFUNCTION("vlookup(C418,importrange(""1kw74ismGU34AsZ5x-W4x7F3Zt2xc8NSYcCVMrCJBmdQ"",""DRP for 8 products!B:E""),4,0)"),28.0)</f>
        <v>28</v>
      </c>
      <c r="J418" s="8" t="str">
        <f t="shared" si="1"/>
        <v>Tier 3</v>
      </c>
      <c r="K418" s="9" t="str">
        <f t="shared" si="2"/>
        <v>Active</v>
      </c>
      <c r="L418" s="4" t="str">
        <f>IFERROR(__xludf.DUMMYFUNCTION("vlookup(C418,importrange(""1kw74ismGU34AsZ5x-W4x7F3Zt2xc8NSYcCVMrCJBmdQ"",""DRP for 8 products!B:H""),6,0)"),"BigQuery")</f>
        <v>BigQuery</v>
      </c>
      <c r="M418" s="10" t="str">
        <f t="shared" si="3"/>
        <v>Yes</v>
      </c>
    </row>
    <row r="419">
      <c r="A419" s="4" t="str">
        <f>IFERROR(__xludf.DUMMYFUNCTION("vlookup(C419,IMPORTRANGE(""1Kgoo8qyo6zMtf_5B03ksZz228jg0XpZ4_KXsdHQ4Vks"",""14 Sept!A:B""),2,0)"),"DME3144")</f>
        <v>DME3144</v>
      </c>
      <c r="B419" s="5" t="str">
        <f>IFERROR(__xludf.DUMMYFUNCTION("""COMPUTED_VALUE"""),"Suraj Misal")</f>
        <v>Suraj Misal</v>
      </c>
      <c r="C419" s="5" t="str">
        <f>IFERROR(__xludf.DUMMYFUNCTION("""COMPUTED_VALUE"""),"suraj.misal@onixnet.com")</f>
        <v>suraj.misal@onixnet.com</v>
      </c>
      <c r="D419" s="4" t="s">
        <v>11</v>
      </c>
      <c r="E419" s="6" t="str">
        <f>IFERROR(__xludf.DUMMYFUNCTION("vlookup($A419,importrange(""1fyGnaViAX9kns28pvsfPvI9925sAI7kxPlM7jpuHVJM"",""Validation!A:Z""),11,0)"),"Delivery Services")</f>
        <v>Delivery Services</v>
      </c>
      <c r="F419" s="6" t="str">
        <f>IFERROR(__xludf.DUMMYFUNCTION("vlookup($A419,importrange(""1fyGnaViAX9kns28pvsfPvI9925sAI7kxPlM7jpuHVJM"",""Validation!A:Z""),23,0)"),"Sunny Mathur")</f>
        <v>Sunny Mathur</v>
      </c>
      <c r="G419" s="6" t="str">
        <f>IFERROR(__xludf.DUMMYFUNCTION("vlookup(A419,importrange(""1fyGnaViAX9kns28pvsfPvI9925sAI7kxPlM7jpuHVJM"",""Validation!A:Z""),22,0)"),"Cluster - Sagar")</f>
        <v>Cluster - Sagar</v>
      </c>
      <c r="H419" s="4" t="str">
        <f>IFERROR(__xludf.DUMMYFUNCTION("vlookup(C419,importrange(""1kw74ismGU34AsZ5x-W4x7F3Zt2xc8NSYcCVMrCJBmdQ"",""DRP for 8 products!B:C""),2,0)"),"ONISMTQT0")</f>
        <v>ONISMTQT0</v>
      </c>
      <c r="I419" s="7">
        <f>IFERROR(__xludf.DUMMYFUNCTION("vlookup(C419,importrange(""1kw74ismGU34AsZ5x-W4x7F3Zt2xc8NSYcCVMrCJBmdQ"",""DRP for 8 products!B:E""),4,0)"),9.0)</f>
        <v>9</v>
      </c>
      <c r="J419" s="8" t="str">
        <f t="shared" si="1"/>
        <v>Tier 4</v>
      </c>
      <c r="K419" s="9" t="str">
        <f t="shared" si="2"/>
        <v>Active</v>
      </c>
      <c r="L419" s="4" t="str">
        <f>IFERROR(__xludf.DUMMYFUNCTION("vlookup(C419,importrange(""1kw74ismGU34AsZ5x-W4x7F3Zt2xc8NSYcCVMrCJBmdQ"",""DRP for 8 products!B:H""),6,0)"),"BigQuery")</f>
        <v>BigQuery</v>
      </c>
      <c r="M419" s="10" t="str">
        <f t="shared" si="3"/>
        <v>Yes</v>
      </c>
    </row>
    <row r="420">
      <c r="A420" s="4" t="str">
        <f>IFERROR(__xludf.DUMMYFUNCTION("vlookup(C420,IMPORTRANGE(""1Kgoo8qyo6zMtf_5B03ksZz228jg0XpZ4_KXsdHQ4Vks"",""14 Sept!A:B""),2,0)"),"DME1764")</f>
        <v>DME1764</v>
      </c>
      <c r="B420" s="5" t="str">
        <f>IFERROR(__xludf.DUMMYFUNCTION("""COMPUTED_VALUE"""),"shubham sambare")</f>
        <v>shubham sambare</v>
      </c>
      <c r="C420" s="5" t="str">
        <f>IFERROR(__xludf.DUMMYFUNCTION("""COMPUTED_VALUE"""),"shubham.sambare@onixnet.com")</f>
        <v>shubham.sambare@onixnet.com</v>
      </c>
      <c r="D420" s="4" t="s">
        <v>11</v>
      </c>
      <c r="E420" s="6" t="str">
        <f>IFERROR(__xludf.DUMMYFUNCTION("vlookup($A420,importrange(""1fyGnaViAX9kns28pvsfPvI9925sAI7kxPlM7jpuHVJM"",""Validation!A:Z""),11,0)"),"Delivery Services")</f>
        <v>Delivery Services</v>
      </c>
      <c r="F420" s="6" t="str">
        <f>IFERROR(__xludf.DUMMYFUNCTION("vlookup($A420,importrange(""1fyGnaViAX9kns28pvsfPvI9925sAI7kxPlM7jpuHVJM"",""Validation!A:Z""),23,0)"),"Manoj Patil")</f>
        <v>Manoj Patil</v>
      </c>
      <c r="G420" s="6" t="str">
        <f>IFERROR(__xludf.DUMMYFUNCTION("vlookup(A420,importrange(""1fyGnaViAX9kns28pvsfPvI9925sAI7kxPlM7jpuHVJM"",""Validation!A:Z""),22,0)"),"Cluster - Shreepad")</f>
        <v>Cluster - Shreepad</v>
      </c>
      <c r="H420" s="4" t="str">
        <f>IFERROR(__xludf.DUMMYFUNCTION("vlookup(C420,importrange(""1kw74ismGU34AsZ5x-W4x7F3Zt2xc8NSYcCVMrCJBmdQ"",""DRP for 8 products!B:C""),2,0)"),"ONISSQTA0")</f>
        <v>ONISSQTA0</v>
      </c>
      <c r="I420" s="7">
        <f>IFERROR(__xludf.DUMMYFUNCTION("vlookup(C420,importrange(""1kw74ismGU34AsZ5x-W4x7F3Zt2xc8NSYcCVMrCJBmdQ"",""DRP for 8 products!B:E""),4,0)"),29.0)</f>
        <v>29</v>
      </c>
      <c r="J420" s="8" t="str">
        <f t="shared" si="1"/>
        <v>Tier 3</v>
      </c>
      <c r="K420" s="9" t="str">
        <f t="shared" si="2"/>
        <v>Active</v>
      </c>
      <c r="L420" s="4" t="str">
        <f>IFERROR(__xludf.DUMMYFUNCTION("vlookup(C420,importrange(""1kw74ismGU34AsZ5x-W4x7F3Zt2xc8NSYcCVMrCJBmdQ"",""DRP for 8 products!B:H""),6,0)"),"BigQuery")</f>
        <v>BigQuery</v>
      </c>
      <c r="M420" s="10" t="str">
        <f t="shared" si="3"/>
        <v>Yes</v>
      </c>
    </row>
    <row r="421">
      <c r="A421" s="4" t="str">
        <f>IFERROR(__xludf.DUMMYFUNCTION("vlookup(C421,IMPORTRANGE(""1Kgoo8qyo6zMtf_5B03ksZz228jg0XpZ4_KXsdHQ4Vks"",""14 Sept!A:B""),2,0)"),"DME2546")</f>
        <v>DME2546</v>
      </c>
      <c r="B421" s="5" t="str">
        <f>IFERROR(__xludf.DUMMYFUNCTION("""COMPUTED_VALUE"""),"Shubham Gawhale")</f>
        <v>Shubham Gawhale</v>
      </c>
      <c r="C421" s="5" t="str">
        <f>IFERROR(__xludf.DUMMYFUNCTION("""COMPUTED_VALUE"""),"shubham.gawhale@onixnet.com")</f>
        <v>shubham.gawhale@onixnet.com</v>
      </c>
      <c r="D421" s="4" t="s">
        <v>11</v>
      </c>
      <c r="E421" s="6" t="str">
        <f>IFERROR(__xludf.DUMMYFUNCTION("vlookup($A421,importrange(""1fyGnaViAX9kns28pvsfPvI9925sAI7kxPlM7jpuHVJM"",""Validation!A:Z""),11,0)"),"Delivery Services")</f>
        <v>Delivery Services</v>
      </c>
      <c r="F421" s="6" t="str">
        <f>IFERROR(__xludf.DUMMYFUNCTION("vlookup($A421,importrange(""1fyGnaViAX9kns28pvsfPvI9925sAI7kxPlM7jpuHVJM"",""Validation!A:Z""),23,0)"),"Sneha Bhatambrekar")</f>
        <v>Sneha Bhatambrekar</v>
      </c>
      <c r="G421" s="6" t="str">
        <f>IFERROR(__xludf.DUMMYFUNCTION("vlookup(A421,importrange(""1fyGnaViAX9kns28pvsfPvI9925sAI7kxPlM7jpuHVJM"",""Validation!A:Z""),22,0)"),"Cluster - Sandeep")</f>
        <v>Cluster - Sandeep</v>
      </c>
      <c r="H421" s="4" t="str">
        <f>IFERROR(__xludf.DUMMYFUNCTION("vlookup(C421,importrange(""1kw74ismGU34AsZ5x-W4x7F3Zt2xc8NSYcCVMrCJBmdQ"",""DRP for 8 products!B:C""),2,0)"),"ONISGVZR5")</f>
        <v>ONISGVZR5</v>
      </c>
      <c r="I421" s="7">
        <f>IFERROR(__xludf.DUMMYFUNCTION("vlookup(C421,importrange(""1kw74ismGU34AsZ5x-W4x7F3Zt2xc8NSYcCVMrCJBmdQ"",""DRP for 8 products!B:E""),4,0)"),25.0)</f>
        <v>25</v>
      </c>
      <c r="J421" s="8" t="str">
        <f t="shared" si="1"/>
        <v>Tier 3</v>
      </c>
      <c r="K421" s="9" t="str">
        <f t="shared" si="2"/>
        <v>Active</v>
      </c>
      <c r="L421" s="4" t="str">
        <f>IFERROR(__xludf.DUMMYFUNCTION("vlookup(C421,importrange(""1kw74ismGU34AsZ5x-W4x7F3Zt2xc8NSYcCVMrCJBmdQ"",""DRP for 8 products!B:H""),6,0)"),"BigQuery")</f>
        <v>BigQuery</v>
      </c>
      <c r="M421" s="10" t="str">
        <f t="shared" si="3"/>
        <v>Yes</v>
      </c>
    </row>
    <row r="422">
      <c r="A422" s="4" t="str">
        <f>IFERROR(__xludf.DUMMYFUNCTION("vlookup(C422,IMPORTRANGE(""1Kgoo8qyo6zMtf_5B03ksZz228jg0XpZ4_KXsdHQ4Vks"",""14 Sept!A:B""),2,0)"),"DME3155")</f>
        <v>DME3155</v>
      </c>
      <c r="B422" s="5" t="str">
        <f>IFERROR(__xludf.DUMMYFUNCTION("""COMPUTED_VALUE"""),"Aakash Tolani")</f>
        <v>Aakash Tolani</v>
      </c>
      <c r="C422" s="5" t="str">
        <f>IFERROR(__xludf.DUMMYFUNCTION("""COMPUTED_VALUE"""),"aakash.tolani@onixnet.com")</f>
        <v>aakash.tolani@onixnet.com</v>
      </c>
      <c r="D422" s="4" t="s">
        <v>11</v>
      </c>
      <c r="E422" s="6" t="str">
        <f>IFERROR(__xludf.DUMMYFUNCTION("vlookup($A422,importrange(""1fyGnaViAX9kns28pvsfPvI9925sAI7kxPlM7jpuHVJM"",""Validation!A:Z""),11,0)"),"Delivery Services")</f>
        <v>Delivery Services</v>
      </c>
      <c r="F422" s="6" t="str">
        <f>IFERROR(__xludf.DUMMYFUNCTION("vlookup($A422,importrange(""1fyGnaViAX9kns28pvsfPvI9925sAI7kxPlM7jpuHVJM"",""Validation!A:Z""),23,0)"),"Shreepad Dhok")</f>
        <v>Shreepad Dhok</v>
      </c>
      <c r="G422" s="6" t="str">
        <f>IFERROR(__xludf.DUMMYFUNCTION("vlookup(A422,importrange(""1fyGnaViAX9kns28pvsfPvI9925sAI7kxPlM7jpuHVJM"",""Validation!A:Z""),22,0)"),"Cluster - Shreepad")</f>
        <v>Cluster - Shreepad</v>
      </c>
      <c r="H422" s="4" t="str">
        <f>IFERROR(__xludf.DUMMYFUNCTION("vlookup(C422,importrange(""1kw74ismGU34AsZ5x-W4x7F3Zt2xc8NSYcCVMrCJBmdQ"",""DRP for 8 products!B:C""),2,0)"),"ONIATIEI9")</f>
        <v>ONIATIEI9</v>
      </c>
      <c r="I422" s="7">
        <f>IFERROR(__xludf.DUMMYFUNCTION("vlookup(C422,importrange(""1kw74ismGU34AsZ5x-W4x7F3Zt2xc8NSYcCVMrCJBmdQ"",""DRP for 8 products!B:E""),4,0)"),9.0)</f>
        <v>9</v>
      </c>
      <c r="J422" s="8" t="str">
        <f t="shared" si="1"/>
        <v>Tier 4</v>
      </c>
      <c r="K422" s="9" t="str">
        <f t="shared" si="2"/>
        <v>Active</v>
      </c>
      <c r="L422" s="4" t="str">
        <f>IFERROR(__xludf.DUMMYFUNCTION("vlookup(C422,importrange(""1kw74ismGU34AsZ5x-W4x7F3Zt2xc8NSYcCVMrCJBmdQ"",""DRP for 8 products!B:H""),6,0)"),"BigQuery")</f>
        <v>BigQuery</v>
      </c>
      <c r="M422" s="10" t="str">
        <f t="shared" si="3"/>
        <v>Yes</v>
      </c>
    </row>
    <row r="423">
      <c r="A423" s="4" t="str">
        <f>IFERROR(__xludf.DUMMYFUNCTION("vlookup(C423,IMPORTRANGE(""1Kgoo8qyo6zMtf_5B03ksZz228jg0XpZ4_KXsdHQ4Vks"",""14 Sept!A:B""),2,0)"),"DME2653")</f>
        <v>DME2653</v>
      </c>
      <c r="B423" s="5" t="str">
        <f>IFERROR(__xludf.DUMMYFUNCTION("""COMPUTED_VALUE"""),"Mangesh Mane")</f>
        <v>Mangesh Mane</v>
      </c>
      <c r="C423" s="5" t="str">
        <f>IFERROR(__xludf.DUMMYFUNCTION("""COMPUTED_VALUE"""),"mangesh.mane@onixnet.com")</f>
        <v>mangesh.mane@onixnet.com</v>
      </c>
      <c r="D423" s="4" t="s">
        <v>11</v>
      </c>
      <c r="E423" s="6" t="str">
        <f>IFERROR(__xludf.DUMMYFUNCTION("vlookup($A423,importrange(""1fyGnaViAX9kns28pvsfPvI9925sAI7kxPlM7jpuHVJM"",""Validation!A:Z""),11,0)"),"Delivery Services")</f>
        <v>Delivery Services</v>
      </c>
      <c r="F423" s="6" t="str">
        <f>IFERROR(__xludf.DUMMYFUNCTION("vlookup($A423,importrange(""1fyGnaViAX9kns28pvsfPvI9925sAI7kxPlM7jpuHVJM"",""Validation!A:Z""),23,0)"),"Aarti Borhade")</f>
        <v>Aarti Borhade</v>
      </c>
      <c r="G423" s="6" t="str">
        <f>IFERROR(__xludf.DUMMYFUNCTION("vlookup(A423,importrange(""1fyGnaViAX9kns28pvsfPvI9925sAI7kxPlM7jpuHVJM"",""Validation!A:Z""),22,0)"),"Cluster - Sagar")</f>
        <v>Cluster - Sagar</v>
      </c>
      <c r="H423" s="4" t="str">
        <f>IFERROR(__xludf.DUMMYFUNCTION("vlookup(C423,importrange(""1kw74ismGU34AsZ5x-W4x7F3Zt2xc8NSYcCVMrCJBmdQ"",""DRP for 8 products!B:C""),2,0)"),"ONIMMIHC5")</f>
        <v>ONIMMIHC5</v>
      </c>
      <c r="I423" s="7">
        <f>IFERROR(__xludf.DUMMYFUNCTION("vlookup(C423,importrange(""1kw74ismGU34AsZ5x-W4x7F3Zt2xc8NSYcCVMrCJBmdQ"",""DRP for 8 products!B:E""),4,0)"),32.0)</f>
        <v>32</v>
      </c>
      <c r="J423" s="8" t="str">
        <f t="shared" si="1"/>
        <v>Tier 3</v>
      </c>
      <c r="K423" s="9" t="str">
        <f t="shared" si="2"/>
        <v>Active</v>
      </c>
      <c r="L423" s="4" t="str">
        <f>IFERROR(__xludf.DUMMYFUNCTION("vlookup(C423,importrange(""1kw74ismGU34AsZ5x-W4x7F3Zt2xc8NSYcCVMrCJBmdQ"",""DRP for 8 products!B:H""),6,0)"),"BigQuery")</f>
        <v>BigQuery</v>
      </c>
      <c r="M423" s="10" t="str">
        <f t="shared" si="3"/>
        <v>Yes</v>
      </c>
    </row>
    <row r="424">
      <c r="A424" s="4" t="str">
        <f>IFERROR(__xludf.DUMMYFUNCTION("vlookup(C424,IMPORTRANGE(""1Kgoo8qyo6zMtf_5B03ksZz228jg0XpZ4_KXsdHQ4Vks"",""14 Sept!A:B""),2,0)"),"DME2465")</f>
        <v>DME2465</v>
      </c>
      <c r="B424" s="5" t="str">
        <f>IFERROR(__xludf.DUMMYFUNCTION("""COMPUTED_VALUE"""),"Mohit Vinchurkar")</f>
        <v>Mohit Vinchurkar</v>
      </c>
      <c r="C424" s="5" t="str">
        <f>IFERROR(__xludf.DUMMYFUNCTION("""COMPUTED_VALUE"""),"mohit.vinchurkar@onixnet.com")</f>
        <v>mohit.vinchurkar@onixnet.com</v>
      </c>
      <c r="D424" s="4" t="s">
        <v>11</v>
      </c>
      <c r="E424" s="6" t="str">
        <f>IFERROR(__xludf.DUMMYFUNCTION("vlookup($A424,importrange(""1fyGnaViAX9kns28pvsfPvI9925sAI7kxPlM7jpuHVJM"",""Validation!A:Z""),11,0)"),"Delivery Services")</f>
        <v>Delivery Services</v>
      </c>
      <c r="F424" s="6" t="str">
        <f>IFERROR(__xludf.DUMMYFUNCTION("vlookup($A424,importrange(""1fyGnaViAX9kns28pvsfPvI9925sAI7kxPlM7jpuHVJM"",""Validation!A:Z""),23,0)"),"Vipul Nilapwar")</f>
        <v>Vipul Nilapwar</v>
      </c>
      <c r="G424" s="6" t="str">
        <f>IFERROR(__xludf.DUMMYFUNCTION("vlookup(A424,importrange(""1fyGnaViAX9kns28pvsfPvI9925sAI7kxPlM7jpuHVJM"",""Validation!A:Z""),22,0)"),"Cluster - Sachin")</f>
        <v>Cluster - Sachin</v>
      </c>
      <c r="H424" s="4" t="str">
        <f>IFERROR(__xludf.DUMMYFUNCTION("vlookup(C424,importrange(""1kw74ismGU34AsZ5x-W4x7F3Zt2xc8NSYcCVMrCJBmdQ"",""DRP for 8 products!B:C""),2,0)"),"ONIMVTZL6")</f>
        <v>ONIMVTZL6</v>
      </c>
      <c r="I424" s="7">
        <f>IFERROR(__xludf.DUMMYFUNCTION("vlookup(C424,importrange(""1kw74ismGU34AsZ5x-W4x7F3Zt2xc8NSYcCVMrCJBmdQ"",""DRP for 8 products!B:E""),4,0)"),20.0)</f>
        <v>20</v>
      </c>
      <c r="J424" s="8" t="str">
        <f t="shared" si="1"/>
        <v>Tier 3</v>
      </c>
      <c r="K424" s="9" t="str">
        <f t="shared" si="2"/>
        <v>Active</v>
      </c>
      <c r="L424" s="4" t="str">
        <f>IFERROR(__xludf.DUMMYFUNCTION("vlookup(C424,importrange(""1kw74ismGU34AsZ5x-W4x7F3Zt2xc8NSYcCVMrCJBmdQ"",""DRP for 8 products!B:H""),6,0)"),"Dataproc")</f>
        <v>Dataproc</v>
      </c>
      <c r="M424" s="10" t="str">
        <f t="shared" si="3"/>
        <v>Yes</v>
      </c>
    </row>
    <row r="425">
      <c r="A425" s="4" t="str">
        <f>IFERROR(__xludf.DUMMYFUNCTION("vlookup(C425,IMPORTRANGE(""1Kgoo8qyo6zMtf_5B03ksZz228jg0XpZ4_KXsdHQ4Vks"",""14 Sept!A:B""),2,0)"),"DME3163")</f>
        <v>DME3163</v>
      </c>
      <c r="B425" s="5" t="str">
        <f>IFERROR(__xludf.DUMMYFUNCTION("""COMPUTED_VALUE"""),"Rushabh Sharma")</f>
        <v>Rushabh Sharma</v>
      </c>
      <c r="C425" s="5" t="str">
        <f>IFERROR(__xludf.DUMMYFUNCTION("""COMPUTED_VALUE"""),"rushabh.sharma@onixnet.com")</f>
        <v>rushabh.sharma@onixnet.com</v>
      </c>
      <c r="D425" s="4" t="s">
        <v>11</v>
      </c>
      <c r="E425" s="6" t="str">
        <f>IFERROR(__xludf.DUMMYFUNCTION("vlookup($A425,importrange(""1fyGnaViAX9kns28pvsfPvI9925sAI7kxPlM7jpuHVJM"",""Validation!A:Z""),11,0)"),"Delivery Services")</f>
        <v>Delivery Services</v>
      </c>
      <c r="F425" s="6" t="str">
        <f>IFERROR(__xludf.DUMMYFUNCTION("vlookup($A425,importrange(""1fyGnaViAX9kns28pvsfPvI9925sAI7kxPlM7jpuHVJM"",""Validation!A:Z""),23,0)"),"Mayur Kasar")</f>
        <v>Mayur Kasar</v>
      </c>
      <c r="G425" s="6" t="str">
        <f>IFERROR(__xludf.DUMMYFUNCTION("vlookup(A425,importrange(""1fyGnaViAX9kns28pvsfPvI9925sAI7kxPlM7jpuHVJM"",""Validation!A:Z""),22,0)"),"Cluster - Varun")</f>
        <v>Cluster - Varun</v>
      </c>
      <c r="H425" s="4" t="str">
        <f>IFERROR(__xludf.DUMMYFUNCTION("vlookup(C425,importrange(""1kw74ismGU34AsZ5x-W4x7F3Zt2xc8NSYcCVMrCJBmdQ"",""DRP for 8 products!B:C""),2,0)"),"ONIRSEZG2")</f>
        <v>ONIRSEZG2</v>
      </c>
      <c r="I425" s="7">
        <f>IFERROR(__xludf.DUMMYFUNCTION("vlookup(C425,importrange(""1kw74ismGU34AsZ5x-W4x7F3Zt2xc8NSYcCVMrCJBmdQ"",""DRP for 8 products!B:E""),4,0)"),14.0)</f>
        <v>14</v>
      </c>
      <c r="J425" s="8" t="str">
        <f t="shared" si="1"/>
        <v>Tier 4</v>
      </c>
      <c r="K425" s="9" t="str">
        <f t="shared" si="2"/>
        <v>Active</v>
      </c>
      <c r="L425" s="4" t="str">
        <f>IFERROR(__xludf.DUMMYFUNCTION("vlookup(C425,importrange(""1kw74ismGU34AsZ5x-W4x7F3Zt2xc8NSYcCVMrCJBmdQ"",""DRP for 8 products!B:H""),6,0)"),"Dataproc")</f>
        <v>Dataproc</v>
      </c>
      <c r="M425" s="10" t="str">
        <f t="shared" si="3"/>
        <v>Yes</v>
      </c>
    </row>
    <row r="426">
      <c r="A426" s="4" t="str">
        <f>IFERROR(__xludf.DUMMYFUNCTION("vlookup(C426,IMPORTRANGE(""1Kgoo8qyo6zMtf_5B03ksZz228jg0XpZ4_KXsdHQ4Vks"",""14 Sept!A:B""),2,0)"),"DME2826")</f>
        <v>DME2826</v>
      </c>
      <c r="B426" s="5" t="str">
        <f>IFERROR(__xludf.DUMMYFUNCTION("""COMPUTED_VALUE"""),"Rasika Kasar")</f>
        <v>Rasika Kasar</v>
      </c>
      <c r="C426" s="5" t="str">
        <f>IFERROR(__xludf.DUMMYFUNCTION("""COMPUTED_VALUE"""),"rasika.kasar@onixnet.com")</f>
        <v>rasika.kasar@onixnet.com</v>
      </c>
      <c r="D426" s="4" t="s">
        <v>11</v>
      </c>
      <c r="E426" s="6" t="str">
        <f>IFERROR(__xludf.DUMMYFUNCTION("vlookup($A426,importrange(""1fyGnaViAX9kns28pvsfPvI9925sAI7kxPlM7jpuHVJM"",""Validation!A:Z""),11,0)"),"Delivery Services")</f>
        <v>Delivery Services</v>
      </c>
      <c r="F426" s="6" t="str">
        <f>IFERROR(__xludf.DUMMYFUNCTION("vlookup($A426,importrange(""1fyGnaViAX9kns28pvsfPvI9925sAI7kxPlM7jpuHVJM"",""Validation!A:Z""),23,0)"),"Nisha Chandrakant Dhole")</f>
        <v>Nisha Chandrakant Dhole</v>
      </c>
      <c r="G426" s="6" t="str">
        <f>IFERROR(__xludf.DUMMYFUNCTION("vlookup(A426,importrange(""1fyGnaViAX9kns28pvsfPvI9925sAI7kxPlM7jpuHVJM"",""Validation!A:Z""),22,0)"),"Cluster - Sagar")</f>
        <v>Cluster - Sagar</v>
      </c>
      <c r="H426" s="4" t="str">
        <f>IFERROR(__xludf.DUMMYFUNCTION("vlookup(C426,importrange(""1kw74ismGU34AsZ5x-W4x7F3Zt2xc8NSYcCVMrCJBmdQ"",""DRP for 8 products!B:C""),2,0)"),"ONIRKOFE3")</f>
        <v>ONIRKOFE3</v>
      </c>
      <c r="I426" s="7">
        <f>IFERROR(__xludf.DUMMYFUNCTION("vlookup(C426,importrange(""1kw74ismGU34AsZ5x-W4x7F3Zt2xc8NSYcCVMrCJBmdQ"",""DRP for 8 products!B:E""),4,0)"),13.0)</f>
        <v>13</v>
      </c>
      <c r="J426" s="8" t="str">
        <f t="shared" si="1"/>
        <v>Tier 4</v>
      </c>
      <c r="K426" s="9" t="str">
        <f t="shared" si="2"/>
        <v>Active</v>
      </c>
      <c r="L426" s="4" t="str">
        <f>IFERROR(__xludf.DUMMYFUNCTION("vlookup(C426,importrange(""1kw74ismGU34AsZ5x-W4x7F3Zt2xc8NSYcCVMrCJBmdQ"",""DRP for 8 products!B:H""),6,0)"),"BigQuery")</f>
        <v>BigQuery</v>
      </c>
      <c r="M426" s="10" t="str">
        <f t="shared" si="3"/>
        <v>Yes</v>
      </c>
    </row>
    <row r="427">
      <c r="A427" s="4" t="str">
        <f>IFERROR(__xludf.DUMMYFUNCTION("vlookup(C427,IMPORTRANGE(""1Kgoo8qyo6zMtf_5B03ksZz228jg0XpZ4_KXsdHQ4Vks"",""14 Sept!A:B""),2,0)"),"DME2957")</f>
        <v>DME2957</v>
      </c>
      <c r="B427" s="5" t="str">
        <f>IFERROR(__xludf.DUMMYFUNCTION("""COMPUTED_VALUE"""),"Sonam Nikam")</f>
        <v>Sonam Nikam</v>
      </c>
      <c r="C427" s="5" t="str">
        <f>IFERROR(__xludf.DUMMYFUNCTION("""COMPUTED_VALUE"""),"sonam.nikam@onixnet.com")</f>
        <v>sonam.nikam@onixnet.com</v>
      </c>
      <c r="D427" s="4" t="s">
        <v>11</v>
      </c>
      <c r="E427" s="6" t="str">
        <f>IFERROR(__xludf.DUMMYFUNCTION("vlookup($A427,importrange(""1fyGnaViAX9kns28pvsfPvI9925sAI7kxPlM7jpuHVJM"",""Validation!A:Z""),11,0)"),"Delivery Services")</f>
        <v>Delivery Services</v>
      </c>
      <c r="F427" s="6" t="str">
        <f>IFERROR(__xludf.DUMMYFUNCTION("vlookup($A427,importrange(""1fyGnaViAX9kns28pvsfPvI9925sAI7kxPlM7jpuHVJM"",""Validation!A:Z""),23,0)"),"Mayur Kasar")</f>
        <v>Mayur Kasar</v>
      </c>
      <c r="G427" s="6" t="str">
        <f>IFERROR(__xludf.DUMMYFUNCTION("vlookup(A427,importrange(""1fyGnaViAX9kns28pvsfPvI9925sAI7kxPlM7jpuHVJM"",""Validation!A:Z""),22,0)"),"Cluster - Varun")</f>
        <v>Cluster - Varun</v>
      </c>
      <c r="H427" s="4" t="str">
        <f>IFERROR(__xludf.DUMMYFUNCTION("vlookup(C427,importrange(""1kw74ismGU34AsZ5x-W4x7F3Zt2xc8NSYcCVMrCJBmdQ"",""DRP for 8 products!B:C""),2,0)"),"ONISNLBY9")</f>
        <v>ONISNLBY9</v>
      </c>
      <c r="I427" s="7">
        <f>IFERROR(__xludf.DUMMYFUNCTION("vlookup(C427,importrange(""1kw74ismGU34AsZ5x-W4x7F3Zt2xc8NSYcCVMrCJBmdQ"",""DRP for 8 products!B:E""),4,0)"),29.0)</f>
        <v>29</v>
      </c>
      <c r="J427" s="8" t="str">
        <f t="shared" si="1"/>
        <v>Tier 3</v>
      </c>
      <c r="K427" s="9" t="str">
        <f t="shared" si="2"/>
        <v>Active</v>
      </c>
      <c r="L427" s="4" t="str">
        <f>IFERROR(__xludf.DUMMYFUNCTION("vlookup(C427,importrange(""1kw74ismGU34AsZ5x-W4x7F3Zt2xc8NSYcCVMrCJBmdQ"",""DRP for 8 products!B:H""),6,0)"),"BigQuery")</f>
        <v>BigQuery</v>
      </c>
      <c r="M427" s="10" t="str">
        <f t="shared" si="3"/>
        <v>Yes</v>
      </c>
    </row>
    <row r="428">
      <c r="A428" s="4" t="str">
        <f>IFERROR(__xludf.DUMMYFUNCTION("vlookup(C428,IMPORTRANGE(""1Kgoo8qyo6zMtf_5B03ksZz228jg0XpZ4_KXsdHQ4Vks"",""14 Sept!A:B""),2,0)"),"DME3254")</f>
        <v>DME3254</v>
      </c>
      <c r="B428" s="5" t="str">
        <f>IFERROR(__xludf.DUMMYFUNCTION("""COMPUTED_VALUE"""),"Priyanka Kumari")</f>
        <v>Priyanka Kumari</v>
      </c>
      <c r="C428" s="5" t="str">
        <f>IFERROR(__xludf.DUMMYFUNCTION("""COMPUTED_VALUE"""),"priyanka.kumari@onixnet.com")</f>
        <v>priyanka.kumari@onixnet.com</v>
      </c>
      <c r="D428" s="4" t="s">
        <v>11</v>
      </c>
      <c r="E428" s="6" t="str">
        <f>IFERROR(__xludf.DUMMYFUNCTION("vlookup($A428,importrange(""1fyGnaViAX9kns28pvsfPvI9925sAI7kxPlM7jpuHVJM"",""Validation!A:Z""),11,0)"),"Delivery Services")</f>
        <v>Delivery Services</v>
      </c>
      <c r="F428" s="6" t="str">
        <f>IFERROR(__xludf.DUMMYFUNCTION("vlookup($A428,importrange(""1fyGnaViAX9kns28pvsfPvI9925sAI7kxPlM7jpuHVJM"",""Validation!A:Z""),23,0)"),"G Venkatramana")</f>
        <v>G Venkatramana</v>
      </c>
      <c r="G428" s="6" t="str">
        <f>IFERROR(__xludf.DUMMYFUNCTION("vlookup(A428,importrange(""1fyGnaViAX9kns28pvsfPvI9925sAI7kxPlM7jpuHVJM"",""Validation!A:Z""),22,0)"),"Cluster - Sachin")</f>
        <v>Cluster - Sachin</v>
      </c>
      <c r="H428" s="4" t="str">
        <f>IFERROR(__xludf.DUMMYFUNCTION("vlookup(C428,importrange(""1kw74ismGU34AsZ5x-W4x7F3Zt2xc8NSYcCVMrCJBmdQ"",""DRP for 8 products!B:C""),2,0)"),"ONIPKIAP9")</f>
        <v>ONIPKIAP9</v>
      </c>
      <c r="I428" s="7">
        <f>IFERROR(__xludf.DUMMYFUNCTION("vlookup(C428,importrange(""1kw74ismGU34AsZ5x-W4x7F3Zt2xc8NSYcCVMrCJBmdQ"",""DRP for 8 products!B:E""),4,0)"),5.0)</f>
        <v>5</v>
      </c>
      <c r="J428" s="8" t="str">
        <f t="shared" si="1"/>
        <v>Tier 4</v>
      </c>
      <c r="K428" s="9" t="str">
        <f t="shared" si="2"/>
        <v>Active</v>
      </c>
      <c r="L428" s="4" t="str">
        <f>IFERROR(__xludf.DUMMYFUNCTION("vlookup(C428,importrange(""1kw74ismGU34AsZ5x-W4x7F3Zt2xc8NSYcCVMrCJBmdQ"",""DRP for 8 products!B:H""),6,0)"),"BigQuery")</f>
        <v>BigQuery</v>
      </c>
      <c r="M428" s="10" t="str">
        <f t="shared" si="3"/>
        <v>Yes</v>
      </c>
    </row>
    <row r="429">
      <c r="A429" s="4" t="str">
        <f>IFERROR(__xludf.DUMMYFUNCTION("vlookup(C429,IMPORTRANGE(""1Kgoo8qyo6zMtf_5B03ksZz228jg0XpZ4_KXsdHQ4Vks"",""14 Sept!A:B""),2,0)"),"DMC1181")</f>
        <v>DMC1181</v>
      </c>
      <c r="B429" s="5" t="str">
        <f>IFERROR(__xludf.DUMMYFUNCTION("""COMPUTED_VALUE"""),"CHANDRIKA VIJAYA KRISHNA UNDAVALLI")</f>
        <v>CHANDRIKA VIJAYA KRISHNA UNDAVALLI</v>
      </c>
      <c r="C429" s="5" t="str">
        <f>IFERROR(__xludf.DUMMYFUNCTION("""COMPUTED_VALUE"""),"chandrika.undavalli@onixnet.us")</f>
        <v>chandrika.undavalli@onixnet.us</v>
      </c>
      <c r="D429" s="4" t="s">
        <v>11</v>
      </c>
      <c r="E429" s="6" t="str">
        <f>IFERROR(__xludf.DUMMYFUNCTION("vlookup($A429,importrange(""1fyGnaViAX9kns28pvsfPvI9925sAI7kxPlM7jpuHVJM"",""Validation!A:Z""),11,0)"),"Product Engineering")</f>
        <v>Product Engineering</v>
      </c>
      <c r="F429" s="6" t="str">
        <f>IFERROR(__xludf.DUMMYFUNCTION("vlookup($A429,importrange(""1fyGnaViAX9kns28pvsfPvI9925sAI7kxPlM7jpuHVJM"",""Validation!A:Z""),23,0)"),"Venkat Shivkumar")</f>
        <v>Venkat Shivkumar</v>
      </c>
      <c r="G429" s="6" t="str">
        <f>IFERROR(__xludf.DUMMYFUNCTION("vlookup(A429,importrange(""1fyGnaViAX9kns28pvsfPvI9925sAI7kxPlM7jpuHVJM"",""Validation!A:Z""),22,0)"),"Cluster - Mayur")</f>
        <v>Cluster - Mayur</v>
      </c>
      <c r="H429" s="4" t="str">
        <f>IFERROR(__xludf.DUMMYFUNCTION("vlookup(C429,importrange(""1kw74ismGU34AsZ5x-W4x7F3Zt2xc8NSYcCVMrCJBmdQ"",""DRP for 8 products!B:C""),2,0)"),"ONICUJZW8")</f>
        <v>ONICUJZW8</v>
      </c>
      <c r="I429" s="7">
        <f>IFERROR(__xludf.DUMMYFUNCTION("vlookup(C429,importrange(""1kw74ismGU34AsZ5x-W4x7F3Zt2xc8NSYcCVMrCJBmdQ"",""DRP for 8 products!B:E""),4,0)"),19.0)</f>
        <v>19</v>
      </c>
      <c r="J429" s="8" t="str">
        <f t="shared" si="1"/>
        <v>Tier 4</v>
      </c>
      <c r="K429" s="9" t="str">
        <f t="shared" si="2"/>
        <v>Active</v>
      </c>
      <c r="L429" s="4" t="str">
        <f>IFERROR(__xludf.DUMMYFUNCTION("vlookup(C429,importrange(""1kw74ismGU34AsZ5x-W4x7F3Zt2xc8NSYcCVMrCJBmdQ"",""DRP for 8 products!B:H""),6,0)"),"AlloyDB for PostgreSQL")</f>
        <v>AlloyDB for PostgreSQL</v>
      </c>
      <c r="M429" s="10" t="str">
        <f t="shared" si="3"/>
        <v>Yes</v>
      </c>
    </row>
    <row r="430">
      <c r="A430" s="4" t="str">
        <f>IFERROR(__xludf.DUMMYFUNCTION("vlookup(C430,IMPORTRANGE(""1Kgoo8qyo6zMtf_5B03ksZz228jg0XpZ4_KXsdHQ4Vks"",""14 Sept!A:B""),2,0)"),"DMC1065")</f>
        <v>DMC1065</v>
      </c>
      <c r="B430" s="5" t="str">
        <f>IFERROR(__xludf.DUMMYFUNCTION("""COMPUTED_VALUE"""),"Nikhil Malpure")</f>
        <v>Nikhil Malpure</v>
      </c>
      <c r="C430" s="5" t="str">
        <f>IFERROR(__xludf.DUMMYFUNCTION("""COMPUTED_VALUE"""),"nikhil.malpure@onixnet.com")</f>
        <v>nikhil.malpure@onixnet.com</v>
      </c>
      <c r="D430" s="4" t="s">
        <v>11</v>
      </c>
      <c r="E430" s="6" t="str">
        <f>IFERROR(__xludf.DUMMYFUNCTION("vlookup($A430,importrange(""1fyGnaViAX9kns28pvsfPvI9925sAI7kxPlM7jpuHVJM"",""Validation!A:Z""),11,0)"),"Delivery Services")</f>
        <v>Delivery Services</v>
      </c>
      <c r="F430" s="6" t="str">
        <f>IFERROR(__xludf.DUMMYFUNCTION("vlookup($A430,importrange(""1fyGnaViAX9kns28pvsfPvI9925sAI7kxPlM7jpuHVJM"",""Validation!A:Z""),23,0)"),"Mayur Tawhare")</f>
        <v>Mayur Tawhare</v>
      </c>
      <c r="G430" s="6" t="str">
        <f>IFERROR(__xludf.DUMMYFUNCTION("vlookup(A430,importrange(""1fyGnaViAX9kns28pvsfPvI9925sAI7kxPlM7jpuHVJM"",""Validation!A:Z""),22,0)"),"Cluster - Varun")</f>
        <v>Cluster - Varun</v>
      </c>
      <c r="H430" s="4" t="str">
        <f>IFERROR(__xludf.DUMMYFUNCTION("vlookup(C430,importrange(""1kw74ismGU34AsZ5x-W4x7F3Zt2xc8NSYcCVMrCJBmdQ"",""DRP for 8 products!B:C""),2,0)"),"ONINMJGI5")</f>
        <v>ONINMJGI5</v>
      </c>
      <c r="I430" s="7">
        <f>IFERROR(__xludf.DUMMYFUNCTION("vlookup(C430,importrange(""1kw74ismGU34AsZ5x-W4x7F3Zt2xc8NSYcCVMrCJBmdQ"",""DRP for 8 products!B:E""),4,0)"),25.0)</f>
        <v>25</v>
      </c>
      <c r="J430" s="8" t="str">
        <f t="shared" si="1"/>
        <v>Tier 3</v>
      </c>
      <c r="K430" s="9" t="str">
        <f t="shared" si="2"/>
        <v>Active</v>
      </c>
      <c r="L430" s="4" t="str">
        <f>IFERROR(__xludf.DUMMYFUNCTION("vlookup(C430,importrange(""1kw74ismGU34AsZ5x-W4x7F3Zt2xc8NSYcCVMrCJBmdQ"",""DRP for 8 products!B:H""),6,0)"),"Cloud SQL")</f>
        <v>Cloud SQL</v>
      </c>
      <c r="M430" s="10" t="str">
        <f t="shared" si="3"/>
        <v>Yes</v>
      </c>
    </row>
    <row r="431">
      <c r="A431" s="4" t="str">
        <f>IFERROR(__xludf.DUMMYFUNCTION("vlookup(C431,IMPORTRANGE(""1Kgoo8qyo6zMtf_5B03ksZz228jg0XpZ4_KXsdHQ4Vks"",""14 Sept!A:B""),2,0)"),"DME2096")</f>
        <v>DME2096</v>
      </c>
      <c r="B431" s="5" t="str">
        <f>IFERROR(__xludf.DUMMYFUNCTION("""COMPUTED_VALUE"""),"Abhijit Mahajan")</f>
        <v>Abhijit Mahajan</v>
      </c>
      <c r="C431" s="5" t="str">
        <f>IFERROR(__xludf.DUMMYFUNCTION("""COMPUTED_VALUE"""),"abhijit.mahajan@onixnet.com")</f>
        <v>abhijit.mahajan@onixnet.com</v>
      </c>
      <c r="D431" s="4" t="s">
        <v>11</v>
      </c>
      <c r="E431" s="6" t="str">
        <f>IFERROR(__xludf.DUMMYFUNCTION("vlookup($A431,importrange(""1fyGnaViAX9kns28pvsfPvI9925sAI7kxPlM7jpuHVJM"",""Validation!A:Z""),11,0)"),"Delivery Services")</f>
        <v>Delivery Services</v>
      </c>
      <c r="F431" s="6" t="str">
        <f>IFERROR(__xludf.DUMMYFUNCTION("vlookup($A431,importrange(""1fyGnaViAX9kns28pvsfPvI9925sAI7kxPlM7jpuHVJM"",""Validation!A:Z""),23,0)"),"Lalit Sakure")</f>
        <v>Lalit Sakure</v>
      </c>
      <c r="G431" s="6" t="str">
        <f>IFERROR(__xludf.DUMMYFUNCTION("vlookup(A431,importrange(""1fyGnaViAX9kns28pvsfPvI9925sAI7kxPlM7jpuHVJM"",""Validation!A:Z""),22,0)"),"Cluster - Gaurav")</f>
        <v>Cluster - Gaurav</v>
      </c>
      <c r="H431" s="4" t="str">
        <f>IFERROR(__xludf.DUMMYFUNCTION("vlookup(C431,importrange(""1kw74ismGU34AsZ5x-W4x7F3Zt2xc8NSYcCVMrCJBmdQ"",""DRP for 8 products!B:C""),2,0)"),"ONIAMIYJ3")</f>
        <v>ONIAMIYJ3</v>
      </c>
      <c r="I431" s="7">
        <f>IFERROR(__xludf.DUMMYFUNCTION("vlookup(C431,importrange(""1kw74ismGU34AsZ5x-W4x7F3Zt2xc8NSYcCVMrCJBmdQ"",""DRP for 8 products!B:E""),4,0)"),54.0)</f>
        <v>54</v>
      </c>
      <c r="J431" s="8" t="str">
        <f t="shared" si="1"/>
        <v>Tier 1</v>
      </c>
      <c r="K431" s="9" t="str">
        <f t="shared" si="2"/>
        <v>Active</v>
      </c>
      <c r="L431" s="4" t="str">
        <f>IFERROR(__xludf.DUMMYFUNCTION("vlookup(C431,importrange(""1kw74ismGU34AsZ5x-W4x7F3Zt2xc8NSYcCVMrCJBmdQ"",""DRP for 8 products!B:H""),6,0)"),"BigQuery")</f>
        <v>BigQuery</v>
      </c>
      <c r="M431" s="10" t="str">
        <f t="shared" si="3"/>
        <v>Yes</v>
      </c>
    </row>
    <row r="432">
      <c r="A432" s="4" t="str">
        <f>IFERROR(__xludf.DUMMYFUNCTION("vlookup(C432,IMPORTRANGE(""1Kgoo8qyo6zMtf_5B03ksZz228jg0XpZ4_KXsdHQ4Vks"",""14 Sept!A:B""),2,0)"),"DME2864")</f>
        <v>DME2864</v>
      </c>
      <c r="B432" s="5" t="str">
        <f>IFERROR(__xludf.DUMMYFUNCTION("""COMPUTED_VALUE"""),"Haritha K")</f>
        <v>Haritha K</v>
      </c>
      <c r="C432" s="5" t="str">
        <f>IFERROR(__xludf.DUMMYFUNCTION("""COMPUTED_VALUE"""),"haritha.kolluru@onixnet.com")</f>
        <v>haritha.kolluru@onixnet.com</v>
      </c>
      <c r="D432" s="4" t="s">
        <v>11</v>
      </c>
      <c r="E432" s="6" t="str">
        <f>IFERROR(__xludf.DUMMYFUNCTION("vlookup($A432,importrange(""1fyGnaViAX9kns28pvsfPvI9925sAI7kxPlM7jpuHVJM"",""Validation!A:Z""),11,0)"),"Delivery Services")</f>
        <v>Delivery Services</v>
      </c>
      <c r="F432" s="6" t="str">
        <f>IFERROR(__xludf.DUMMYFUNCTION("vlookup($A432,importrange(""1fyGnaViAX9kns28pvsfPvI9925sAI7kxPlM7jpuHVJM"",""Validation!A:Z""),23,0)"),"Jitender Singh")</f>
        <v>Jitender Singh</v>
      </c>
      <c r="G432" s="6" t="str">
        <f>IFERROR(__xludf.DUMMYFUNCTION("vlookup(A432,importrange(""1fyGnaViAX9kns28pvsfPvI9925sAI7kxPlM7jpuHVJM"",""Validation!A:Z""),22,0)"),"Cluster - Gaurav")</f>
        <v>Cluster - Gaurav</v>
      </c>
      <c r="H432" s="4" t="str">
        <f>IFERROR(__xludf.DUMMYFUNCTION("vlookup(C432,importrange(""1kw74ismGU34AsZ5x-W4x7F3Zt2xc8NSYcCVMrCJBmdQ"",""DRP for 8 products!B:C""),2,0)"),"ONIHKEEA6")</f>
        <v>ONIHKEEA6</v>
      </c>
      <c r="I432" s="7">
        <f>IFERROR(__xludf.DUMMYFUNCTION("vlookup(C432,importrange(""1kw74ismGU34AsZ5x-W4x7F3Zt2xc8NSYcCVMrCJBmdQ"",""DRP for 8 products!B:E""),4,0)"),14.0)</f>
        <v>14</v>
      </c>
      <c r="J432" s="8" t="str">
        <f t="shared" si="1"/>
        <v>Tier 4</v>
      </c>
      <c r="K432" s="9" t="str">
        <f t="shared" si="2"/>
        <v>Active</v>
      </c>
      <c r="L432" s="4" t="str">
        <f>IFERROR(__xludf.DUMMYFUNCTION("vlookup(C432,importrange(""1kw74ismGU34AsZ5x-W4x7F3Zt2xc8NSYcCVMrCJBmdQ"",""DRP for 8 products!B:H""),6,0)"),"BigQuery")</f>
        <v>BigQuery</v>
      </c>
      <c r="M432" s="10" t="str">
        <f t="shared" si="3"/>
        <v>Yes</v>
      </c>
    </row>
    <row r="433">
      <c r="A433" s="4" t="str">
        <f>IFERROR(__xludf.DUMMYFUNCTION("vlookup(C433,IMPORTRANGE(""1Kgoo8qyo6zMtf_5B03ksZz228jg0XpZ4_KXsdHQ4Vks"",""14 Sept!A:B""),2,0)"),"DME3217")</f>
        <v>DME3217</v>
      </c>
      <c r="B433" s="5" t="str">
        <f>IFERROR(__xludf.DUMMYFUNCTION("""COMPUTED_VALUE"""),"Mandar Thakur")</f>
        <v>Mandar Thakur</v>
      </c>
      <c r="C433" s="5" t="str">
        <f>IFERROR(__xludf.DUMMYFUNCTION("""COMPUTED_VALUE"""),"mandar.thakur@onixnet.com")</f>
        <v>mandar.thakur@onixnet.com</v>
      </c>
      <c r="D433" s="4" t="s">
        <v>11</v>
      </c>
      <c r="E433" s="6" t="str">
        <f>IFERROR(__xludf.DUMMYFUNCTION("vlookup($A433,importrange(""1fyGnaViAX9kns28pvsfPvI9925sAI7kxPlM7jpuHVJM"",""Validation!A:Z""),11,0)"),"Delivery Services")</f>
        <v>Delivery Services</v>
      </c>
      <c r="F433" s="6" t="str">
        <f>IFERROR(__xludf.DUMMYFUNCTION("vlookup($A433,importrange(""1fyGnaViAX9kns28pvsfPvI9925sAI7kxPlM7jpuHVJM"",""Validation!A:Z""),23,0)"),"Vedant Bhogawade")</f>
        <v>Vedant Bhogawade</v>
      </c>
      <c r="G433" s="6" t="str">
        <f>IFERROR(__xludf.DUMMYFUNCTION("vlookup(A433,importrange(""1fyGnaViAX9kns28pvsfPvI9925sAI7kxPlM7jpuHVJM"",""Validation!A:Z""),22,0)"),"Cluster - Varun")</f>
        <v>Cluster - Varun</v>
      </c>
      <c r="H433" s="4" t="str">
        <f>IFERROR(__xludf.DUMMYFUNCTION("vlookup(C433,importrange(""1kw74ismGU34AsZ5x-W4x7F3Zt2xc8NSYcCVMrCJBmdQ"",""DRP for 8 products!B:C""),2,0)"),"ONIMTEBV0")</f>
        <v>ONIMTEBV0</v>
      </c>
      <c r="I433" s="7">
        <f>IFERROR(__xludf.DUMMYFUNCTION("vlookup(C433,importrange(""1kw74ismGU34AsZ5x-W4x7F3Zt2xc8NSYcCVMrCJBmdQ"",""DRP for 8 products!B:E""),4,0)"),28.0)</f>
        <v>28</v>
      </c>
      <c r="J433" s="8" t="str">
        <f t="shared" si="1"/>
        <v>Tier 3</v>
      </c>
      <c r="K433" s="9" t="str">
        <f t="shared" si="2"/>
        <v>Active</v>
      </c>
      <c r="L433" s="4" t="str">
        <f>IFERROR(__xludf.DUMMYFUNCTION("vlookup(C433,importrange(""1kw74ismGU34AsZ5x-W4x7F3Zt2xc8NSYcCVMrCJBmdQ"",""DRP for 8 products!B:H""),6,0)"),"AlloyDB for PostgreSQL")</f>
        <v>AlloyDB for PostgreSQL</v>
      </c>
      <c r="M433" s="10" t="str">
        <f t="shared" si="3"/>
        <v>Yes</v>
      </c>
    </row>
    <row r="434">
      <c r="A434" s="4" t="str">
        <f>IFERROR(__xludf.DUMMYFUNCTION("vlookup(C434,IMPORTRANGE(""1Kgoo8qyo6zMtf_5B03ksZz228jg0XpZ4_KXsdHQ4Vks"",""14 Sept!A:B""),2,0)"),"DME1485")</f>
        <v>DME1485</v>
      </c>
      <c r="B434" s="5" t="str">
        <f>IFERROR(__xludf.DUMMYFUNCTION("""COMPUTED_VALUE"""),"Pratik Karpe")</f>
        <v>Pratik Karpe</v>
      </c>
      <c r="C434" s="5" t="str">
        <f>IFERROR(__xludf.DUMMYFUNCTION("""COMPUTED_VALUE"""),"pratik.karpe@onixnet.com")</f>
        <v>pratik.karpe@onixnet.com</v>
      </c>
      <c r="D434" s="4" t="s">
        <v>11</v>
      </c>
      <c r="E434" s="6" t="str">
        <f>IFERROR(__xludf.DUMMYFUNCTION("vlookup($A434,importrange(""1fyGnaViAX9kns28pvsfPvI9925sAI7kxPlM7jpuHVJM"",""Validation!A:Z""),11,0)"),"Delivery Services")</f>
        <v>Delivery Services</v>
      </c>
      <c r="F434" s="6" t="str">
        <f>IFERROR(__xludf.DUMMYFUNCTION("vlookup($A434,importrange(""1fyGnaViAX9kns28pvsfPvI9925sAI7kxPlM7jpuHVJM"",""Validation!A:Z""),23,0)"),"Nitesh Verma")</f>
        <v>Nitesh Verma</v>
      </c>
      <c r="G434" s="6" t="str">
        <f>IFERROR(__xludf.DUMMYFUNCTION("vlookup(A434,importrange(""1fyGnaViAX9kns28pvsfPvI9925sAI7kxPlM7jpuHVJM"",""Validation!A:Z""),22,0)"),"Cluster - Gaurav")</f>
        <v>Cluster - Gaurav</v>
      </c>
      <c r="H434" s="4" t="str">
        <f>IFERROR(__xludf.DUMMYFUNCTION("vlookup(C434,importrange(""1kw74ismGU34AsZ5x-W4x7F3Zt2xc8NSYcCVMrCJBmdQ"",""DRP for 8 products!B:C""),2,0)"),"ONIPKFEZ3")</f>
        <v>ONIPKFEZ3</v>
      </c>
      <c r="I434" s="7">
        <f>IFERROR(__xludf.DUMMYFUNCTION("vlookup(C434,importrange(""1kw74ismGU34AsZ5x-W4x7F3Zt2xc8NSYcCVMrCJBmdQ"",""DRP for 8 products!B:E""),4,0)"),59.0)</f>
        <v>59</v>
      </c>
      <c r="J434" s="8" t="str">
        <f t="shared" si="1"/>
        <v>Tier 1</v>
      </c>
      <c r="K434" s="9" t="str">
        <f t="shared" si="2"/>
        <v>Active</v>
      </c>
      <c r="L434" s="4" t="str">
        <f>IFERROR(__xludf.DUMMYFUNCTION("vlookup(C434,importrange(""1kw74ismGU34AsZ5x-W4x7F3Zt2xc8NSYcCVMrCJBmdQ"",""DRP for 8 products!B:H""),6,0)"),"BigQuery")</f>
        <v>BigQuery</v>
      </c>
      <c r="M434" s="10" t="str">
        <f t="shared" si="3"/>
        <v>Yes</v>
      </c>
    </row>
    <row r="435">
      <c r="A435" s="4" t="str">
        <f>IFERROR(__xludf.DUMMYFUNCTION("vlookup(C435,IMPORTRANGE(""1Kgoo8qyo6zMtf_5B03ksZz228jg0XpZ4_KXsdHQ4Vks"",""14 Sept!A:B""),2,0)"),"DME2090")</f>
        <v>DME2090</v>
      </c>
      <c r="B435" s="5" t="str">
        <f>IFERROR(__xludf.DUMMYFUNCTION("""COMPUTED_VALUE"""),"vipin jain")</f>
        <v>vipin jain</v>
      </c>
      <c r="C435" s="5" t="str">
        <f>IFERROR(__xludf.DUMMYFUNCTION("""COMPUTED_VALUE"""),"vipin.jain@onixnet.com")</f>
        <v>vipin.jain@onixnet.com</v>
      </c>
      <c r="D435" s="4" t="s">
        <v>11</v>
      </c>
      <c r="E435" s="6" t="str">
        <f>IFERROR(__xludf.DUMMYFUNCTION("vlookup($A435,importrange(""1fyGnaViAX9kns28pvsfPvI9925sAI7kxPlM7jpuHVJM"",""Validation!A:Z""),11,0)"),"Delivery Services")</f>
        <v>Delivery Services</v>
      </c>
      <c r="F435" s="6" t="str">
        <f>IFERROR(__xludf.DUMMYFUNCTION("vlookup($A435,importrange(""1fyGnaViAX9kns28pvsfPvI9925sAI7kxPlM7jpuHVJM"",""Validation!A:Z""),23,0)"),"Pooja Chawda")</f>
        <v>Pooja Chawda</v>
      </c>
      <c r="G435" s="6" t="str">
        <f>IFERROR(__xludf.DUMMYFUNCTION("vlookup(A435,importrange(""1fyGnaViAX9kns28pvsfPvI9925sAI7kxPlM7jpuHVJM"",""Validation!A:Z""),22,0)"),"Cluster - Sandeep")</f>
        <v>Cluster - Sandeep</v>
      </c>
      <c r="H435" s="4" t="str">
        <f>IFERROR(__xludf.DUMMYFUNCTION("vlookup(C435,importrange(""1kw74ismGU34AsZ5x-W4x7F3Zt2xc8NSYcCVMrCJBmdQ"",""DRP for 8 products!B:C""),2,0)"),"ONIVJFSL2")</f>
        <v>ONIVJFSL2</v>
      </c>
      <c r="I435" s="7">
        <f>IFERROR(__xludf.DUMMYFUNCTION("vlookup(C435,importrange(""1kw74ismGU34AsZ5x-W4x7F3Zt2xc8NSYcCVMrCJBmdQ"",""DRP for 8 products!B:E""),4,0)"),24.0)</f>
        <v>24</v>
      </c>
      <c r="J435" s="8" t="str">
        <f t="shared" si="1"/>
        <v>Tier 3</v>
      </c>
      <c r="K435" s="9" t="str">
        <f t="shared" si="2"/>
        <v>Active</v>
      </c>
      <c r="L435" s="4" t="str">
        <f>IFERROR(__xludf.DUMMYFUNCTION("vlookup(C435,importrange(""1kw74ismGU34AsZ5x-W4x7F3Zt2xc8NSYcCVMrCJBmdQ"",""DRP for 8 products!B:H""),6,0)"),"BigQuery")</f>
        <v>BigQuery</v>
      </c>
      <c r="M435" s="10" t="str">
        <f t="shared" si="3"/>
        <v>Yes</v>
      </c>
    </row>
    <row r="436">
      <c r="A436" s="4" t="str">
        <f>IFERROR(__xludf.DUMMYFUNCTION("vlookup(C436,IMPORTRANGE(""1Kgoo8qyo6zMtf_5B03ksZz228jg0XpZ4_KXsdHQ4Vks"",""14 Sept!A:B""),2,0)"),"DME2812")</f>
        <v>DME2812</v>
      </c>
      <c r="B436" s="5" t="str">
        <f>IFERROR(__xludf.DUMMYFUNCTION("""COMPUTED_VALUE"""),"Suresh Kokkula")</f>
        <v>Suresh Kokkula</v>
      </c>
      <c r="C436" s="5" t="str">
        <f>IFERROR(__xludf.DUMMYFUNCTION("""COMPUTED_VALUE"""),"suresh.kokkula@onixnet.com")</f>
        <v>suresh.kokkula@onixnet.com</v>
      </c>
      <c r="D436" s="4" t="s">
        <v>11</v>
      </c>
      <c r="E436" s="6" t="str">
        <f>IFERROR(__xludf.DUMMYFUNCTION("vlookup($A436,importrange(""1fyGnaViAX9kns28pvsfPvI9925sAI7kxPlM7jpuHVJM"",""Validation!A:Z""),11,0)"),"Delivery Services")</f>
        <v>Delivery Services</v>
      </c>
      <c r="F436" s="6" t="str">
        <f>IFERROR(__xludf.DUMMYFUNCTION("vlookup($A436,importrange(""1fyGnaViAX9kns28pvsfPvI9925sAI7kxPlM7jpuHVJM"",""Validation!A:Z""),23,0)"),"Ashish Shaligram Tiwari")</f>
        <v>Ashish Shaligram Tiwari</v>
      </c>
      <c r="G436" s="6" t="str">
        <f>IFERROR(__xludf.DUMMYFUNCTION("vlookup(A436,importrange(""1fyGnaViAX9kns28pvsfPvI9925sAI7kxPlM7jpuHVJM"",""Validation!A:Z""),22,0)"),"Cluster - Sachin")</f>
        <v>Cluster - Sachin</v>
      </c>
      <c r="H436" s="4" t="str">
        <f>IFERROR(__xludf.DUMMYFUNCTION("vlookup(C436,importrange(""1kw74ismGU34AsZ5x-W4x7F3Zt2xc8NSYcCVMrCJBmdQ"",""DRP for 8 products!B:C""),2,0)"),"ONISKGJR9")</f>
        <v>ONISKGJR9</v>
      </c>
      <c r="I436" s="7">
        <f>IFERROR(__xludf.DUMMYFUNCTION("vlookup(C436,importrange(""1kw74ismGU34AsZ5x-W4x7F3Zt2xc8NSYcCVMrCJBmdQ"",""DRP for 8 products!B:E""),4,0)"),17.0)</f>
        <v>17</v>
      </c>
      <c r="J436" s="8" t="str">
        <f t="shared" si="1"/>
        <v>Tier 4</v>
      </c>
      <c r="K436" s="9" t="str">
        <f t="shared" si="2"/>
        <v>Active</v>
      </c>
      <c r="L436" s="4" t="str">
        <f>IFERROR(__xludf.DUMMYFUNCTION("vlookup(C436,importrange(""1kw74ismGU34AsZ5x-W4x7F3Zt2xc8NSYcCVMrCJBmdQ"",""DRP for 8 products!B:H""),6,0)"),"Looker")</f>
        <v>Looker</v>
      </c>
      <c r="M436" s="10" t="str">
        <f t="shared" si="3"/>
        <v>Yes</v>
      </c>
    </row>
    <row r="437">
      <c r="A437" s="4" t="str">
        <f>IFERROR(__xludf.DUMMYFUNCTION("vlookup(C437,IMPORTRANGE(""1Kgoo8qyo6zMtf_5B03ksZz228jg0XpZ4_KXsdHQ4Vks"",""14 Sept!A:B""),2,0)"),"DME3248")</f>
        <v>DME3248</v>
      </c>
      <c r="B437" s="5" t="str">
        <f>IFERROR(__xludf.DUMMYFUNCTION("""COMPUTED_VALUE"""),"Ujjwal Dawande")</f>
        <v>Ujjwal Dawande</v>
      </c>
      <c r="C437" s="5" t="str">
        <f>IFERROR(__xludf.DUMMYFUNCTION("""COMPUTED_VALUE"""),"ujjwal.dawande@onixnet.com")</f>
        <v>ujjwal.dawande@onixnet.com</v>
      </c>
      <c r="D437" s="4" t="s">
        <v>11</v>
      </c>
      <c r="E437" s="6" t="str">
        <f>IFERROR(__xludf.DUMMYFUNCTION("vlookup($A437,importrange(""1fyGnaViAX9kns28pvsfPvI9925sAI7kxPlM7jpuHVJM"",""Validation!A:Z""),11,0)"),"Delivery Services")</f>
        <v>Delivery Services</v>
      </c>
      <c r="F437" s="6" t="str">
        <f>IFERROR(__xludf.DUMMYFUNCTION("vlookup($A437,importrange(""1fyGnaViAX9kns28pvsfPvI9925sAI7kxPlM7jpuHVJM"",""Validation!A:Z""),23,0)"),"Nisha Chandrakant Dhole")</f>
        <v>Nisha Chandrakant Dhole</v>
      </c>
      <c r="G437" s="6" t="str">
        <f>IFERROR(__xludf.DUMMYFUNCTION("vlookup(A437,importrange(""1fyGnaViAX9kns28pvsfPvI9925sAI7kxPlM7jpuHVJM"",""Validation!A:Z""),22,0)"),"Cluster - Sagar")</f>
        <v>Cluster - Sagar</v>
      </c>
      <c r="H437" s="4" t="str">
        <f>IFERROR(__xludf.DUMMYFUNCTION("vlookup(C437,importrange(""1kw74ismGU34AsZ5x-W4x7F3Zt2xc8NSYcCVMrCJBmdQ"",""DRP for 8 products!B:C""),2,0)"),"ONIUDPFH6")</f>
        <v>ONIUDPFH6</v>
      </c>
      <c r="I437" s="7">
        <f>IFERROR(__xludf.DUMMYFUNCTION("vlookup(C437,importrange(""1kw74ismGU34AsZ5x-W4x7F3Zt2xc8NSYcCVMrCJBmdQ"",""DRP for 8 products!B:E""),4,0)"),14.0)</f>
        <v>14</v>
      </c>
      <c r="J437" s="8" t="str">
        <f t="shared" si="1"/>
        <v>Tier 4</v>
      </c>
      <c r="K437" s="9" t="str">
        <f t="shared" si="2"/>
        <v>Active</v>
      </c>
      <c r="L437" s="4" t="str">
        <f>IFERROR(__xludf.DUMMYFUNCTION("vlookup(C437,importrange(""1kw74ismGU34AsZ5x-W4x7F3Zt2xc8NSYcCVMrCJBmdQ"",""DRP for 8 products!B:H""),6,0)"),"BigQuery")</f>
        <v>BigQuery</v>
      </c>
      <c r="M437" s="10" t="str">
        <f t="shared" si="3"/>
        <v>Yes</v>
      </c>
    </row>
    <row r="438">
      <c r="A438" s="4" t="str">
        <f>IFERROR(__xludf.DUMMYFUNCTION("vlookup(C438,IMPORTRANGE(""1Kgoo8qyo6zMtf_5B03ksZz228jg0XpZ4_KXsdHQ4Vks"",""14 Sept!A:B""),2,0)"),"DME3050")</f>
        <v>DME3050</v>
      </c>
      <c r="B438" s="5" t="str">
        <f>IFERROR(__xludf.DUMMYFUNCTION("""COMPUTED_VALUE"""),"Tejas Malave")</f>
        <v>Tejas Malave</v>
      </c>
      <c r="C438" s="5" t="str">
        <f>IFERROR(__xludf.DUMMYFUNCTION("""COMPUTED_VALUE"""),"tejas.malave@onixnet.com")</f>
        <v>tejas.malave@onixnet.com</v>
      </c>
      <c r="D438" s="4" t="s">
        <v>11</v>
      </c>
      <c r="E438" s="6" t="str">
        <f>IFERROR(__xludf.DUMMYFUNCTION("vlookup($A438,importrange(""1fyGnaViAX9kns28pvsfPvI9925sAI7kxPlM7jpuHVJM"",""Validation!A:Z""),11,0)"),"Product Engineering")</f>
        <v>Product Engineering</v>
      </c>
      <c r="F438" s="6" t="str">
        <f>IFERROR(__xludf.DUMMYFUNCTION("vlookup($A438,importrange(""1fyGnaViAX9kns28pvsfPvI9925sAI7kxPlM7jpuHVJM"",""Validation!A:Z""),23,0)"),"Nishant Tiwary")</f>
        <v>Nishant Tiwary</v>
      </c>
      <c r="G438" s="6" t="str">
        <f>IFERROR(__xludf.DUMMYFUNCTION("vlookup(A438,importrange(""1fyGnaViAX9kns28pvsfPvI9925sAI7kxPlM7jpuHVJM"",""Validation!A:Z""),22,0)"),"Cluster - Mayur")</f>
        <v>Cluster - Mayur</v>
      </c>
      <c r="H438" s="4" t="str">
        <f>IFERROR(__xludf.DUMMYFUNCTION("vlookup(C438,importrange(""1kw74ismGU34AsZ5x-W4x7F3Zt2xc8NSYcCVMrCJBmdQ"",""DRP for 8 products!B:C""),2,0)"),"ONITMTIK5")</f>
        <v>ONITMTIK5</v>
      </c>
      <c r="I438" s="7">
        <f>IFERROR(__xludf.DUMMYFUNCTION("vlookup(C438,importrange(""1kw74ismGU34AsZ5x-W4x7F3Zt2xc8NSYcCVMrCJBmdQ"",""DRP for 8 products!B:E""),4,0)"),15.0)</f>
        <v>15</v>
      </c>
      <c r="J438" s="8" t="str">
        <f t="shared" si="1"/>
        <v>Tier 4</v>
      </c>
      <c r="K438" s="9" t="str">
        <f t="shared" si="2"/>
        <v>Active</v>
      </c>
      <c r="L438" s="4" t="str">
        <f>IFERROR(__xludf.DUMMYFUNCTION("vlookup(C438,importrange(""1kw74ismGU34AsZ5x-W4x7F3Zt2xc8NSYcCVMrCJBmdQ"",""DRP for 8 products!B:H""),6,0)"),"BigQuery")</f>
        <v>BigQuery</v>
      </c>
      <c r="M438" s="10" t="str">
        <f t="shared" si="3"/>
        <v>Yes</v>
      </c>
    </row>
    <row r="439">
      <c r="A439" s="4" t="str">
        <f>IFERROR(__xludf.DUMMYFUNCTION("vlookup(C439,IMPORTRANGE(""1Kgoo8qyo6zMtf_5B03ksZz228jg0XpZ4_KXsdHQ4Vks"",""14 Sept!A:B""),2,0)"),"ONIX881")</f>
        <v>ONIX881</v>
      </c>
      <c r="B439" s="5" t="str">
        <f>IFERROR(__xludf.DUMMYFUNCTION("""COMPUTED_VALUE"""),"Aneesh Tuggudem")</f>
        <v>Aneesh Tuggudem</v>
      </c>
      <c r="C439" s="5" t="str">
        <f>IFERROR(__xludf.DUMMYFUNCTION("""COMPUTED_VALUE"""),"aneesh.tuggudem@onixnet.us")</f>
        <v>aneesh.tuggudem@onixnet.us</v>
      </c>
      <c r="D439" s="4" t="s">
        <v>11</v>
      </c>
      <c r="E439" s="6" t="str">
        <f>IFERROR(__xludf.DUMMYFUNCTION("vlookup($A439,importrange(""1fyGnaViAX9kns28pvsfPvI9925sAI7kxPlM7jpuHVJM"",""Validation!A:Z""),11,0)"),"Sales Services")</f>
        <v>Sales Services</v>
      </c>
      <c r="F439" s="6" t="str">
        <f>IFERROR(__xludf.DUMMYFUNCTION("vlookup($A439,importrange(""1fyGnaViAX9kns28pvsfPvI9925sAI7kxPlM7jpuHVJM"",""Validation!A:Z""),23,0)"),"Gaurav Agarwaal")</f>
        <v>Gaurav Agarwaal</v>
      </c>
      <c r="G439" s="6" t="str">
        <f>IFERROR(__xludf.DUMMYFUNCTION("vlookup(A439,importrange(""1fyGnaViAX9kns28pvsfPvI9925sAI7kxPlM7jpuHVJM"",""Validation!A:Z""),22,0)"),"Portfolio - Gaurav A (Presales)")</f>
        <v>Portfolio - Gaurav A (Presales)</v>
      </c>
      <c r="H439" s="4" t="str">
        <f>IFERROR(__xludf.DUMMYFUNCTION("vlookup(C439,importrange(""1kw74ismGU34AsZ5x-W4x7F3Zt2xc8NSYcCVMrCJBmdQ"",""DRP for 8 products!B:C""),2,0)"),"ONIATWVR3")</f>
        <v>ONIATWVR3</v>
      </c>
      <c r="I439" s="7">
        <f>IFERROR(__xludf.DUMMYFUNCTION("vlookup(C439,importrange(""1kw74ismGU34AsZ5x-W4x7F3Zt2xc8NSYcCVMrCJBmdQ"",""DRP for 8 products!B:E""),4,0)"),5.0)</f>
        <v>5</v>
      </c>
      <c r="J439" s="8" t="str">
        <f t="shared" si="1"/>
        <v>Tier 4</v>
      </c>
      <c r="K439" s="9" t="str">
        <f t="shared" si="2"/>
        <v>Active</v>
      </c>
      <c r="L439" s="4" t="str">
        <f>IFERROR(__xludf.DUMMYFUNCTION("vlookup(C439,importrange(""1kw74ismGU34AsZ5x-W4x7F3Zt2xc8NSYcCVMrCJBmdQ"",""DRP for 8 products!B:H""),6,0)"),"BigQuery")</f>
        <v>BigQuery</v>
      </c>
      <c r="M439" s="10" t="str">
        <f t="shared" si="3"/>
        <v>Yes</v>
      </c>
    </row>
    <row r="440">
      <c r="A440" s="4" t="str">
        <f>IFERROR(__xludf.DUMMYFUNCTION("vlookup(C440,IMPORTRANGE(""1Kgoo8qyo6zMtf_5B03ksZz228jg0XpZ4_KXsdHQ4Vks"",""14 Sept!A:B""),2,0)"),"ONIX839")</f>
        <v>ONIX839</v>
      </c>
      <c r="B440" s="5" t="str">
        <f>IFERROR(__xludf.DUMMYFUNCTION("""COMPUTED_VALUE"""),"Sumedh Wairagade")</f>
        <v>Sumedh Wairagade</v>
      </c>
      <c r="C440" s="5" t="str">
        <f>IFERROR(__xludf.DUMMYFUNCTION("""COMPUTED_VALUE"""),"sumedh.wairagade@onixnet.us")</f>
        <v>sumedh.wairagade@onixnet.us</v>
      </c>
      <c r="D440" s="4" t="s">
        <v>11</v>
      </c>
      <c r="E440" s="6" t="str">
        <f>IFERROR(__xludf.DUMMYFUNCTION("vlookup($A440,importrange(""1fyGnaViAX9kns28pvsfPvI9925sAI7kxPlM7jpuHVJM"",""Validation!A:Z""),11,0)"),"Delivery")</f>
        <v>Delivery</v>
      </c>
      <c r="F440" s="6" t="str">
        <f>IFERROR(__xludf.DUMMYFUNCTION("vlookup($A440,importrange(""1fyGnaViAX9kns28pvsfPvI9925sAI7kxPlM7jpuHVJM"",""Validation!A:Z""),23,0)"),"Joshua Shnider")</f>
        <v>Joshua Shnider</v>
      </c>
      <c r="G440" s="6" t="str">
        <f>IFERROR(__xludf.DUMMYFUNCTION("vlookup(A440,importrange(""1fyGnaViAX9kns28pvsfPvI9925sAI7kxPlM7jpuHVJM"",""Validation!A:Z""),22,0)"),"Portfolio - Kanth")</f>
        <v>Portfolio - Kanth</v>
      </c>
      <c r="H440" s="4" t="str">
        <f>IFERROR(__xludf.DUMMYFUNCTION("vlookup(C440,importrange(""1kw74ismGU34AsZ5x-W4x7F3Zt2xc8NSYcCVMrCJBmdQ"",""DRP for 8 products!B:C""),2,0)"),"ONISWBCB2")</f>
        <v>ONISWBCB2</v>
      </c>
      <c r="I440" s="7">
        <f>IFERROR(__xludf.DUMMYFUNCTION("vlookup(C440,importrange(""1kw74ismGU34AsZ5x-W4x7F3Zt2xc8NSYcCVMrCJBmdQ"",""DRP for 8 products!B:E""),4,0)"),8.0)</f>
        <v>8</v>
      </c>
      <c r="J440" s="8" t="str">
        <f t="shared" si="1"/>
        <v>Tier 4</v>
      </c>
      <c r="K440" s="9" t="str">
        <f t="shared" si="2"/>
        <v>Active</v>
      </c>
      <c r="L440" s="4" t="str">
        <f>IFERROR(__xludf.DUMMYFUNCTION("vlookup(C440,importrange(""1kw74ismGU34AsZ5x-W4x7F3Zt2xc8NSYcCVMrCJBmdQ"",""DRP for 8 products!B:H""),6,0)"),"BigQuery")</f>
        <v>BigQuery</v>
      </c>
      <c r="M440" s="10" t="str">
        <f t="shared" si="3"/>
        <v>Yes</v>
      </c>
    </row>
    <row r="441">
      <c r="A441" s="4" t="str">
        <f>IFERROR(__xludf.DUMMYFUNCTION("vlookup(C441,IMPORTRANGE(""1Kgoo8qyo6zMtf_5B03ksZz228jg0XpZ4_KXsdHQ4Vks"",""14 Sept!A:B""),2,0)"),"DME3157")</f>
        <v>DME3157</v>
      </c>
      <c r="B441" s="5" t="str">
        <f>IFERROR(__xludf.DUMMYFUNCTION("""COMPUTED_VALUE"""),"saurabh magar")</f>
        <v>saurabh magar</v>
      </c>
      <c r="C441" s="5" t="str">
        <f>IFERROR(__xludf.DUMMYFUNCTION("""COMPUTED_VALUE"""),"saurabh.magar1@onixnet.com")</f>
        <v>saurabh.magar1@onixnet.com</v>
      </c>
      <c r="D441" s="4" t="s">
        <v>11</v>
      </c>
      <c r="E441" s="6" t="str">
        <f>IFERROR(__xludf.DUMMYFUNCTION("vlookup($A441,importrange(""1fyGnaViAX9kns28pvsfPvI9925sAI7kxPlM7jpuHVJM"",""Validation!A:Z""),11,0)"),"Delivery Services")</f>
        <v>Delivery Services</v>
      </c>
      <c r="F441" s="6" t="str">
        <f>IFERROR(__xludf.DUMMYFUNCTION("vlookup($A441,importrange(""1fyGnaViAX9kns28pvsfPvI9925sAI7kxPlM7jpuHVJM"",""Validation!A:Z""),23,0)"),"Indrajit Omprakash Bhagat")</f>
        <v>Indrajit Omprakash Bhagat</v>
      </c>
      <c r="G441" s="6" t="str">
        <f>IFERROR(__xludf.DUMMYFUNCTION("vlookup(A441,importrange(""1fyGnaViAX9kns28pvsfPvI9925sAI7kxPlM7jpuHVJM"",""Validation!A:Z""),22,0)"),"Cluster - Varun")</f>
        <v>Cluster - Varun</v>
      </c>
      <c r="H441" s="4" t="str">
        <f>IFERROR(__xludf.DUMMYFUNCTION("vlookup(C441,importrange(""1kw74ismGU34AsZ5x-W4x7F3Zt2xc8NSYcCVMrCJBmdQ"",""DRP for 8 products!B:C""),2,0)"),"ONISMMLZ7")</f>
        <v>ONISMMLZ7</v>
      </c>
      <c r="I441" s="7">
        <f>IFERROR(__xludf.DUMMYFUNCTION("vlookup(C441,importrange(""1kw74ismGU34AsZ5x-W4x7F3Zt2xc8NSYcCVMrCJBmdQ"",""DRP for 8 products!B:E""),4,0)"),5.0)</f>
        <v>5</v>
      </c>
      <c r="J441" s="8" t="str">
        <f t="shared" si="1"/>
        <v>Tier 4</v>
      </c>
      <c r="K441" s="9" t="str">
        <f t="shared" si="2"/>
        <v>Active</v>
      </c>
      <c r="L441" s="4" t="str">
        <f>IFERROR(__xludf.DUMMYFUNCTION("vlookup(C441,importrange(""1kw74ismGU34AsZ5x-W4x7F3Zt2xc8NSYcCVMrCJBmdQ"",""DRP for 8 products!B:H""),6,0)"),"Dataflow")</f>
        <v>Dataflow</v>
      </c>
      <c r="M441" s="10" t="str">
        <f t="shared" si="3"/>
        <v>Yes</v>
      </c>
    </row>
    <row r="442">
      <c r="A442" s="4" t="str">
        <f>IFERROR(__xludf.DUMMYFUNCTION("vlookup(C442,IMPORTRANGE(""1Kgoo8qyo6zMtf_5B03ksZz228jg0XpZ4_KXsdHQ4Vks"",""14 Sept!A:B""),2,0)"),"DME2140")</f>
        <v>DME2140</v>
      </c>
      <c r="B442" s="5" t="str">
        <f>IFERROR(__xludf.DUMMYFUNCTION("""COMPUTED_VALUE"""),"Shankar Nagulkar")</f>
        <v>Shankar Nagulkar</v>
      </c>
      <c r="C442" s="5" t="str">
        <f>IFERROR(__xludf.DUMMYFUNCTION("""COMPUTED_VALUE"""),"shankar.nagulkar@onixnet.com")</f>
        <v>shankar.nagulkar@onixnet.com</v>
      </c>
      <c r="D442" s="4" t="s">
        <v>11</v>
      </c>
      <c r="E442" s="6" t="str">
        <f>IFERROR(__xludf.DUMMYFUNCTION("vlookup($A442,importrange(""1fyGnaViAX9kns28pvsfPvI9925sAI7kxPlM7jpuHVJM"",""Validation!A:Z""),11,0)"),"Delivery Services")</f>
        <v>Delivery Services</v>
      </c>
      <c r="F442" s="6" t="str">
        <f>IFERROR(__xludf.DUMMYFUNCTION("vlookup($A442,importrange(""1fyGnaViAX9kns28pvsfPvI9925sAI7kxPlM7jpuHVJM"",""Validation!A:Z""),23,0)"),"Deshabhotla Sravan")</f>
        <v>Deshabhotla Sravan</v>
      </c>
      <c r="G442" s="6" t="str">
        <f>IFERROR(__xludf.DUMMYFUNCTION("vlookup(A442,importrange(""1fyGnaViAX9kns28pvsfPvI9925sAI7kxPlM7jpuHVJM"",""Validation!A:Z""),22,0)"),"Cluster - Shreepad")</f>
        <v>Cluster - Shreepad</v>
      </c>
      <c r="H442" s="4" t="str">
        <f>IFERROR(__xludf.DUMMYFUNCTION("vlookup(C442,importrange(""1kw74ismGU34AsZ5x-W4x7F3Zt2xc8NSYcCVMrCJBmdQ"",""DRP for 8 products!B:C""),2,0)"),"ONISNDIX5")</f>
        <v>ONISNDIX5</v>
      </c>
      <c r="I442" s="7">
        <f>IFERROR(__xludf.DUMMYFUNCTION("vlookup(C442,importrange(""1kw74ismGU34AsZ5x-W4x7F3Zt2xc8NSYcCVMrCJBmdQ"",""DRP for 8 products!B:E""),4,0)"),54.0)</f>
        <v>54</v>
      </c>
      <c r="J442" s="8" t="str">
        <f t="shared" si="1"/>
        <v>Tier 1</v>
      </c>
      <c r="K442" s="9" t="str">
        <f t="shared" si="2"/>
        <v>Active</v>
      </c>
      <c r="L442" s="4" t="str">
        <f>IFERROR(__xludf.DUMMYFUNCTION("vlookup(C442,importrange(""1kw74ismGU34AsZ5x-W4x7F3Zt2xc8NSYcCVMrCJBmdQ"",""DRP for 8 products!B:H""),6,0)"),"BigQuery")</f>
        <v>BigQuery</v>
      </c>
      <c r="M442" s="10" t="str">
        <f t="shared" si="3"/>
        <v>Yes</v>
      </c>
    </row>
    <row r="443">
      <c r="A443" s="4" t="str">
        <f>IFERROR(__xludf.DUMMYFUNCTION("vlookup(C443,IMPORTRANGE(""1Kgoo8qyo6zMtf_5B03ksZz228jg0XpZ4_KXsdHQ4Vks"",""14 Sept!A:B""),2,0)"),"DME3206")</f>
        <v>DME3206</v>
      </c>
      <c r="B443" s="5" t="str">
        <f>IFERROR(__xludf.DUMMYFUNCTION("""COMPUTED_VALUE"""),"Punam Paliwal")</f>
        <v>Punam Paliwal</v>
      </c>
      <c r="C443" s="5" t="str">
        <f>IFERROR(__xludf.DUMMYFUNCTION("""COMPUTED_VALUE"""),"punam.paliwal@onixnet.com")</f>
        <v>punam.paliwal@onixnet.com</v>
      </c>
      <c r="D443" s="4" t="s">
        <v>11</v>
      </c>
      <c r="E443" s="6" t="str">
        <f>IFERROR(__xludf.DUMMYFUNCTION("vlookup($A443,importrange(""1fyGnaViAX9kns28pvsfPvI9925sAI7kxPlM7jpuHVJM"",""Validation!A:Z""),11,0)"),"Delivery Services")</f>
        <v>Delivery Services</v>
      </c>
      <c r="F443" s="6" t="str">
        <f>IFERROR(__xludf.DUMMYFUNCTION("vlookup($A443,importrange(""1fyGnaViAX9kns28pvsfPvI9925sAI7kxPlM7jpuHVJM"",""Validation!A:Z""),23,0)"),"Ravi Shankar")</f>
        <v>Ravi Shankar</v>
      </c>
      <c r="G443" s="6" t="str">
        <f>IFERROR(__xludf.DUMMYFUNCTION("vlookup(A443,importrange(""1fyGnaViAX9kns28pvsfPvI9925sAI7kxPlM7jpuHVJM"",""Validation!A:Z""),22,0)"),"Cluster - Sagar")</f>
        <v>Cluster - Sagar</v>
      </c>
      <c r="H443" s="4" t="str">
        <f>IFERROR(__xludf.DUMMYFUNCTION("vlookup(C443,importrange(""1kw74ismGU34AsZ5x-W4x7F3Zt2xc8NSYcCVMrCJBmdQ"",""DRP for 8 products!B:C""),2,0)"),"ONIPPIBP6")</f>
        <v>ONIPPIBP6</v>
      </c>
      <c r="I443" s="7">
        <f>IFERROR(__xludf.DUMMYFUNCTION("vlookup(C443,importrange(""1kw74ismGU34AsZ5x-W4x7F3Zt2xc8NSYcCVMrCJBmdQ"",""DRP for 8 products!B:E""),4,0)"),11.0)</f>
        <v>11</v>
      </c>
      <c r="J443" s="8" t="str">
        <f t="shared" si="1"/>
        <v>Tier 4</v>
      </c>
      <c r="K443" s="9" t="str">
        <f t="shared" si="2"/>
        <v>Active</v>
      </c>
      <c r="L443" s="4" t="str">
        <f>IFERROR(__xludf.DUMMYFUNCTION("vlookup(C443,importrange(""1kw74ismGU34AsZ5x-W4x7F3Zt2xc8NSYcCVMrCJBmdQ"",""DRP for 8 products!B:H""),6,0)"),"BigQuery")</f>
        <v>BigQuery</v>
      </c>
      <c r="M443" s="10" t="str">
        <f t="shared" si="3"/>
        <v>Yes</v>
      </c>
    </row>
    <row r="444">
      <c r="A444" s="4" t="str">
        <f>IFERROR(__xludf.DUMMYFUNCTION("vlookup(C444,IMPORTRANGE(""1Kgoo8qyo6zMtf_5B03ksZz228jg0XpZ4_KXsdHQ4Vks"",""14 Sept!A:B""),2,0)"),"DME2513")</f>
        <v>DME2513</v>
      </c>
      <c r="B444" s="5" t="str">
        <f>IFERROR(__xludf.DUMMYFUNCTION("""COMPUTED_VALUE"""),"Shreyas Meshram")</f>
        <v>Shreyas Meshram</v>
      </c>
      <c r="C444" s="5" t="str">
        <f>IFERROR(__xludf.DUMMYFUNCTION("""COMPUTED_VALUE"""),"shreyas.meshram@onixnet.com")</f>
        <v>shreyas.meshram@onixnet.com</v>
      </c>
      <c r="D444" s="4" t="s">
        <v>11</v>
      </c>
      <c r="E444" s="6" t="str">
        <f>IFERROR(__xludf.DUMMYFUNCTION("vlookup($A444,importrange(""1fyGnaViAX9kns28pvsfPvI9925sAI7kxPlM7jpuHVJM"",""Validation!A:Z""),11,0)"),"Delivery Services")</f>
        <v>Delivery Services</v>
      </c>
      <c r="F444" s="6" t="str">
        <f>IFERROR(__xludf.DUMMYFUNCTION("vlookup($A444,importrange(""1fyGnaViAX9kns28pvsfPvI9925sAI7kxPlM7jpuHVJM"",""Validation!A:Z""),23,0)"),"Nitesh Verma")</f>
        <v>Nitesh Verma</v>
      </c>
      <c r="G444" s="6" t="str">
        <f>IFERROR(__xludf.DUMMYFUNCTION("vlookup(A444,importrange(""1fyGnaViAX9kns28pvsfPvI9925sAI7kxPlM7jpuHVJM"",""Validation!A:Z""),22,0)"),"Cluster - Gaurav")</f>
        <v>Cluster - Gaurav</v>
      </c>
      <c r="H444" s="4" t="str">
        <f>IFERROR(__xludf.DUMMYFUNCTION("vlookup(C444,importrange(""1kw74ismGU34AsZ5x-W4x7F3Zt2xc8NSYcCVMrCJBmdQ"",""DRP for 8 products!B:C""),2,0)"),"ONISMILT3")</f>
        <v>ONISMILT3</v>
      </c>
      <c r="I444" s="7">
        <f>IFERROR(__xludf.DUMMYFUNCTION("vlookup(C444,importrange(""1kw74ismGU34AsZ5x-W4x7F3Zt2xc8NSYcCVMrCJBmdQ"",""DRP for 8 products!B:E""),4,0)"),18.0)</f>
        <v>18</v>
      </c>
      <c r="J444" s="8" t="str">
        <f t="shared" si="1"/>
        <v>Tier 4</v>
      </c>
      <c r="K444" s="9" t="str">
        <f t="shared" si="2"/>
        <v>Active</v>
      </c>
      <c r="L444" s="4" t="str">
        <f>IFERROR(__xludf.DUMMYFUNCTION("vlookup(C444,importrange(""1kw74ismGU34AsZ5x-W4x7F3Zt2xc8NSYcCVMrCJBmdQ"",""DRP for 8 products!B:H""),6,0)"),"BigQuery")</f>
        <v>BigQuery</v>
      </c>
      <c r="M444" s="10" t="str">
        <f t="shared" si="3"/>
        <v>Yes</v>
      </c>
    </row>
    <row r="445">
      <c r="A445" s="4" t="str">
        <f>IFERROR(__xludf.DUMMYFUNCTION("vlookup(C445,IMPORTRANGE(""1Kgoo8qyo6zMtf_5B03ksZz228jg0XpZ4_KXsdHQ4Vks"",""14 Sept!A:B""),2,0)"),"DME3278")</f>
        <v>DME3278</v>
      </c>
      <c r="B445" s="5" t="str">
        <f>IFERROR(__xludf.DUMMYFUNCTION("""COMPUTED_VALUE"""),"kusum Pandhare")</f>
        <v>kusum Pandhare</v>
      </c>
      <c r="C445" s="5" t="str">
        <f>IFERROR(__xludf.DUMMYFUNCTION("""COMPUTED_VALUE"""),"kusum.pandhare@onixnet.com")</f>
        <v>kusum.pandhare@onixnet.com</v>
      </c>
      <c r="D445" s="4" t="s">
        <v>11</v>
      </c>
      <c r="E445" s="6" t="str">
        <f>IFERROR(__xludf.DUMMYFUNCTION("vlookup($A445,importrange(""1fyGnaViAX9kns28pvsfPvI9925sAI7kxPlM7jpuHVJM"",""Validation!A:Z""),11,0)"),"Delivery Services")</f>
        <v>Delivery Services</v>
      </c>
      <c r="F445" s="6" t="str">
        <f>IFERROR(__xludf.DUMMYFUNCTION("vlookup($A445,importrange(""1fyGnaViAX9kns28pvsfPvI9925sAI7kxPlM7jpuHVJM"",""Validation!A:Z""),23,0)"),"Manoj Patil")</f>
        <v>Manoj Patil</v>
      </c>
      <c r="G445" s="6" t="str">
        <f>IFERROR(__xludf.DUMMYFUNCTION("vlookup(A445,importrange(""1fyGnaViAX9kns28pvsfPvI9925sAI7kxPlM7jpuHVJM"",""Validation!A:Z""),22,0)"),"Cluster - Shreepad")</f>
        <v>Cluster - Shreepad</v>
      </c>
      <c r="H445" s="4" t="str">
        <f>IFERROR(__xludf.DUMMYFUNCTION("vlookup(C445,importrange(""1kw74ismGU34AsZ5x-W4x7F3Zt2xc8NSYcCVMrCJBmdQ"",""DRP for 8 products!B:C""),2,0)"),"ONIKPMHT6")</f>
        <v>ONIKPMHT6</v>
      </c>
      <c r="I445" s="7">
        <f>IFERROR(__xludf.DUMMYFUNCTION("vlookup(C445,importrange(""1kw74ismGU34AsZ5x-W4x7F3Zt2xc8NSYcCVMrCJBmdQ"",""DRP for 8 products!B:E""),4,0)"),9.0)</f>
        <v>9</v>
      </c>
      <c r="J445" s="8" t="str">
        <f t="shared" si="1"/>
        <v>Tier 4</v>
      </c>
      <c r="K445" s="9" t="str">
        <f t="shared" si="2"/>
        <v>Active</v>
      </c>
      <c r="L445" s="4" t="str">
        <f>IFERROR(__xludf.DUMMYFUNCTION("vlookup(C445,importrange(""1kw74ismGU34AsZ5x-W4x7F3Zt2xc8NSYcCVMrCJBmdQ"",""DRP for 8 products!B:H""),6,0)"),"BigQuery")</f>
        <v>BigQuery</v>
      </c>
      <c r="M445" s="10" t="str">
        <f t="shared" si="3"/>
        <v>Yes</v>
      </c>
    </row>
    <row r="446">
      <c r="A446" s="4" t="str">
        <f>IFERROR(__xludf.DUMMYFUNCTION("vlookup(C446,IMPORTRANGE(""1Kgoo8qyo6zMtf_5B03ksZz228jg0XpZ4_KXsdHQ4Vks"",""14 Sept!A:B""),2,0)"),"ONIX726")</f>
        <v>ONIX726</v>
      </c>
      <c r="B446" s="5" t="str">
        <f>IFERROR(__xludf.DUMMYFUNCTION("""COMPUTED_VALUE"""),"Kanth Nagapudi")</f>
        <v>Kanth Nagapudi</v>
      </c>
      <c r="C446" s="5" t="str">
        <f>IFERROR(__xludf.DUMMYFUNCTION("""COMPUTED_VALUE"""),"kanth.nagapudi@onixnet.com")</f>
        <v>kanth.nagapudi@onixnet.com</v>
      </c>
      <c r="D446" s="4" t="s">
        <v>11</v>
      </c>
      <c r="E446" s="6" t="str">
        <f>IFERROR(__xludf.DUMMYFUNCTION("vlookup($A446,importrange(""1fyGnaViAX9kns28pvsfPvI9925sAI7kxPlM7jpuHVJM"",""Validation!A:Z""),11,0)"),"Services")</f>
        <v>Services</v>
      </c>
      <c r="F446" s="6" t="str">
        <f>IFERROR(__xludf.DUMMYFUNCTION("vlookup($A446,importrange(""1fyGnaViAX9kns28pvsfPvI9925sAI7kxPlM7jpuHVJM"",""Validation!A:Z""),23,0)"),"Patrick Schablitzki")</f>
        <v>Patrick Schablitzki</v>
      </c>
      <c r="G446" s="6" t="str">
        <f>IFERROR(__xludf.DUMMYFUNCTION("vlookup(A446,importrange(""1fyGnaViAX9kns28pvsfPvI9925sAI7kxPlM7jpuHVJM"",""Validation!A:Z""),22,0)"),"Portfolio - Patrick")</f>
        <v>Portfolio - Patrick</v>
      </c>
      <c r="H446" s="4" t="str">
        <f>IFERROR(__xludf.DUMMYFUNCTION("vlookup(C446,importrange(""1kw74ismGU34AsZ5x-W4x7F3Zt2xc8NSYcCVMrCJBmdQ"",""DRP for 8 products!B:C""),2,0)"),"ONIKNKWM7")</f>
        <v>ONIKNKWM7</v>
      </c>
      <c r="I446" s="7">
        <f>IFERROR(__xludf.DUMMYFUNCTION("vlookup(C446,importrange(""1kw74ismGU34AsZ5x-W4x7F3Zt2xc8NSYcCVMrCJBmdQ"",""DRP for 8 products!B:E""),4,0)"),29.0)</f>
        <v>29</v>
      </c>
      <c r="J446" s="8" t="str">
        <f t="shared" si="1"/>
        <v>Tier 3</v>
      </c>
      <c r="K446" s="9" t="str">
        <f t="shared" si="2"/>
        <v>Active</v>
      </c>
      <c r="L446" s="4" t="str">
        <f>IFERROR(__xludf.DUMMYFUNCTION("vlookup(C446,importrange(""1kw74ismGU34AsZ5x-W4x7F3Zt2xc8NSYcCVMrCJBmdQ"",""DRP for 8 products!B:H""),6,0)"),"BigQuery")</f>
        <v>BigQuery</v>
      </c>
      <c r="M446" s="10" t="str">
        <f t="shared" si="3"/>
        <v>Yes</v>
      </c>
    </row>
    <row r="447">
      <c r="A447" s="4" t="str">
        <f>IFERROR(__xludf.DUMMYFUNCTION("vlookup(C447,IMPORTRANGE(""1Kgoo8qyo6zMtf_5B03ksZz228jg0XpZ4_KXsdHQ4Vks"",""14 Sept!A:B""),2,0)"),"DME3122")</f>
        <v>DME3122</v>
      </c>
      <c r="B447" s="5" t="str">
        <f>IFERROR(__xludf.DUMMYFUNCTION("""COMPUTED_VALUE"""),"Aman Nabi")</f>
        <v>Aman Nabi</v>
      </c>
      <c r="C447" s="5" t="str">
        <f>IFERROR(__xludf.DUMMYFUNCTION("""COMPUTED_VALUE"""),"aman.nabi@onixnet.com")</f>
        <v>aman.nabi@onixnet.com</v>
      </c>
      <c r="D447" s="4" t="s">
        <v>11</v>
      </c>
      <c r="E447" s="6" t="str">
        <f>IFERROR(__xludf.DUMMYFUNCTION("vlookup($A447,importrange(""1fyGnaViAX9kns28pvsfPvI9925sAI7kxPlM7jpuHVJM"",""Validation!A:Z""),11,0)"),"Product Engineering")</f>
        <v>Product Engineering</v>
      </c>
      <c r="F447" s="6" t="str">
        <f>IFERROR(__xludf.DUMMYFUNCTION("vlookup($A447,importrange(""1fyGnaViAX9kns28pvsfPvI9925sAI7kxPlM7jpuHVJM"",""Validation!A:Z""),23,0)"),"Kamlesh Kumar")</f>
        <v>Kamlesh Kumar</v>
      </c>
      <c r="G447" s="6" t="str">
        <f>IFERROR(__xludf.DUMMYFUNCTION("vlookup(A447,importrange(""1fyGnaViAX9kns28pvsfPvI9925sAI7kxPlM7jpuHVJM"",""Validation!A:Z""),22,0)"),"Cluster - Mayur")</f>
        <v>Cluster - Mayur</v>
      </c>
      <c r="H447" s="4" t="str">
        <f>IFERROR(__xludf.DUMMYFUNCTION("vlookup(C447,importrange(""1kw74ismGU34AsZ5x-W4x7F3Zt2xc8NSYcCVMrCJBmdQ"",""DRP for 8 products!B:C""),2,0)"),"ONIANMXZ5")</f>
        <v>ONIANMXZ5</v>
      </c>
      <c r="I447" s="7">
        <f>IFERROR(__xludf.DUMMYFUNCTION("vlookup(C447,importrange(""1kw74ismGU34AsZ5x-W4x7F3Zt2xc8NSYcCVMrCJBmdQ"",""DRP for 8 products!B:E""),4,0)"),15.0)</f>
        <v>15</v>
      </c>
      <c r="J447" s="8" t="str">
        <f t="shared" si="1"/>
        <v>Tier 4</v>
      </c>
      <c r="K447" s="9" t="str">
        <f t="shared" si="2"/>
        <v>Active</v>
      </c>
      <c r="L447" s="4" t="str">
        <f>IFERROR(__xludf.DUMMYFUNCTION("vlookup(C447,importrange(""1kw74ismGU34AsZ5x-W4x7F3Zt2xc8NSYcCVMrCJBmdQ"",""DRP for 8 products!B:H""),6,0)"),"BigQuery")</f>
        <v>BigQuery</v>
      </c>
      <c r="M447" s="10" t="str">
        <f t="shared" si="3"/>
        <v>Yes</v>
      </c>
    </row>
    <row r="448">
      <c r="A448" s="4" t="str">
        <f>IFERROR(__xludf.DUMMYFUNCTION("vlookup(C448,IMPORTRANGE(""1Kgoo8qyo6zMtf_5B03ksZz228jg0XpZ4_KXsdHQ4Vks"",""14 Sept!A:B""),2,0)"),"DME2628")</f>
        <v>DME2628</v>
      </c>
      <c r="B448" s="5" t="str">
        <f>IFERROR(__xludf.DUMMYFUNCTION("""COMPUTED_VALUE"""),"Arati Kshirsagar")</f>
        <v>Arati Kshirsagar</v>
      </c>
      <c r="C448" s="5" t="str">
        <f>IFERROR(__xludf.DUMMYFUNCTION("""COMPUTED_VALUE"""),"arati.kshirsagar@onixnet.com")</f>
        <v>arati.kshirsagar@onixnet.com</v>
      </c>
      <c r="D448" s="4" t="s">
        <v>11</v>
      </c>
      <c r="E448" s="6" t="str">
        <f>IFERROR(__xludf.DUMMYFUNCTION("vlookup($A448,importrange(""1fyGnaViAX9kns28pvsfPvI9925sAI7kxPlM7jpuHVJM"",""Validation!A:Z""),11,0)"),"Delivery Services")</f>
        <v>Delivery Services</v>
      </c>
      <c r="F448" s="6" t="str">
        <f>IFERROR(__xludf.DUMMYFUNCTION("vlookup($A448,importrange(""1fyGnaViAX9kns28pvsfPvI9925sAI7kxPlM7jpuHVJM"",""Validation!A:Z""),23,0)"),"Akash Morey")</f>
        <v>Akash Morey</v>
      </c>
      <c r="G448" s="6" t="str">
        <f>IFERROR(__xludf.DUMMYFUNCTION("vlookup(A448,importrange(""1fyGnaViAX9kns28pvsfPvI9925sAI7kxPlM7jpuHVJM"",""Validation!A:Z""),22,0)"),"Cluster - Sandeep")</f>
        <v>Cluster - Sandeep</v>
      </c>
      <c r="H448" s="4" t="str">
        <f>IFERROR(__xludf.DUMMYFUNCTION("vlookup(C448,importrange(""1kw74ismGU34AsZ5x-W4x7F3Zt2xc8NSYcCVMrCJBmdQ"",""DRP for 8 products!B:C""),2,0)"),"ONIAKXBP7")</f>
        <v>ONIAKXBP7</v>
      </c>
      <c r="I448" s="7">
        <f>IFERROR(__xludf.DUMMYFUNCTION("vlookup(C448,importrange(""1kw74ismGU34AsZ5x-W4x7F3Zt2xc8NSYcCVMrCJBmdQ"",""DRP for 8 products!B:E""),4,0)"),5.0)</f>
        <v>5</v>
      </c>
      <c r="J448" s="8" t="str">
        <f t="shared" si="1"/>
        <v>Tier 4</v>
      </c>
      <c r="K448" s="9" t="str">
        <f t="shared" si="2"/>
        <v>Active</v>
      </c>
      <c r="L448" s="4" t="str">
        <f>IFERROR(__xludf.DUMMYFUNCTION("vlookup(C448,importrange(""1kw74ismGU34AsZ5x-W4x7F3Zt2xc8NSYcCVMrCJBmdQ"",""DRP for 8 products!B:H""),6,0)"),"BigQuery")</f>
        <v>BigQuery</v>
      </c>
      <c r="M448" s="10" t="str">
        <f t="shared" si="3"/>
        <v>Yes</v>
      </c>
    </row>
    <row r="449">
      <c r="A449" s="4" t="str">
        <f>IFERROR(__xludf.DUMMYFUNCTION("vlookup(C449,IMPORTRANGE(""1Kgoo8qyo6zMtf_5B03ksZz228jg0XpZ4_KXsdHQ4Vks"",""14 Sept!A:B""),2,0)"),"DME2474")</f>
        <v>DME2474</v>
      </c>
      <c r="B449" s="5" t="str">
        <f>IFERROR(__xludf.DUMMYFUNCTION("""COMPUTED_VALUE"""),"prabhat jain")</f>
        <v>prabhat jain</v>
      </c>
      <c r="C449" s="5" t="str">
        <f>IFERROR(__xludf.DUMMYFUNCTION("""COMPUTED_VALUE"""),"prabhat.jain@onixnet.com")</f>
        <v>prabhat.jain@onixnet.com</v>
      </c>
      <c r="D449" s="4" t="s">
        <v>11</v>
      </c>
      <c r="E449" s="6" t="str">
        <f>IFERROR(__xludf.DUMMYFUNCTION("vlookup($A449,importrange(""1fyGnaViAX9kns28pvsfPvI9925sAI7kxPlM7jpuHVJM"",""Validation!A:Z""),11,0)"),"Delivery Services")</f>
        <v>Delivery Services</v>
      </c>
      <c r="F449" s="6" t="str">
        <f>IFERROR(__xludf.DUMMYFUNCTION("vlookup($A449,importrange(""1fyGnaViAX9kns28pvsfPvI9925sAI7kxPlM7jpuHVJM"",""Validation!A:Z""),23,0)"),"Nitesh Verma")</f>
        <v>Nitesh Verma</v>
      </c>
      <c r="G449" s="6" t="str">
        <f>IFERROR(__xludf.DUMMYFUNCTION("vlookup(A449,importrange(""1fyGnaViAX9kns28pvsfPvI9925sAI7kxPlM7jpuHVJM"",""Validation!A:Z""),22,0)"),"Cluster - Gaurav")</f>
        <v>Cluster - Gaurav</v>
      </c>
      <c r="H449" s="4" t="str">
        <f>IFERROR(__xludf.DUMMYFUNCTION("vlookup(C449,importrange(""1kw74ismGU34AsZ5x-W4x7F3Zt2xc8NSYcCVMrCJBmdQ"",""DRP for 8 products!B:C""),2,0)"),"ONIPJGUS4")</f>
        <v>ONIPJGUS4</v>
      </c>
      <c r="I449" s="7">
        <f>IFERROR(__xludf.DUMMYFUNCTION("vlookup(C449,importrange(""1kw74ismGU34AsZ5x-W4x7F3Zt2xc8NSYcCVMrCJBmdQ"",""DRP for 8 products!B:E""),4,0)"),5.0)</f>
        <v>5</v>
      </c>
      <c r="J449" s="8" t="str">
        <f t="shared" si="1"/>
        <v>Tier 4</v>
      </c>
      <c r="K449" s="9" t="str">
        <f t="shared" si="2"/>
        <v>Active</v>
      </c>
      <c r="L449" s="4" t="str">
        <f>IFERROR(__xludf.DUMMYFUNCTION("vlookup(C449,importrange(""1kw74ismGU34AsZ5x-W4x7F3Zt2xc8NSYcCVMrCJBmdQ"",""DRP for 8 products!B:H""),6,0)"),"BigQuery")</f>
        <v>BigQuery</v>
      </c>
      <c r="M449" s="10" t="str">
        <f t="shared" si="3"/>
        <v>Yes</v>
      </c>
    </row>
    <row r="450">
      <c r="A450" s="4" t="str">
        <f>IFERROR(__xludf.DUMMYFUNCTION("vlookup(C450,IMPORTRANGE(""1Kgoo8qyo6zMtf_5B03ksZz228jg0XpZ4_KXsdHQ4Vks"",""14 Sept!A:B""),2,0)"),"DME2794")</f>
        <v>DME2794</v>
      </c>
      <c r="B450" s="5" t="str">
        <f>IFERROR(__xludf.DUMMYFUNCTION("""COMPUTED_VALUE"""),"devyani shinde")</f>
        <v>devyani shinde</v>
      </c>
      <c r="C450" s="5" t="str">
        <f>IFERROR(__xludf.DUMMYFUNCTION("""COMPUTED_VALUE"""),"devyani.shinde@onixnet.com")</f>
        <v>devyani.shinde@onixnet.com</v>
      </c>
      <c r="D450" s="4" t="s">
        <v>11</v>
      </c>
      <c r="E450" s="6" t="str">
        <f>IFERROR(__xludf.DUMMYFUNCTION("vlookup($A450,importrange(""1fyGnaViAX9kns28pvsfPvI9925sAI7kxPlM7jpuHVJM"",""Validation!A:Z""),11,0)"),"Delivery Services")</f>
        <v>Delivery Services</v>
      </c>
      <c r="F450" s="6" t="str">
        <f>IFERROR(__xludf.DUMMYFUNCTION("vlookup($A450,importrange(""1fyGnaViAX9kns28pvsfPvI9925sAI7kxPlM7jpuHVJM"",""Validation!A:Z""),23,0)"),"Prabhat Jain")</f>
        <v>Prabhat Jain</v>
      </c>
      <c r="G450" s="6" t="str">
        <f>IFERROR(__xludf.DUMMYFUNCTION("vlookup(A450,importrange(""1fyGnaViAX9kns28pvsfPvI9925sAI7kxPlM7jpuHVJM"",""Validation!A:Z""),22,0)"),"Cluster - Gaurav")</f>
        <v>Cluster - Gaurav</v>
      </c>
      <c r="H450" s="4" t="str">
        <f>IFERROR(__xludf.DUMMYFUNCTION("vlookup(C450,importrange(""1kw74ismGU34AsZ5x-W4x7F3Zt2xc8NSYcCVMrCJBmdQ"",""DRP for 8 products!B:C""),2,0)"),"ONIDSRAN0")</f>
        <v>ONIDSRAN0</v>
      </c>
      <c r="I450" s="7">
        <f>IFERROR(__xludf.DUMMYFUNCTION("vlookup(C450,importrange(""1kw74ismGU34AsZ5x-W4x7F3Zt2xc8NSYcCVMrCJBmdQ"",""DRP for 8 products!B:E""),4,0)"),10.0)</f>
        <v>10</v>
      </c>
      <c r="J450" s="8" t="str">
        <f t="shared" si="1"/>
        <v>Tier 4</v>
      </c>
      <c r="K450" s="9" t="str">
        <f t="shared" si="2"/>
        <v>Active</v>
      </c>
      <c r="L450" s="4" t="str">
        <f>IFERROR(__xludf.DUMMYFUNCTION("vlookup(C450,importrange(""1kw74ismGU34AsZ5x-W4x7F3Zt2xc8NSYcCVMrCJBmdQ"",""DRP for 8 products!B:H""),6,0)"),"BigQuery")</f>
        <v>BigQuery</v>
      </c>
      <c r="M450" s="10" t="str">
        <f t="shared" si="3"/>
        <v>Yes</v>
      </c>
    </row>
    <row r="451">
      <c r="A451" s="4" t="str">
        <f>IFERROR(__xludf.DUMMYFUNCTION("vlookup(C451,IMPORTRANGE(""1Kgoo8qyo6zMtf_5B03ksZz228jg0XpZ4_KXsdHQ4Vks"",""14 Sept!A:B""),2,0)"),"DME0771")</f>
        <v>DME0771</v>
      </c>
      <c r="B451" s="5" t="str">
        <f>IFERROR(__xludf.DUMMYFUNCTION("""COMPUTED_VALUE"""),"Punit Gujar")</f>
        <v>Punit Gujar</v>
      </c>
      <c r="C451" s="5" t="str">
        <f>IFERROR(__xludf.DUMMYFUNCTION("""COMPUTED_VALUE"""),"punit.gujar@onixnet.com")</f>
        <v>punit.gujar@onixnet.com</v>
      </c>
      <c r="D451" s="4" t="s">
        <v>11</v>
      </c>
      <c r="E451" s="6" t="str">
        <f>IFERROR(__xludf.DUMMYFUNCTION("vlookup($A451,importrange(""1fyGnaViAX9kns28pvsfPvI9925sAI7kxPlM7jpuHVJM"",""Validation!A:Z""),11,0)"),"Delivery Services")</f>
        <v>Delivery Services</v>
      </c>
      <c r="F451" s="6" t="str">
        <f>IFERROR(__xludf.DUMMYFUNCTION("vlookup($A451,importrange(""1fyGnaViAX9kns28pvsfPvI9925sAI7kxPlM7jpuHVJM"",""Validation!A:Z""),23,0)"),"Noorulla Shaik")</f>
        <v>Noorulla Shaik</v>
      </c>
      <c r="G451" s="6" t="str">
        <f>IFERROR(__xludf.DUMMYFUNCTION("vlookup(A451,importrange(""1fyGnaViAX9kns28pvsfPvI9925sAI7kxPlM7jpuHVJM"",""Validation!A:Z""),22,0)"),"Cluster - Kanhaiya")</f>
        <v>Cluster - Kanhaiya</v>
      </c>
      <c r="H451" s="4" t="str">
        <f>IFERROR(__xludf.DUMMYFUNCTION("vlookup(C451,importrange(""1kw74ismGU34AsZ5x-W4x7F3Zt2xc8NSYcCVMrCJBmdQ"",""DRP for 8 products!B:C""),2,0)"),"ONIPGSUA7")</f>
        <v>ONIPGSUA7</v>
      </c>
      <c r="I451" s="7">
        <f>IFERROR(__xludf.DUMMYFUNCTION("vlookup(C451,importrange(""1kw74ismGU34AsZ5x-W4x7F3Zt2xc8NSYcCVMrCJBmdQ"",""DRP for 8 products!B:E""),4,0)"),9.0)</f>
        <v>9</v>
      </c>
      <c r="J451" s="8" t="str">
        <f t="shared" si="1"/>
        <v>Tier 4</v>
      </c>
      <c r="K451" s="9" t="str">
        <f t="shared" si="2"/>
        <v>Active</v>
      </c>
      <c r="L451" s="4" t="str">
        <f>IFERROR(__xludf.DUMMYFUNCTION("vlookup(C451,importrange(""1kw74ismGU34AsZ5x-W4x7F3Zt2xc8NSYcCVMrCJBmdQ"",""DRP for 8 products!B:H""),6,0)"),"BigQuery")</f>
        <v>BigQuery</v>
      </c>
      <c r="M451" s="10" t="str">
        <f t="shared" si="3"/>
        <v>Yes</v>
      </c>
    </row>
    <row r="452">
      <c r="A452" s="4" t="str">
        <f>IFERROR(__xludf.DUMMYFUNCTION("vlookup(C452,IMPORTRANGE(""1Kgoo8qyo6zMtf_5B03ksZz228jg0XpZ4_KXsdHQ4Vks"",""14 Sept!A:B""),2,0)"),"DME3061")</f>
        <v>DME3061</v>
      </c>
      <c r="B452" s="5" t="str">
        <f>IFERROR(__xludf.DUMMYFUNCTION("""COMPUTED_VALUE"""),"vaibhav salunkhe")</f>
        <v>vaibhav salunkhe</v>
      </c>
      <c r="C452" s="5" t="str">
        <f>IFERROR(__xludf.DUMMYFUNCTION("""COMPUTED_VALUE"""),"vaibhav.salunkhe@onixnet.com")</f>
        <v>vaibhav.salunkhe@onixnet.com</v>
      </c>
      <c r="D452" s="4" t="s">
        <v>11</v>
      </c>
      <c r="E452" s="6" t="str">
        <f>IFERROR(__xludf.DUMMYFUNCTION("vlookup($A452,importrange(""1fyGnaViAX9kns28pvsfPvI9925sAI7kxPlM7jpuHVJM"",""Validation!A:Z""),11,0)"),"Delivery Services")</f>
        <v>Delivery Services</v>
      </c>
      <c r="F452" s="6" t="str">
        <f>IFERROR(__xludf.DUMMYFUNCTION("vlookup($A452,importrange(""1fyGnaViAX9kns28pvsfPvI9925sAI7kxPlM7jpuHVJM"",""Validation!A:Z""),23,0)"),"Aarti Borhade")</f>
        <v>Aarti Borhade</v>
      </c>
      <c r="G452" s="6" t="str">
        <f>IFERROR(__xludf.DUMMYFUNCTION("vlookup(A452,importrange(""1fyGnaViAX9kns28pvsfPvI9925sAI7kxPlM7jpuHVJM"",""Validation!A:Z""),22,0)"),"Cluster - Sagar")</f>
        <v>Cluster - Sagar</v>
      </c>
      <c r="H452" s="4" t="str">
        <f>IFERROR(__xludf.DUMMYFUNCTION("vlookup(C452,importrange(""1kw74ismGU34AsZ5x-W4x7F3Zt2xc8NSYcCVMrCJBmdQ"",""DRP for 8 products!B:C""),2,0)"),"ONIVSVZL6")</f>
        <v>ONIVSVZL6</v>
      </c>
      <c r="I452" s="7">
        <f>IFERROR(__xludf.DUMMYFUNCTION("vlookup(C452,importrange(""1kw74ismGU34AsZ5x-W4x7F3Zt2xc8NSYcCVMrCJBmdQ"",""DRP for 8 products!B:E""),4,0)"),5.0)</f>
        <v>5</v>
      </c>
      <c r="J452" s="8" t="str">
        <f t="shared" si="1"/>
        <v>Tier 4</v>
      </c>
      <c r="K452" s="9" t="str">
        <f t="shared" si="2"/>
        <v>Active</v>
      </c>
      <c r="L452" s="4" t="str">
        <f>IFERROR(__xludf.DUMMYFUNCTION("vlookup(C452,importrange(""1kw74ismGU34AsZ5x-W4x7F3Zt2xc8NSYcCVMrCJBmdQ"",""DRP for 8 products!B:H""),6,0)"),"BigQuery")</f>
        <v>BigQuery</v>
      </c>
      <c r="M452" s="10" t="str">
        <f t="shared" si="3"/>
        <v>Yes</v>
      </c>
    </row>
    <row r="453">
      <c r="A453" s="4" t="str">
        <f>IFERROR(__xludf.DUMMYFUNCTION("vlookup(C453,IMPORTRANGE(""1Kgoo8qyo6zMtf_5B03ksZz228jg0XpZ4_KXsdHQ4Vks"",""14 Sept!A:B""),2,0)"),"DME2708")</f>
        <v>DME2708</v>
      </c>
      <c r="B453" s="5" t="str">
        <f>IFERROR(__xludf.DUMMYFUNCTION("""COMPUTED_VALUE"""),"Aaditya Bansude")</f>
        <v>Aaditya Bansude</v>
      </c>
      <c r="C453" s="5" t="str">
        <f>IFERROR(__xludf.DUMMYFUNCTION("""COMPUTED_VALUE"""),"aaditya.bansude@onixnet.com")</f>
        <v>aaditya.bansude@onixnet.com</v>
      </c>
      <c r="D453" s="4" t="s">
        <v>11</v>
      </c>
      <c r="E453" s="6" t="str">
        <f>IFERROR(__xludf.DUMMYFUNCTION("vlookup($A453,importrange(""1fyGnaViAX9kns28pvsfPvI9925sAI7kxPlM7jpuHVJM"",""Validation!A:Z""),11,0)"),"Delivery Services")</f>
        <v>Delivery Services</v>
      </c>
      <c r="F453" s="6" t="str">
        <f>IFERROR(__xludf.DUMMYFUNCTION("vlookup($A453,importrange(""1fyGnaViAX9kns28pvsfPvI9925sAI7kxPlM7jpuHVJM"",""Validation!A:Z""),23,0)"),"Shubham Agnihotri")</f>
        <v>Shubham Agnihotri</v>
      </c>
      <c r="G453" s="6" t="str">
        <f>IFERROR(__xludf.DUMMYFUNCTION("vlookup(A453,importrange(""1fyGnaViAX9kns28pvsfPvI9925sAI7kxPlM7jpuHVJM"",""Validation!A:Z""),22,0)"),"Cluster - Gaurav")</f>
        <v>Cluster - Gaurav</v>
      </c>
      <c r="H453" s="4" t="str">
        <f>IFERROR(__xludf.DUMMYFUNCTION("vlookup(C453,importrange(""1kw74ismGU34AsZ5x-W4x7F3Zt2xc8NSYcCVMrCJBmdQ"",""DRP for 8 products!B:C""),2,0)"),"ONIABVDR3")</f>
        <v>ONIABVDR3</v>
      </c>
      <c r="I453" s="7">
        <f>IFERROR(__xludf.DUMMYFUNCTION("vlookup(C453,importrange(""1kw74ismGU34AsZ5x-W4x7F3Zt2xc8NSYcCVMrCJBmdQ"",""DRP for 8 products!B:E""),4,0)"),52.0)</f>
        <v>52</v>
      </c>
      <c r="J453" s="8" t="str">
        <f t="shared" si="1"/>
        <v>Tier 1</v>
      </c>
      <c r="K453" s="9" t="str">
        <f t="shared" si="2"/>
        <v>Active</v>
      </c>
      <c r="L453" s="4" t="str">
        <f>IFERROR(__xludf.DUMMYFUNCTION("vlookup(C453,importrange(""1kw74ismGU34AsZ5x-W4x7F3Zt2xc8NSYcCVMrCJBmdQ"",""DRP for 8 products!B:H""),6,0)"),"BigQuery")</f>
        <v>BigQuery</v>
      </c>
      <c r="M453" s="10" t="str">
        <f t="shared" si="3"/>
        <v>Yes</v>
      </c>
    </row>
    <row r="454">
      <c r="A454" s="4" t="str">
        <f>IFERROR(__xludf.DUMMYFUNCTION("vlookup(C454,IMPORTRANGE(""1Kgoo8qyo6zMtf_5B03ksZz228jg0XpZ4_KXsdHQ4Vks"",""14 Sept!A:B""),2,0)"),"DME3249")</f>
        <v>DME3249</v>
      </c>
      <c r="B454" s="5" t="str">
        <f>IFERROR(__xludf.DUMMYFUNCTION("""COMPUTED_VALUE"""),"Suhas Chadar")</f>
        <v>Suhas Chadar</v>
      </c>
      <c r="C454" s="5" t="str">
        <f>IFERROR(__xludf.DUMMYFUNCTION("""COMPUTED_VALUE"""),"suhas.chadar@onixnet.com")</f>
        <v>suhas.chadar@onixnet.com</v>
      </c>
      <c r="D454" s="4" t="s">
        <v>11</v>
      </c>
      <c r="E454" s="6" t="str">
        <f>IFERROR(__xludf.DUMMYFUNCTION("vlookup($A454,importrange(""1fyGnaViAX9kns28pvsfPvI9925sAI7kxPlM7jpuHVJM"",""Validation!A:Z""),11,0)"),"Delivery Services")</f>
        <v>Delivery Services</v>
      </c>
      <c r="F454" s="6" t="str">
        <f>IFERROR(__xludf.DUMMYFUNCTION("vlookup($A454,importrange(""1fyGnaViAX9kns28pvsfPvI9925sAI7kxPlM7jpuHVJM"",""Validation!A:Z""),23,0)"),"Amit Parekh")</f>
        <v>Amit Parekh</v>
      </c>
      <c r="G454" s="6" t="str">
        <f>IFERROR(__xludf.DUMMYFUNCTION("vlookup(A454,importrange(""1fyGnaViAX9kns28pvsfPvI9925sAI7kxPlM7jpuHVJM"",""Validation!A:Z""),22,0)"),"Cluster - Sandeep")</f>
        <v>Cluster - Sandeep</v>
      </c>
      <c r="H454" s="4" t="str">
        <f>IFERROR(__xludf.DUMMYFUNCTION("vlookup(C454,importrange(""1kw74ismGU34AsZ5x-W4x7F3Zt2xc8NSYcCVMrCJBmdQ"",""DRP for 8 products!B:C""),2,0)"),"ONISCRUU1")</f>
        <v>ONISCRUU1</v>
      </c>
      <c r="I454" s="7">
        <f>IFERROR(__xludf.DUMMYFUNCTION("vlookup(C454,importrange(""1kw74ismGU34AsZ5x-W4x7F3Zt2xc8NSYcCVMrCJBmdQ"",""DRP for 8 products!B:E""),4,0)"),5.0)</f>
        <v>5</v>
      </c>
      <c r="J454" s="8" t="str">
        <f t="shared" si="1"/>
        <v>Tier 4</v>
      </c>
      <c r="K454" s="9" t="str">
        <f t="shared" si="2"/>
        <v>Active</v>
      </c>
      <c r="L454" s="4" t="str">
        <f>IFERROR(__xludf.DUMMYFUNCTION("vlookup(C454,importrange(""1kw74ismGU34AsZ5x-W4x7F3Zt2xc8NSYcCVMrCJBmdQ"",""DRP for 8 products!B:H""),6,0)"),"BigQuery")</f>
        <v>BigQuery</v>
      </c>
      <c r="M454" s="10" t="str">
        <f t="shared" si="3"/>
        <v>Yes</v>
      </c>
    </row>
    <row r="455">
      <c r="A455" s="4" t="str">
        <f>IFERROR(__xludf.DUMMYFUNCTION("vlookup(C455,IMPORTRANGE(""1Kgoo8qyo6zMtf_5B03ksZz228jg0XpZ4_KXsdHQ4Vks"",""14 Sept!A:B""),2,0)"),"DME2292")</f>
        <v>DME2292</v>
      </c>
      <c r="B455" s="5" t="str">
        <f>IFERROR(__xludf.DUMMYFUNCTION("""COMPUTED_VALUE"""),"Nikhil Datar")</f>
        <v>Nikhil Datar</v>
      </c>
      <c r="C455" s="5" t="str">
        <f>IFERROR(__xludf.DUMMYFUNCTION("""COMPUTED_VALUE"""),"nikhil.datar@onixnet.com")</f>
        <v>nikhil.datar@onixnet.com</v>
      </c>
      <c r="D455" s="4" t="s">
        <v>11</v>
      </c>
      <c r="E455" s="6" t="str">
        <f>IFERROR(__xludf.DUMMYFUNCTION("vlookup($A455,importrange(""1fyGnaViAX9kns28pvsfPvI9925sAI7kxPlM7jpuHVJM"",""Validation!A:Z""),11,0)"),"Delivery Services")</f>
        <v>Delivery Services</v>
      </c>
      <c r="F455" s="6" t="str">
        <f>IFERROR(__xludf.DUMMYFUNCTION("vlookup($A455,importrange(""1fyGnaViAX9kns28pvsfPvI9925sAI7kxPlM7jpuHVJM"",""Validation!A:Z""),23,0)"),"Pooja Chawda")</f>
        <v>Pooja Chawda</v>
      </c>
      <c r="G455" s="6" t="str">
        <f>IFERROR(__xludf.DUMMYFUNCTION("vlookup(A455,importrange(""1fyGnaViAX9kns28pvsfPvI9925sAI7kxPlM7jpuHVJM"",""Validation!A:Z""),22,0)"),"Cluster - Sandeep")</f>
        <v>Cluster - Sandeep</v>
      </c>
      <c r="H455" s="4" t="str">
        <f>IFERROR(__xludf.DUMMYFUNCTION("vlookup(C455,importrange(""1kw74ismGU34AsZ5x-W4x7F3Zt2xc8NSYcCVMrCJBmdQ"",""DRP for 8 products!B:C""),2,0)"),"ONINDWRC1")</f>
        <v>ONINDWRC1</v>
      </c>
      <c r="I455" s="7">
        <f>IFERROR(__xludf.DUMMYFUNCTION("vlookup(C455,importrange(""1kw74ismGU34AsZ5x-W4x7F3Zt2xc8NSYcCVMrCJBmdQ"",""DRP for 8 products!B:E""),4,0)"),24.0)</f>
        <v>24</v>
      </c>
      <c r="J455" s="8" t="str">
        <f t="shared" si="1"/>
        <v>Tier 3</v>
      </c>
      <c r="K455" s="9" t="str">
        <f t="shared" si="2"/>
        <v>Active</v>
      </c>
      <c r="L455" s="4" t="str">
        <f>IFERROR(__xludf.DUMMYFUNCTION("vlookup(C455,importrange(""1kw74ismGU34AsZ5x-W4x7F3Zt2xc8NSYcCVMrCJBmdQ"",""DRP for 8 products!B:H""),6,0)"),"BigQuery")</f>
        <v>BigQuery</v>
      </c>
      <c r="M455" s="10" t="str">
        <f t="shared" si="3"/>
        <v>Yes</v>
      </c>
    </row>
    <row r="456">
      <c r="A456" s="4" t="str">
        <f>IFERROR(__xludf.DUMMYFUNCTION("vlookup(C456,IMPORTRANGE(""1Kgoo8qyo6zMtf_5B03ksZz228jg0XpZ4_KXsdHQ4Vks"",""14 Sept!A:B""),2,0)"),"DME3072")</f>
        <v>DME3072</v>
      </c>
      <c r="B456" s="5" t="str">
        <f>IFERROR(__xludf.DUMMYFUNCTION("""COMPUTED_VALUE"""),"Vaishnavi Sakharkar")</f>
        <v>Vaishnavi Sakharkar</v>
      </c>
      <c r="C456" s="5" t="str">
        <f>IFERROR(__xludf.DUMMYFUNCTION("""COMPUTED_VALUE"""),"vaishnavi.sakharkar@onixnet.com")</f>
        <v>vaishnavi.sakharkar@onixnet.com</v>
      </c>
      <c r="D456" s="4" t="s">
        <v>11</v>
      </c>
      <c r="E456" s="6" t="str">
        <f>IFERROR(__xludf.DUMMYFUNCTION("vlookup($A456,importrange(""1fyGnaViAX9kns28pvsfPvI9925sAI7kxPlM7jpuHVJM"",""Validation!A:Z""),11,0)"),"Product Engineering")</f>
        <v>Product Engineering</v>
      </c>
      <c r="F456" s="6" t="str">
        <f>IFERROR(__xludf.DUMMYFUNCTION("vlookup($A456,importrange(""1fyGnaViAX9kns28pvsfPvI9925sAI7kxPlM7jpuHVJM"",""Validation!A:Z""),23,0)"),"Venkat Shivkumar")</f>
        <v>Venkat Shivkumar</v>
      </c>
      <c r="G456" s="6" t="str">
        <f>IFERROR(__xludf.DUMMYFUNCTION("vlookup(A456,importrange(""1fyGnaViAX9kns28pvsfPvI9925sAI7kxPlM7jpuHVJM"",""Validation!A:Z""),22,0)"),"Cluster - Mayur")</f>
        <v>Cluster - Mayur</v>
      </c>
      <c r="H456" s="4" t="str">
        <f>IFERROR(__xludf.DUMMYFUNCTION("vlookup(C456,importrange(""1kw74ismGU34AsZ5x-W4x7F3Zt2xc8NSYcCVMrCJBmdQ"",""DRP for 8 products!B:C""),2,0)"),"ONIVSKOB7")</f>
        <v>ONIVSKOB7</v>
      </c>
      <c r="I456" s="7">
        <f>IFERROR(__xludf.DUMMYFUNCTION("vlookup(C456,importrange(""1kw74ismGU34AsZ5x-W4x7F3Zt2xc8NSYcCVMrCJBmdQ"",""DRP for 8 products!B:E""),4,0)"),10.0)</f>
        <v>10</v>
      </c>
      <c r="J456" s="8" t="str">
        <f t="shared" si="1"/>
        <v>Tier 4</v>
      </c>
      <c r="K456" s="9" t="str">
        <f t="shared" si="2"/>
        <v>Active</v>
      </c>
      <c r="L456" s="4" t="str">
        <f>IFERROR(__xludf.DUMMYFUNCTION("vlookup(C456,importrange(""1kw74ismGU34AsZ5x-W4x7F3Zt2xc8NSYcCVMrCJBmdQ"",""DRP for 8 products!B:H""),6,0)"),"BigQuery")</f>
        <v>BigQuery</v>
      </c>
      <c r="M456" s="10" t="str">
        <f t="shared" si="3"/>
        <v>Yes</v>
      </c>
    </row>
    <row r="457">
      <c r="A457" s="4" t="str">
        <f>IFERROR(__xludf.DUMMYFUNCTION("vlookup(C457,IMPORTRANGE(""1Kgoo8qyo6zMtf_5B03ksZz228jg0XpZ4_KXsdHQ4Vks"",""14 Sept!A:B""),2,0)"),"DME0380")</f>
        <v>DME0380</v>
      </c>
      <c r="B457" s="5" t="str">
        <f>IFERROR(__xludf.DUMMYFUNCTION("""COMPUTED_VALUE"""),"Sushant Gadiwan")</f>
        <v>Sushant Gadiwan</v>
      </c>
      <c r="C457" s="5" t="str">
        <f>IFERROR(__xludf.DUMMYFUNCTION("""COMPUTED_VALUE"""),"sushant.gadiwan@onixnet.com")</f>
        <v>sushant.gadiwan@onixnet.com</v>
      </c>
      <c r="D457" s="4" t="s">
        <v>11</v>
      </c>
      <c r="E457" s="6" t="str">
        <f>IFERROR(__xludf.DUMMYFUNCTION("vlookup($A457,importrange(""1fyGnaViAX9kns28pvsfPvI9925sAI7kxPlM7jpuHVJM"",""Validation!A:Z""),11,0)"),"Delivery Services")</f>
        <v>Delivery Services</v>
      </c>
      <c r="F457" s="6" t="str">
        <f>IFERROR(__xludf.DUMMYFUNCTION("vlookup($A457,importrange(""1fyGnaViAX9kns28pvsfPvI9925sAI7kxPlM7jpuHVJM"",""Validation!A:Z""),23,0)"),"Jitender Singh")</f>
        <v>Jitender Singh</v>
      </c>
      <c r="G457" s="6" t="str">
        <f>IFERROR(__xludf.DUMMYFUNCTION("vlookup(A457,importrange(""1fyGnaViAX9kns28pvsfPvI9925sAI7kxPlM7jpuHVJM"",""Validation!A:Z""),22,0)"),"Cluster - Gaurav")</f>
        <v>Cluster - Gaurav</v>
      </c>
      <c r="H457" s="4" t="str">
        <f>IFERROR(__xludf.DUMMYFUNCTION("vlookup(C457,importrange(""1kw74ismGU34AsZ5x-W4x7F3Zt2xc8NSYcCVMrCJBmdQ"",""DRP for 8 products!B:C""),2,0)"),"ONISGOLS1")</f>
        <v>ONISGOLS1</v>
      </c>
      <c r="I457" s="7">
        <f>IFERROR(__xludf.DUMMYFUNCTION("vlookup(C457,importrange(""1kw74ismGU34AsZ5x-W4x7F3Zt2xc8NSYcCVMrCJBmdQ"",""DRP for 8 products!B:E""),4,0)"),14.0)</f>
        <v>14</v>
      </c>
      <c r="J457" s="8" t="str">
        <f t="shared" si="1"/>
        <v>Tier 4</v>
      </c>
      <c r="K457" s="9" t="str">
        <f t="shared" si="2"/>
        <v>Active</v>
      </c>
      <c r="L457" s="4" t="str">
        <f>IFERROR(__xludf.DUMMYFUNCTION("vlookup(C457,importrange(""1kw74ismGU34AsZ5x-W4x7F3Zt2xc8NSYcCVMrCJBmdQ"",""DRP for 8 products!B:H""),6,0)"),"BigQuery")</f>
        <v>BigQuery</v>
      </c>
      <c r="M457" s="10" t="str">
        <f t="shared" si="3"/>
        <v>Yes</v>
      </c>
    </row>
    <row r="458">
      <c r="A458" s="4" t="str">
        <f>IFERROR(__xludf.DUMMYFUNCTION("vlookup(C458,IMPORTRANGE(""1Kgoo8qyo6zMtf_5B03ksZz228jg0XpZ4_KXsdHQ4Vks"",""14 Sept!A:B""),2,0)"),"DME3222")</f>
        <v>DME3222</v>
      </c>
      <c r="B458" s="5" t="str">
        <f>IFERROR(__xludf.DUMMYFUNCTION("""COMPUTED_VALUE"""),"Nageshwari Rangdal")</f>
        <v>Nageshwari Rangdal</v>
      </c>
      <c r="C458" s="5" t="str">
        <f>IFERROR(__xludf.DUMMYFUNCTION("""COMPUTED_VALUE"""),"nageshwari.rangdal@onixnet.com")</f>
        <v>nageshwari.rangdal@onixnet.com</v>
      </c>
      <c r="D458" s="4" t="s">
        <v>11</v>
      </c>
      <c r="E458" s="6" t="str">
        <f>IFERROR(__xludf.DUMMYFUNCTION("vlookup($A458,importrange(""1fyGnaViAX9kns28pvsfPvI9925sAI7kxPlM7jpuHVJM"",""Validation!A:Z""),11,0)"),"Delivery Services")</f>
        <v>Delivery Services</v>
      </c>
      <c r="F458" s="6" t="str">
        <f>IFERROR(__xludf.DUMMYFUNCTION("vlookup($A458,importrange(""1fyGnaViAX9kns28pvsfPvI9925sAI7kxPlM7jpuHVJM"",""Validation!A:Z""),23,0)"),"Aakash Vinod Tolani")</f>
        <v>Aakash Vinod Tolani</v>
      </c>
      <c r="G458" s="6" t="str">
        <f>IFERROR(__xludf.DUMMYFUNCTION("vlookup(A458,importrange(""1fyGnaViAX9kns28pvsfPvI9925sAI7kxPlM7jpuHVJM"",""Validation!A:Z""),22,0)"),"Cluster - Shreepad")</f>
        <v>Cluster - Shreepad</v>
      </c>
      <c r="H458" s="4" t="str">
        <f>IFERROR(__xludf.DUMMYFUNCTION("vlookup(C458,importrange(""1kw74ismGU34AsZ5x-W4x7F3Zt2xc8NSYcCVMrCJBmdQ"",""DRP for 8 products!B:C""),2,0)"),"ONINRGUV9")</f>
        <v>ONINRGUV9</v>
      </c>
      <c r="I458" s="7">
        <f>IFERROR(__xludf.DUMMYFUNCTION("vlookup(C458,importrange(""1kw74ismGU34AsZ5x-W4x7F3Zt2xc8NSYcCVMrCJBmdQ"",""DRP for 8 products!B:E""),4,0)"),8.0)</f>
        <v>8</v>
      </c>
      <c r="J458" s="8" t="str">
        <f t="shared" si="1"/>
        <v>Tier 4</v>
      </c>
      <c r="K458" s="9" t="str">
        <f t="shared" si="2"/>
        <v>Active</v>
      </c>
      <c r="L458" s="4" t="str">
        <f>IFERROR(__xludf.DUMMYFUNCTION("vlookup(C458,importrange(""1kw74ismGU34AsZ5x-W4x7F3Zt2xc8NSYcCVMrCJBmdQ"",""DRP for 8 products!B:H""),6,0)"),"BigQuery")</f>
        <v>BigQuery</v>
      </c>
      <c r="M458" s="10" t="str">
        <f t="shared" si="3"/>
        <v>Yes</v>
      </c>
    </row>
    <row r="459">
      <c r="A459" s="4" t="str">
        <f>IFERROR(__xludf.DUMMYFUNCTION("vlookup(C459,IMPORTRANGE(""1Kgoo8qyo6zMtf_5B03ksZz228jg0XpZ4_KXsdHQ4Vks"",""14 Sept!A:B""),2,0)"),"DME2554")</f>
        <v>DME2554</v>
      </c>
      <c r="B459" s="5" t="str">
        <f>IFERROR(__xludf.DUMMYFUNCTION("""COMPUTED_VALUE"""),"Ankita Khandare")</f>
        <v>Ankita Khandare</v>
      </c>
      <c r="C459" s="5" t="str">
        <f>IFERROR(__xludf.DUMMYFUNCTION("""COMPUTED_VALUE"""),"ankita.khandare@onixnet.com")</f>
        <v>ankita.khandare@onixnet.com</v>
      </c>
      <c r="D459" s="4" t="s">
        <v>11</v>
      </c>
      <c r="E459" s="6" t="str">
        <f>IFERROR(__xludf.DUMMYFUNCTION("vlookup($A459,importrange(""1fyGnaViAX9kns28pvsfPvI9925sAI7kxPlM7jpuHVJM"",""Validation!A:Z""),11,0)"),"Delivery Services")</f>
        <v>Delivery Services</v>
      </c>
      <c r="F459" s="6" t="str">
        <f>IFERROR(__xludf.DUMMYFUNCTION("vlookup($A459,importrange(""1fyGnaViAX9kns28pvsfPvI9925sAI7kxPlM7jpuHVJM"",""Validation!A:Z""),23,0)"),"Kishore Kotagiri")</f>
        <v>Kishore Kotagiri</v>
      </c>
      <c r="G459" s="6" t="str">
        <f>IFERROR(__xludf.DUMMYFUNCTION("vlookup(A459,importrange(""1fyGnaViAX9kns28pvsfPvI9925sAI7kxPlM7jpuHVJM"",""Validation!A:Z""),22,0)"),"Cluster - Kanhaiya")</f>
        <v>Cluster - Kanhaiya</v>
      </c>
      <c r="H459" s="4" t="str">
        <f>IFERROR(__xludf.DUMMYFUNCTION("vlookup(C459,importrange(""1kw74ismGU34AsZ5x-W4x7F3Zt2xc8NSYcCVMrCJBmdQ"",""DRP for 8 products!B:C""),2,0)"),"ONIAKRGL3")</f>
        <v>ONIAKRGL3</v>
      </c>
      <c r="I459" s="7">
        <f>IFERROR(__xludf.DUMMYFUNCTION("vlookup(C459,importrange(""1kw74ismGU34AsZ5x-W4x7F3Zt2xc8NSYcCVMrCJBmdQ"",""DRP for 8 products!B:E""),4,0)"),17.0)</f>
        <v>17</v>
      </c>
      <c r="J459" s="8" t="str">
        <f t="shared" si="1"/>
        <v>Tier 4</v>
      </c>
      <c r="K459" s="9" t="str">
        <f t="shared" si="2"/>
        <v>Active</v>
      </c>
      <c r="L459" s="4" t="str">
        <f>IFERROR(__xludf.DUMMYFUNCTION("vlookup(C459,importrange(""1kw74ismGU34AsZ5x-W4x7F3Zt2xc8NSYcCVMrCJBmdQ"",""DRP for 8 products!B:H""),6,0)"),"Cloud SQL")</f>
        <v>Cloud SQL</v>
      </c>
      <c r="M459" s="10" t="str">
        <f t="shared" si="3"/>
        <v>Yes</v>
      </c>
    </row>
    <row r="460">
      <c r="A460" s="4" t="str">
        <f>IFERROR(__xludf.DUMMYFUNCTION("vlookup(C460,IMPORTRANGE(""1Kgoo8qyo6zMtf_5B03ksZz228jg0XpZ4_KXsdHQ4Vks"",""14 Sept!A:B""),2,0)"),"ONIX898")</f>
        <v>ONIX898</v>
      </c>
      <c r="B460" s="5" t="str">
        <f>IFERROR(__xludf.DUMMYFUNCTION("""COMPUTED_VALUE"""),"Tiffany Valentina")</f>
        <v>Tiffany Valentina</v>
      </c>
      <c r="C460" s="5" t="str">
        <f>IFERROR(__xludf.DUMMYFUNCTION("""COMPUTED_VALUE"""),"tiffany.valentina@onixnet.com")</f>
        <v>tiffany.valentina@onixnet.com</v>
      </c>
      <c r="D460" s="4" t="s">
        <v>11</v>
      </c>
      <c r="E460" s="6" t="str">
        <f>IFERROR(__xludf.DUMMYFUNCTION("vlookup($A460,importrange(""1fyGnaViAX9kns28pvsfPvI9925sAI7kxPlM7jpuHVJM"",""Validation!A:Z""),11,0)"),"Delivery Services")</f>
        <v>Delivery Services</v>
      </c>
      <c r="F460" s="6" t="str">
        <f>IFERROR(__xludf.DUMMYFUNCTION("vlookup($A460,importrange(""1fyGnaViAX9kns28pvsfPvI9925sAI7kxPlM7jpuHVJM"",""Validation!A:Z""),23,0)"),"Kyle Clark")</f>
        <v>Kyle Clark</v>
      </c>
      <c r="G460" s="6" t="str">
        <f>IFERROR(__xludf.DUMMYFUNCTION("vlookup(A460,importrange(""1fyGnaViAX9kns28pvsfPvI9925sAI7kxPlM7jpuHVJM"",""Validation!A:Z""),22,0)"),"Portfolio - Rick")</f>
        <v>Portfolio - Rick</v>
      </c>
      <c r="H460" s="4" t="str">
        <f>IFERROR(__xludf.DUMMYFUNCTION("vlookup(C460,importrange(""1kw74ismGU34AsZ5x-W4x7F3Zt2xc8NSYcCVMrCJBmdQ"",""DRP for 8 products!B:C""),2,0)"),"ONITVNON3")</f>
        <v>ONITVNON3</v>
      </c>
      <c r="I460" s="7">
        <f>IFERROR(__xludf.DUMMYFUNCTION("vlookup(C460,importrange(""1kw74ismGU34AsZ5x-W4x7F3Zt2xc8NSYcCVMrCJBmdQ"",""DRP for 8 products!B:E""),4,0)"),19.0)</f>
        <v>19</v>
      </c>
      <c r="J460" s="8" t="str">
        <f t="shared" si="1"/>
        <v>Tier 4</v>
      </c>
      <c r="K460" s="9" t="str">
        <f t="shared" si="2"/>
        <v>Active</v>
      </c>
      <c r="L460" s="4" t="str">
        <f>IFERROR(__xludf.DUMMYFUNCTION("vlookup(C460,importrange(""1kw74ismGU34AsZ5x-W4x7F3Zt2xc8NSYcCVMrCJBmdQ"",""DRP for 8 products!B:H""),6,0)"),"BigQuery")</f>
        <v>BigQuery</v>
      </c>
      <c r="M460" s="10" t="str">
        <f t="shared" si="3"/>
        <v>Yes</v>
      </c>
    </row>
    <row r="461">
      <c r="A461" s="4" t="str">
        <f>IFERROR(__xludf.DUMMYFUNCTION("vlookup(C461,IMPORTRANGE(""1Kgoo8qyo6zMtf_5B03ksZz228jg0XpZ4_KXsdHQ4Vks"",""14 Sept!A:B""),2,0)"),"DME2961")</f>
        <v>DME2961</v>
      </c>
      <c r="B461" s="5" t="str">
        <f>IFERROR(__xludf.DUMMYFUNCTION("""COMPUTED_VALUE"""),"Krishna Siraskar")</f>
        <v>Krishna Siraskar</v>
      </c>
      <c r="C461" s="5" t="str">
        <f>IFERROR(__xludf.DUMMYFUNCTION("""COMPUTED_VALUE"""),"krushna.siraskar@onixnet.com")</f>
        <v>krushna.siraskar@onixnet.com</v>
      </c>
      <c r="D461" s="4" t="s">
        <v>11</v>
      </c>
      <c r="E461" s="6" t="str">
        <f>IFERROR(__xludf.DUMMYFUNCTION("vlookup($A461,importrange(""1fyGnaViAX9kns28pvsfPvI9925sAI7kxPlM7jpuHVJM"",""Validation!A:Z""),11,0)"),"Delivery Services")</f>
        <v>Delivery Services</v>
      </c>
      <c r="F461" s="6" t="str">
        <f>IFERROR(__xludf.DUMMYFUNCTION("vlookup($A461,importrange(""1fyGnaViAX9kns28pvsfPvI9925sAI7kxPlM7jpuHVJM"",""Validation!A:Z""),23,0)"),"Akash Morey")</f>
        <v>Akash Morey</v>
      </c>
      <c r="G461" s="6" t="str">
        <f>IFERROR(__xludf.DUMMYFUNCTION("vlookup(A461,importrange(""1fyGnaViAX9kns28pvsfPvI9925sAI7kxPlM7jpuHVJM"",""Validation!A:Z""),22,0)"),"Cluster - Sandeep")</f>
        <v>Cluster - Sandeep</v>
      </c>
      <c r="H461" s="4" t="str">
        <f>IFERROR(__xludf.DUMMYFUNCTION("vlookup(C461,importrange(""1kw74ismGU34AsZ5x-W4x7F3Zt2xc8NSYcCVMrCJBmdQ"",""DRP for 8 products!B:C""),2,0)"),"ONIKSPYN0")</f>
        <v>ONIKSPYN0</v>
      </c>
      <c r="I461" s="7">
        <f>IFERROR(__xludf.DUMMYFUNCTION("vlookup(C461,importrange(""1kw74ismGU34AsZ5x-W4x7F3Zt2xc8NSYcCVMrCJBmdQ"",""DRP for 8 products!B:E""),4,0)"),11.0)</f>
        <v>11</v>
      </c>
      <c r="J461" s="8" t="str">
        <f t="shared" si="1"/>
        <v>Tier 4</v>
      </c>
      <c r="K461" s="9" t="str">
        <f t="shared" si="2"/>
        <v>Active</v>
      </c>
      <c r="L461" s="4" t="str">
        <f>IFERROR(__xludf.DUMMYFUNCTION("vlookup(C461,importrange(""1kw74ismGU34AsZ5x-W4x7F3Zt2xc8NSYcCVMrCJBmdQ"",""DRP for 8 products!B:H""),6,0)"),"AlloyDB for PostgreSQL")</f>
        <v>AlloyDB for PostgreSQL</v>
      </c>
      <c r="M461" s="10" t="str">
        <f t="shared" si="3"/>
        <v>Yes</v>
      </c>
    </row>
    <row r="462">
      <c r="A462" s="4" t="str">
        <f>IFERROR(__xludf.DUMMYFUNCTION("vlookup(C462,IMPORTRANGE(""1Kgoo8qyo6zMtf_5B03ksZz228jg0XpZ4_KXsdHQ4Vks"",""14 Sept!A:B""),2,0)"),"DME2990")</f>
        <v>DME2990</v>
      </c>
      <c r="B462" s="5" t="str">
        <f>IFERROR(__xludf.DUMMYFUNCTION("""COMPUTED_VALUE"""),"Syam Prasad Gera")</f>
        <v>Syam Prasad Gera</v>
      </c>
      <c r="C462" s="5" t="str">
        <f>IFERROR(__xludf.DUMMYFUNCTION("""COMPUTED_VALUE"""),"syamprasad.gera@onixnet.com")</f>
        <v>syamprasad.gera@onixnet.com</v>
      </c>
      <c r="D462" s="4" t="s">
        <v>11</v>
      </c>
      <c r="E462" s="6" t="str">
        <f>IFERROR(__xludf.DUMMYFUNCTION("vlookup($A462,importrange(""1fyGnaViAX9kns28pvsfPvI9925sAI7kxPlM7jpuHVJM"",""Validation!A:Z""),11,0)"),"Delivery Services")</f>
        <v>Delivery Services</v>
      </c>
      <c r="F462" s="6" t="str">
        <f>IFERROR(__xludf.DUMMYFUNCTION("vlookup($A462,importrange(""1fyGnaViAX9kns28pvsfPvI9925sAI7kxPlM7jpuHVJM"",""Validation!A:Z""),23,0)"),"Shreepad Dhok")</f>
        <v>Shreepad Dhok</v>
      </c>
      <c r="G462" s="6" t="str">
        <f>IFERROR(__xludf.DUMMYFUNCTION("vlookup(A462,importrange(""1fyGnaViAX9kns28pvsfPvI9925sAI7kxPlM7jpuHVJM"",""Validation!A:Z""),22,0)"),"Cluster - Shreepad")</f>
        <v>Cluster - Shreepad</v>
      </c>
      <c r="H462" s="4" t="str">
        <f>IFERROR(__xludf.DUMMYFUNCTION("vlookup(C462,importrange(""1kw74ismGU34AsZ5x-W4x7F3Zt2xc8NSYcCVMrCJBmdQ"",""DRP for 8 products!B:C""),2,0)"),"ONISGFQX9")</f>
        <v>ONISGFQX9</v>
      </c>
      <c r="I462" s="7">
        <f>IFERROR(__xludf.DUMMYFUNCTION("vlookup(C462,importrange(""1kw74ismGU34AsZ5x-W4x7F3Zt2xc8NSYcCVMrCJBmdQ"",""DRP for 8 products!B:E""),4,0)"),14.0)</f>
        <v>14</v>
      </c>
      <c r="J462" s="8" t="str">
        <f t="shared" si="1"/>
        <v>Tier 4</v>
      </c>
      <c r="K462" s="9" t="str">
        <f t="shared" si="2"/>
        <v>Active</v>
      </c>
      <c r="L462" s="4" t="str">
        <f>IFERROR(__xludf.DUMMYFUNCTION("vlookup(C462,importrange(""1kw74ismGU34AsZ5x-W4x7F3Zt2xc8NSYcCVMrCJBmdQ"",""DRP for 8 products!B:H""),6,0)"),"BigQuery")</f>
        <v>BigQuery</v>
      </c>
      <c r="M462" s="10" t="str">
        <f t="shared" si="3"/>
        <v>Yes</v>
      </c>
    </row>
    <row r="463">
      <c r="A463" s="4" t="str">
        <f>IFERROR(__xludf.DUMMYFUNCTION("vlookup(C463,IMPORTRANGE(""1Kgoo8qyo6zMtf_5B03ksZz228jg0XpZ4_KXsdHQ4Vks"",""14 Sept!A:B""),2,0)"),"DME3080")</f>
        <v>DME3080</v>
      </c>
      <c r="B463" s="5" t="str">
        <f>IFERROR(__xludf.DUMMYFUNCTION("""COMPUTED_VALUE"""),"Janak Kore")</f>
        <v>Janak Kore</v>
      </c>
      <c r="C463" s="5" t="str">
        <f>IFERROR(__xludf.DUMMYFUNCTION("""COMPUTED_VALUE"""),"janak.kore@onixnet.com")</f>
        <v>janak.kore@onixnet.com</v>
      </c>
      <c r="D463" s="4" t="s">
        <v>11</v>
      </c>
      <c r="E463" s="6" t="str">
        <f>IFERROR(__xludf.DUMMYFUNCTION("vlookup($A463,importrange(""1fyGnaViAX9kns28pvsfPvI9925sAI7kxPlM7jpuHVJM"",""Validation!A:Z""),11,0)"),"Delivery Services")</f>
        <v>Delivery Services</v>
      </c>
      <c r="F463" s="6" t="str">
        <f>IFERROR(__xludf.DUMMYFUNCTION("vlookup($A463,importrange(""1fyGnaViAX9kns28pvsfPvI9925sAI7kxPlM7jpuHVJM"",""Validation!A:Z""),23,0)"),"Anitha Kumari M S")</f>
        <v>Anitha Kumari M S</v>
      </c>
      <c r="G463" s="6" t="str">
        <f>IFERROR(__xludf.DUMMYFUNCTION("vlookup(A463,importrange(""1fyGnaViAX9kns28pvsfPvI9925sAI7kxPlM7jpuHVJM"",""Validation!A:Z""),22,0)"),"Cluster - Sagar")</f>
        <v>Cluster - Sagar</v>
      </c>
      <c r="H463" s="4" t="str">
        <f>IFERROR(__xludf.DUMMYFUNCTION("vlookup(C463,importrange(""1kw74ismGU34AsZ5x-W4x7F3Zt2xc8NSYcCVMrCJBmdQ"",""DRP for 8 products!B:C""),2,0)"),"ONIJKPBO3")</f>
        <v>ONIJKPBO3</v>
      </c>
      <c r="I463" s="7">
        <f>IFERROR(__xludf.DUMMYFUNCTION("vlookup(C463,importrange(""1kw74ismGU34AsZ5x-W4x7F3Zt2xc8NSYcCVMrCJBmdQ"",""DRP for 8 products!B:E""),4,0)"),5.0)</f>
        <v>5</v>
      </c>
      <c r="J463" s="8" t="str">
        <f t="shared" si="1"/>
        <v>Tier 4</v>
      </c>
      <c r="K463" s="9" t="str">
        <f t="shared" si="2"/>
        <v>Active</v>
      </c>
      <c r="L463" s="4" t="str">
        <f>IFERROR(__xludf.DUMMYFUNCTION("vlookup(C463,importrange(""1kw74ismGU34AsZ5x-W4x7F3Zt2xc8NSYcCVMrCJBmdQ"",""DRP for 8 products!B:H""),6,0)"),"BigQuery")</f>
        <v>BigQuery</v>
      </c>
      <c r="M463" s="10" t="str">
        <f t="shared" si="3"/>
        <v>Yes</v>
      </c>
    </row>
    <row r="464">
      <c r="A464" s="4" t="str">
        <f>IFERROR(__xludf.DUMMYFUNCTION("vlookup(C464,IMPORTRANGE(""1Kgoo8qyo6zMtf_5B03ksZz228jg0XpZ4_KXsdHQ4Vks"",""14 Sept!A:B""),2,0)"),"DME2977")</f>
        <v>DME2977</v>
      </c>
      <c r="B464" s="5" t="str">
        <f>IFERROR(__xludf.DUMMYFUNCTION("""COMPUTED_VALUE"""),"Kajal Pawar")</f>
        <v>Kajal Pawar</v>
      </c>
      <c r="C464" s="5" t="str">
        <f>IFERROR(__xludf.DUMMYFUNCTION("""COMPUTED_VALUE"""),"kajal.pawar@onixnet.com")</f>
        <v>kajal.pawar@onixnet.com</v>
      </c>
      <c r="D464" s="4" t="s">
        <v>11</v>
      </c>
      <c r="E464" s="6" t="str">
        <f>IFERROR(__xludf.DUMMYFUNCTION("vlookup($A464,importrange(""1fyGnaViAX9kns28pvsfPvI9925sAI7kxPlM7jpuHVJM"",""Validation!A:Z""),11,0)"),"Delivery Services")</f>
        <v>Delivery Services</v>
      </c>
      <c r="F464" s="6" t="str">
        <f>IFERROR(__xludf.DUMMYFUNCTION("vlookup($A464,importrange(""1fyGnaViAX9kns28pvsfPvI9925sAI7kxPlM7jpuHVJM"",""Validation!A:Z""),23,0)"),"Sushant Gadiwan")</f>
        <v>Sushant Gadiwan</v>
      </c>
      <c r="G464" s="6" t="str">
        <f>IFERROR(__xludf.DUMMYFUNCTION("vlookup(A464,importrange(""1fyGnaViAX9kns28pvsfPvI9925sAI7kxPlM7jpuHVJM"",""Validation!A:Z""),22,0)"),"Cluster - Sagar")</f>
        <v>Cluster - Sagar</v>
      </c>
      <c r="H464" s="4" t="str">
        <f>IFERROR(__xludf.DUMMYFUNCTION("vlookup(C464,importrange(""1kw74ismGU34AsZ5x-W4x7F3Zt2xc8NSYcCVMrCJBmdQ"",""DRP for 8 products!B:C""),2,0)"),"ONIKPBPW2")</f>
        <v>ONIKPBPW2</v>
      </c>
      <c r="I464" s="7">
        <f>IFERROR(__xludf.DUMMYFUNCTION("vlookup(C464,importrange(""1kw74ismGU34AsZ5x-W4x7F3Zt2xc8NSYcCVMrCJBmdQ"",""DRP for 8 products!B:E""),4,0)"),21.0)</f>
        <v>21</v>
      </c>
      <c r="J464" s="8" t="str">
        <f t="shared" si="1"/>
        <v>Tier 3</v>
      </c>
      <c r="K464" s="9" t="str">
        <f t="shared" si="2"/>
        <v>Active</v>
      </c>
      <c r="L464" s="4" t="str">
        <f>IFERROR(__xludf.DUMMYFUNCTION("vlookup(C464,importrange(""1kw74ismGU34AsZ5x-W4x7F3Zt2xc8NSYcCVMrCJBmdQ"",""DRP for 8 products!B:H""),6,0)"),"BigQuery")</f>
        <v>BigQuery</v>
      </c>
      <c r="M464" s="10" t="str">
        <f t="shared" si="3"/>
        <v>Yes</v>
      </c>
    </row>
    <row r="465">
      <c r="A465" s="4" t="str">
        <f>IFERROR(__xludf.DUMMYFUNCTION("vlookup(C465,IMPORTRANGE(""1Kgoo8qyo6zMtf_5B03ksZz228jg0XpZ4_KXsdHQ4Vks"",""14 Sept!A:B""),2,0)"),"DME2721")</f>
        <v>DME2721</v>
      </c>
      <c r="B465" s="5" t="str">
        <f>IFERROR(__xludf.DUMMYFUNCTION("""COMPUTED_VALUE"""),"Rajnandini Kandikatla")</f>
        <v>Rajnandini Kandikatla</v>
      </c>
      <c r="C465" s="5" t="str">
        <f>IFERROR(__xludf.DUMMYFUNCTION("""COMPUTED_VALUE"""),"rajnandini.k@onixnet.com")</f>
        <v>rajnandini.k@onixnet.com</v>
      </c>
      <c r="D465" s="4" t="s">
        <v>11</v>
      </c>
      <c r="E465" s="6" t="str">
        <f>IFERROR(__xludf.DUMMYFUNCTION("vlookup($A465,importrange(""1fyGnaViAX9kns28pvsfPvI9925sAI7kxPlM7jpuHVJM"",""Validation!A:Z""),11,0)"),"Delivery Services")</f>
        <v>Delivery Services</v>
      </c>
      <c r="F465" s="6" t="str">
        <f>IFERROR(__xludf.DUMMYFUNCTION("vlookup($A465,importrange(""1fyGnaViAX9kns28pvsfPvI9925sAI7kxPlM7jpuHVJM"",""Validation!A:Z""),23,0)"),"Priyanka Jain")</f>
        <v>Priyanka Jain</v>
      </c>
      <c r="G465" s="6" t="str">
        <f>IFERROR(__xludf.DUMMYFUNCTION("vlookup(A465,importrange(""1fyGnaViAX9kns28pvsfPvI9925sAI7kxPlM7jpuHVJM"",""Validation!A:Z""),22,0)"),"Cluster - Sagar")</f>
        <v>Cluster - Sagar</v>
      </c>
      <c r="H465" s="4" t="str">
        <f>IFERROR(__xludf.DUMMYFUNCTION("vlookup(C465,importrange(""1kw74ismGU34AsZ5x-W4x7F3Zt2xc8NSYcCVMrCJBmdQ"",""DRP for 8 products!B:C""),2,0)"),"ONIRKFED1")</f>
        <v>ONIRKFED1</v>
      </c>
      <c r="I465" s="7">
        <f>IFERROR(__xludf.DUMMYFUNCTION("vlookup(C465,importrange(""1kw74ismGU34AsZ5x-W4x7F3Zt2xc8NSYcCVMrCJBmdQ"",""DRP for 8 products!B:E""),4,0)"),52.0)</f>
        <v>52</v>
      </c>
      <c r="J465" s="8" t="str">
        <f t="shared" si="1"/>
        <v>Tier 1</v>
      </c>
      <c r="K465" s="9" t="str">
        <f t="shared" si="2"/>
        <v>Active</v>
      </c>
      <c r="L465" s="4" t="str">
        <f>IFERROR(__xludf.DUMMYFUNCTION("vlookup(C465,importrange(""1kw74ismGU34AsZ5x-W4x7F3Zt2xc8NSYcCVMrCJBmdQ"",""DRP for 8 products!B:H""),6,0)"),"BigQuery")</f>
        <v>BigQuery</v>
      </c>
      <c r="M465" s="10" t="str">
        <f t="shared" si="3"/>
        <v>Yes</v>
      </c>
    </row>
    <row r="466">
      <c r="A466" s="4" t="str">
        <f>IFERROR(__xludf.DUMMYFUNCTION("vlookup(C466,IMPORTRANGE(""1Kgoo8qyo6zMtf_5B03ksZz228jg0XpZ4_KXsdHQ4Vks"",""14 Sept!A:B""),2,0)"),"DME1403")</f>
        <v>DME1403</v>
      </c>
      <c r="B466" s="5" t="str">
        <f>IFERROR(__xludf.DUMMYFUNCTION("""COMPUTED_VALUE"""),"Rushikesh Chavanda")</f>
        <v>Rushikesh Chavanda</v>
      </c>
      <c r="C466" s="5" t="str">
        <f>IFERROR(__xludf.DUMMYFUNCTION("""COMPUTED_VALUE"""),"rushikesh.chavanda@onixnet.com")</f>
        <v>rushikesh.chavanda@onixnet.com</v>
      </c>
      <c r="D466" s="4" t="s">
        <v>11</v>
      </c>
      <c r="E466" s="6" t="str">
        <f>IFERROR(__xludf.DUMMYFUNCTION("vlookup($A466,importrange(""1fyGnaViAX9kns28pvsfPvI9925sAI7kxPlM7jpuHVJM"",""Validation!A:Z""),11,0)"),"Delivery Services")</f>
        <v>Delivery Services</v>
      </c>
      <c r="F466" s="6" t="str">
        <f>IFERROR(__xludf.DUMMYFUNCTION("vlookup($A466,importrange(""1fyGnaViAX9kns28pvsfPvI9925sAI7kxPlM7jpuHVJM"",""Validation!A:Z""),23,0)"),"Pooja Chawda")</f>
        <v>Pooja Chawda</v>
      </c>
      <c r="G466" s="6" t="str">
        <f>IFERROR(__xludf.DUMMYFUNCTION("vlookup(A466,importrange(""1fyGnaViAX9kns28pvsfPvI9925sAI7kxPlM7jpuHVJM"",""Validation!A:Z""),22,0)"),"Cluster - Sandeep")</f>
        <v>Cluster - Sandeep</v>
      </c>
      <c r="H466" s="4" t="str">
        <f>IFERROR(__xludf.DUMMYFUNCTION("vlookup(C466,importrange(""1kw74ismGU34AsZ5x-W4x7F3Zt2xc8NSYcCVMrCJBmdQ"",""DRP for 8 products!B:C""),2,0)"),"ONIRCJFS6")</f>
        <v>ONIRCJFS6</v>
      </c>
      <c r="I466" s="7">
        <f>IFERROR(__xludf.DUMMYFUNCTION("vlookup(C466,importrange(""1kw74ismGU34AsZ5x-W4x7F3Zt2xc8NSYcCVMrCJBmdQ"",""DRP for 8 products!B:E""),4,0)"),7.0)</f>
        <v>7</v>
      </c>
      <c r="J466" s="8" t="str">
        <f t="shared" si="1"/>
        <v>Tier 4</v>
      </c>
      <c r="K466" s="9" t="str">
        <f t="shared" si="2"/>
        <v>Active</v>
      </c>
      <c r="L466" s="4" t="str">
        <f>IFERROR(__xludf.DUMMYFUNCTION("vlookup(C466,importrange(""1kw74ismGU34AsZ5x-W4x7F3Zt2xc8NSYcCVMrCJBmdQ"",""DRP for 8 products!B:H""),6,0)"),"BigQuery")</f>
        <v>BigQuery</v>
      </c>
      <c r="M466" s="10" t="str">
        <f t="shared" si="3"/>
        <v>Yes</v>
      </c>
    </row>
    <row r="467">
      <c r="A467" s="4" t="str">
        <f>IFERROR(__xludf.DUMMYFUNCTION("vlookup(C467,IMPORTRANGE(""1Kgoo8qyo6zMtf_5B03ksZz228jg0XpZ4_KXsdHQ4Vks"",""14 Sept!A:B""),2,0)"),"DMC1207")</f>
        <v>DMC1207</v>
      </c>
      <c r="B467" s="5" t="str">
        <f>IFERROR(__xludf.DUMMYFUNCTION("""COMPUTED_VALUE"""),"Ankit Babrule")</f>
        <v>Ankit Babrule</v>
      </c>
      <c r="C467" s="5" t="str">
        <f>IFERROR(__xludf.DUMMYFUNCTION("""COMPUTED_VALUE"""),"ankit.babrule@onixnet.us")</f>
        <v>ankit.babrule@onixnet.us</v>
      </c>
      <c r="D467" s="4" t="s">
        <v>11</v>
      </c>
      <c r="E467" s="6" t="str">
        <f>IFERROR(__xludf.DUMMYFUNCTION("vlookup($A467,importrange(""1fyGnaViAX9kns28pvsfPvI9925sAI7kxPlM7jpuHVJM"",""Validation!A:Z""),11,0)"),"Corporate Operations")</f>
        <v>Corporate Operations</v>
      </c>
      <c r="F467" s="6" t="str">
        <f>IFERROR(__xludf.DUMMYFUNCTION("vlookup($A467,importrange(""1fyGnaViAX9kns28pvsfPvI9925sAI7kxPlM7jpuHVJM"",""Validation!A:Z""),23,0)"),"Nikhil Ashok Shelke")</f>
        <v>Nikhil Ashok Shelke</v>
      </c>
      <c r="G467" s="6" t="str">
        <f>IFERROR(__xludf.DUMMYFUNCTION("vlookup(A467,importrange(""1fyGnaViAX9kns28pvsfPvI9925sAI7kxPlM7jpuHVJM"",""Validation!A:Z""),22,0)"),"Cluster - Bishakha")</f>
        <v>Cluster - Bishakha</v>
      </c>
      <c r="H467" s="4" t="str">
        <f>IFERROR(__xludf.DUMMYFUNCTION("vlookup(C467,importrange(""1kw74ismGU34AsZ5x-W4x7F3Zt2xc8NSYcCVMrCJBmdQ"",""DRP for 8 products!B:C""),2,0)"),"ONIABRSJ3")</f>
        <v>ONIABRSJ3</v>
      </c>
      <c r="I467" s="7">
        <f>IFERROR(__xludf.DUMMYFUNCTION("vlookup(C467,importrange(""1kw74ismGU34AsZ5x-W4x7F3Zt2xc8NSYcCVMrCJBmdQ"",""DRP for 8 products!B:E""),4,0)"),41.0)</f>
        <v>41</v>
      </c>
      <c r="J467" s="8" t="str">
        <f t="shared" si="1"/>
        <v>Tier 2</v>
      </c>
      <c r="K467" s="9" t="str">
        <f t="shared" si="2"/>
        <v>Active</v>
      </c>
      <c r="L467" s="4" t="str">
        <f>IFERROR(__xludf.DUMMYFUNCTION("vlookup(C467,importrange(""1kw74ismGU34AsZ5x-W4x7F3Zt2xc8NSYcCVMrCJBmdQ"",""DRP for 8 products!B:H""),6,0)"),"BigQuery")</f>
        <v>BigQuery</v>
      </c>
      <c r="M467" s="10" t="str">
        <f t="shared" si="3"/>
        <v>Yes</v>
      </c>
    </row>
    <row r="468">
      <c r="A468" s="4" t="str">
        <f>IFERROR(__xludf.DUMMYFUNCTION("vlookup(C468,IMPORTRANGE(""1Kgoo8qyo6zMtf_5B03ksZz228jg0XpZ4_KXsdHQ4Vks"",""14 Sept!A:B""),2,0)"),"DMC1208")</f>
        <v>DMC1208</v>
      </c>
      <c r="B468" s="5" t="str">
        <f>IFERROR(__xludf.DUMMYFUNCTION("""COMPUTED_VALUE"""),"Vishnuvardhan Pathak")</f>
        <v>Vishnuvardhan Pathak</v>
      </c>
      <c r="C468" s="5" t="str">
        <f>IFERROR(__xludf.DUMMYFUNCTION("""COMPUTED_VALUE"""),"vishnuvardhan.pathak@onixnet.us")</f>
        <v>vishnuvardhan.pathak@onixnet.us</v>
      </c>
      <c r="D468" s="4" t="s">
        <v>11</v>
      </c>
      <c r="E468" s="6" t="str">
        <f>IFERROR(__xludf.DUMMYFUNCTION("vlookup($A468,importrange(""1fyGnaViAX9kns28pvsfPvI9925sAI7kxPlM7jpuHVJM"",""Validation!A:Z""),11,0)"),"Delivery Services")</f>
        <v>Delivery Services</v>
      </c>
      <c r="F468" s="6" t="str">
        <f>IFERROR(__xludf.DUMMYFUNCTION("vlookup($A468,importrange(""1fyGnaViAX9kns28pvsfPvI9925sAI7kxPlM7jpuHVJM"",""Validation!A:Z""),23,0)"),"Mayur Tawhare")</f>
        <v>Mayur Tawhare</v>
      </c>
      <c r="G468" s="6" t="str">
        <f>IFERROR(__xludf.DUMMYFUNCTION("vlookup(A468,importrange(""1fyGnaViAX9kns28pvsfPvI9925sAI7kxPlM7jpuHVJM"",""Validation!A:Z""),22,0)"),"Cluster - Varun")</f>
        <v>Cluster - Varun</v>
      </c>
      <c r="H468" s="4" t="str">
        <f>IFERROR(__xludf.DUMMYFUNCTION("vlookup(C468,importrange(""1kw74ismGU34AsZ5x-W4x7F3Zt2xc8NSYcCVMrCJBmdQ"",""DRP for 8 products!B:C""),2,0)"),"ONIVPSJY1")</f>
        <v>ONIVPSJY1</v>
      </c>
      <c r="I468" s="7">
        <f>IFERROR(__xludf.DUMMYFUNCTION("vlookup(C468,importrange(""1kw74ismGU34AsZ5x-W4x7F3Zt2xc8NSYcCVMrCJBmdQ"",""DRP for 8 products!B:E""),4,0)"),5.0)</f>
        <v>5</v>
      </c>
      <c r="J468" s="8" t="str">
        <f t="shared" si="1"/>
        <v>Tier 4</v>
      </c>
      <c r="K468" s="9" t="str">
        <f t="shared" si="2"/>
        <v>Active</v>
      </c>
      <c r="L468" s="4" t="str">
        <f>IFERROR(__xludf.DUMMYFUNCTION("vlookup(C468,importrange(""1kw74ismGU34AsZ5x-W4x7F3Zt2xc8NSYcCVMrCJBmdQ"",""DRP for 8 products!B:H""),6,0)"),"Cloud SQL")</f>
        <v>Cloud SQL</v>
      </c>
      <c r="M468" s="10" t="str">
        <f t="shared" si="3"/>
        <v>Yes</v>
      </c>
    </row>
    <row r="469">
      <c r="A469" s="4" t="str">
        <f>IFERROR(__xludf.DUMMYFUNCTION("vlookup(C469,IMPORTRANGE(""1Kgoo8qyo6zMtf_5B03ksZz228jg0XpZ4_KXsdHQ4Vks"",""14 Sept!A:B""),2,0)"),"DME3299")</f>
        <v>DME3299</v>
      </c>
      <c r="B469" s="5" t="str">
        <f>IFERROR(__xludf.DUMMYFUNCTION("""COMPUTED_VALUE"""),"kalyani gaware")</f>
        <v>kalyani gaware</v>
      </c>
      <c r="C469" s="5" t="str">
        <f>IFERROR(__xludf.DUMMYFUNCTION("""COMPUTED_VALUE"""),"kalyani.gaware@onixnet.com")</f>
        <v>kalyani.gaware@onixnet.com</v>
      </c>
      <c r="D469" s="4" t="s">
        <v>11</v>
      </c>
      <c r="E469" s="6" t="str">
        <f>IFERROR(__xludf.DUMMYFUNCTION("vlookup($A469,importrange(""1fyGnaViAX9kns28pvsfPvI9925sAI7kxPlM7jpuHVJM"",""Validation!A:Z""),11,0)"),"Delivery Services")</f>
        <v>Delivery Services</v>
      </c>
      <c r="F469" s="6" t="str">
        <f>IFERROR(__xludf.DUMMYFUNCTION("vlookup($A469,importrange(""1fyGnaViAX9kns28pvsfPvI9925sAI7kxPlM7jpuHVJM"",""Validation!A:Z""),23,0)"),"Vedant Bhogawade")</f>
        <v>Vedant Bhogawade</v>
      </c>
      <c r="G469" s="6" t="str">
        <f>IFERROR(__xludf.DUMMYFUNCTION("vlookup(A469,importrange(""1fyGnaViAX9kns28pvsfPvI9925sAI7kxPlM7jpuHVJM"",""Validation!A:Z""),22,0)"),"Cluster - Varun")</f>
        <v>Cluster - Varun</v>
      </c>
      <c r="H469" s="4" t="str">
        <f>IFERROR(__xludf.DUMMYFUNCTION("vlookup(C469,importrange(""1kw74ismGU34AsZ5x-W4x7F3Zt2xc8NSYcCVMrCJBmdQ"",""DRP for 8 products!B:C""),2,0)"),"ONIKGMAN6")</f>
        <v>ONIKGMAN6</v>
      </c>
      <c r="I469" s="7">
        <f>IFERROR(__xludf.DUMMYFUNCTION("vlookup(C469,importrange(""1kw74ismGU34AsZ5x-W4x7F3Zt2xc8NSYcCVMrCJBmdQ"",""DRP for 8 products!B:E""),4,0)"),10.0)</f>
        <v>10</v>
      </c>
      <c r="J469" s="8" t="str">
        <f t="shared" si="1"/>
        <v>Tier 4</v>
      </c>
      <c r="K469" s="9" t="str">
        <f t="shared" si="2"/>
        <v>Active</v>
      </c>
      <c r="L469" s="4" t="str">
        <f>IFERROR(__xludf.DUMMYFUNCTION("vlookup(C469,importrange(""1kw74ismGU34AsZ5x-W4x7F3Zt2xc8NSYcCVMrCJBmdQ"",""DRP for 8 products!B:H""),6,0)"),"BigQuery")</f>
        <v>BigQuery</v>
      </c>
      <c r="M469" s="10" t="str">
        <f t="shared" si="3"/>
        <v>Yes</v>
      </c>
    </row>
    <row r="470">
      <c r="A470" s="4" t="str">
        <f>IFERROR(__xludf.DUMMYFUNCTION("vlookup(C470,IMPORTRANGE(""1Kgoo8qyo6zMtf_5B03ksZz228jg0XpZ4_KXsdHQ4Vks"",""14 Sept!A:B""),2,0)"),"DME2400")</f>
        <v>DME2400</v>
      </c>
      <c r="B470" s="5" t="str">
        <f>IFERROR(__xludf.DUMMYFUNCTION("""COMPUTED_VALUE"""),"Sanjay Pradhan")</f>
        <v>Sanjay Pradhan</v>
      </c>
      <c r="C470" s="5" t="str">
        <f>IFERROR(__xludf.DUMMYFUNCTION("""COMPUTED_VALUE"""),"sanjay.pradhan@onixnet.com")</f>
        <v>sanjay.pradhan@onixnet.com</v>
      </c>
      <c r="D470" s="4" t="s">
        <v>11</v>
      </c>
      <c r="E470" s="6" t="str">
        <f>IFERROR(__xludf.DUMMYFUNCTION("vlookup($A470,importrange(""1fyGnaViAX9kns28pvsfPvI9925sAI7kxPlM7jpuHVJM"",""Validation!A:Z""),11,0)"),"Delivery Services")</f>
        <v>Delivery Services</v>
      </c>
      <c r="F470" s="6" t="str">
        <f>IFERROR(__xludf.DUMMYFUNCTION("vlookup($A470,importrange(""1fyGnaViAX9kns28pvsfPvI9925sAI7kxPlM7jpuHVJM"",""Validation!A:Z""),23,0)"),"Jitender Singh")</f>
        <v>Jitender Singh</v>
      </c>
      <c r="G470" s="6" t="str">
        <f>IFERROR(__xludf.DUMMYFUNCTION("vlookup(A470,importrange(""1fyGnaViAX9kns28pvsfPvI9925sAI7kxPlM7jpuHVJM"",""Validation!A:Z""),22,0)"),"Cluster - Gaurav")</f>
        <v>Cluster - Gaurav</v>
      </c>
      <c r="H470" s="4" t="str">
        <f>IFERROR(__xludf.DUMMYFUNCTION("vlookup(C470,importrange(""1kw74ismGU34AsZ5x-W4x7F3Zt2xc8NSYcCVMrCJBmdQ"",""DRP for 8 products!B:C""),2,0)"),"ONISPLCJ2")</f>
        <v>ONISPLCJ2</v>
      </c>
      <c r="I470" s="7">
        <f>IFERROR(__xludf.DUMMYFUNCTION("vlookup(C470,importrange(""1kw74ismGU34AsZ5x-W4x7F3Zt2xc8NSYcCVMrCJBmdQ"",""DRP for 8 products!B:E""),4,0)"),13.0)</f>
        <v>13</v>
      </c>
      <c r="J470" s="8" t="str">
        <f t="shared" si="1"/>
        <v>Tier 4</v>
      </c>
      <c r="K470" s="9" t="str">
        <f t="shared" si="2"/>
        <v>Active</v>
      </c>
      <c r="L470" s="4" t="str">
        <f>IFERROR(__xludf.DUMMYFUNCTION("vlookup(C470,importrange(""1kw74ismGU34AsZ5x-W4x7F3Zt2xc8NSYcCVMrCJBmdQ"",""DRP for 8 products!B:H""),6,0)"),"BigQuery")</f>
        <v>BigQuery</v>
      </c>
      <c r="M470" s="10" t="str">
        <f t="shared" si="3"/>
        <v>Yes</v>
      </c>
    </row>
    <row r="471">
      <c r="A471" s="4" t="str">
        <f>IFERROR(__xludf.DUMMYFUNCTION("vlookup(C471,IMPORTRANGE(""1Kgoo8qyo6zMtf_5B03ksZz228jg0XpZ4_KXsdHQ4Vks"",""14 Sept!A:B""),2,0)"),"DME2603")</f>
        <v>DME2603</v>
      </c>
      <c r="B471" s="5" t="str">
        <f>IFERROR(__xludf.DUMMYFUNCTION("""COMPUTED_VALUE"""),"hemanth kolluru")</f>
        <v>hemanth kolluru</v>
      </c>
      <c r="C471" s="5" t="str">
        <f>IFERROR(__xludf.DUMMYFUNCTION("""COMPUTED_VALUE"""),"hemanth.kolluru@onixnet.com")</f>
        <v>hemanth.kolluru@onixnet.com</v>
      </c>
      <c r="D471" s="4" t="s">
        <v>11</v>
      </c>
      <c r="E471" s="6" t="str">
        <f>IFERROR(__xludf.DUMMYFUNCTION("vlookup($A471,importrange(""1fyGnaViAX9kns28pvsfPvI9925sAI7kxPlM7jpuHVJM"",""Validation!A:Z""),11,0)"),"Delivery Services")</f>
        <v>Delivery Services</v>
      </c>
      <c r="F471" s="6" t="str">
        <f>IFERROR(__xludf.DUMMYFUNCTION("vlookup($A471,importrange(""1fyGnaViAX9kns28pvsfPvI9925sAI7kxPlM7jpuHVJM"",""Validation!A:Z""),23,0)"),"Rahul Gupta")</f>
        <v>Rahul Gupta</v>
      </c>
      <c r="G471" s="6" t="str">
        <f>IFERROR(__xludf.DUMMYFUNCTION("vlookup(A471,importrange(""1fyGnaViAX9kns28pvsfPvI9925sAI7kxPlM7jpuHVJM"",""Validation!A:Z""),22,0)"),"Cluster - Sachin")</f>
        <v>Cluster - Sachin</v>
      </c>
      <c r="H471" s="4" t="str">
        <f>IFERROR(__xludf.DUMMYFUNCTION("vlookup(C471,importrange(""1kw74ismGU34AsZ5x-W4x7F3Zt2xc8NSYcCVMrCJBmdQ"",""DRP for 8 products!B:C""),2,0)"),"ONIHKLWU2")</f>
        <v>ONIHKLWU2</v>
      </c>
      <c r="I471" s="7">
        <f>IFERROR(__xludf.DUMMYFUNCTION("vlookup(C471,importrange(""1kw74ismGU34AsZ5x-W4x7F3Zt2xc8NSYcCVMrCJBmdQ"",""DRP for 8 products!B:E""),4,0)"),54.0)</f>
        <v>54</v>
      </c>
      <c r="J471" s="8" t="str">
        <f t="shared" si="1"/>
        <v>Tier 1</v>
      </c>
      <c r="K471" s="9" t="str">
        <f t="shared" si="2"/>
        <v>Active</v>
      </c>
      <c r="L471" s="4" t="str">
        <f>IFERROR(__xludf.DUMMYFUNCTION("vlookup(C471,importrange(""1kw74ismGU34AsZ5x-W4x7F3Zt2xc8NSYcCVMrCJBmdQ"",""DRP for 8 products!B:H""),6,0)"),"BigQuery")</f>
        <v>BigQuery</v>
      </c>
      <c r="M471" s="10" t="str">
        <f t="shared" si="3"/>
        <v>Yes</v>
      </c>
    </row>
    <row r="472">
      <c r="A472" s="4" t="str">
        <f>IFERROR(__xludf.DUMMYFUNCTION("vlookup(C472,IMPORTRANGE(""1Kgoo8qyo6zMtf_5B03ksZz228jg0XpZ4_KXsdHQ4Vks"",""14 Sept!A:B""),2,0)"),"DME1553")</f>
        <v>DME1553</v>
      </c>
      <c r="B472" s="5" t="str">
        <f>IFERROR(__xludf.DUMMYFUNCTION("""COMPUTED_VALUE"""),"Abhishek Naik")</f>
        <v>Abhishek Naik</v>
      </c>
      <c r="C472" s="5" t="str">
        <f>IFERROR(__xludf.DUMMYFUNCTION("""COMPUTED_VALUE"""),"abhishek.naik@onixnet.com")</f>
        <v>abhishek.naik@onixnet.com</v>
      </c>
      <c r="D472" s="4" t="s">
        <v>11</v>
      </c>
      <c r="E472" s="6" t="str">
        <f>IFERROR(__xludf.DUMMYFUNCTION("vlookup($A472,importrange(""1fyGnaViAX9kns28pvsfPvI9925sAI7kxPlM7jpuHVJM"",""Validation!A:Z""),11,0)"),"Delivery Services")</f>
        <v>Delivery Services</v>
      </c>
      <c r="F472" s="6" t="str">
        <f>IFERROR(__xludf.DUMMYFUNCTION("vlookup($A472,importrange(""1fyGnaViAX9kns28pvsfPvI9925sAI7kxPlM7jpuHVJM"",""Validation!A:Z""),23,0)"),"Amit Malav")</f>
        <v>Amit Malav</v>
      </c>
      <c r="G472" s="6" t="str">
        <f>IFERROR(__xludf.DUMMYFUNCTION("vlookup(A472,importrange(""1fyGnaViAX9kns28pvsfPvI9925sAI7kxPlM7jpuHVJM"",""Validation!A:Z""),22,0)"),"Cluster - Gaurav")</f>
        <v>Cluster - Gaurav</v>
      </c>
      <c r="H472" s="4" t="str">
        <f>IFERROR(__xludf.DUMMYFUNCTION("vlookup(C472,importrange(""1kw74ismGU34AsZ5x-W4x7F3Zt2xc8NSYcCVMrCJBmdQ"",""DRP for 8 products!B:C""),2,0)"),"ONIANMNI2")</f>
        <v>ONIANMNI2</v>
      </c>
      <c r="I472" s="7">
        <f>IFERROR(__xludf.DUMMYFUNCTION("vlookup(C472,importrange(""1kw74ismGU34AsZ5x-W4x7F3Zt2xc8NSYcCVMrCJBmdQ"",""DRP for 8 products!B:E""),4,0)"),10.0)</f>
        <v>10</v>
      </c>
      <c r="J472" s="8" t="str">
        <f t="shared" si="1"/>
        <v>Tier 4</v>
      </c>
      <c r="K472" s="9" t="str">
        <f t="shared" si="2"/>
        <v>Active</v>
      </c>
      <c r="L472" s="4" t="str">
        <f>IFERROR(__xludf.DUMMYFUNCTION("vlookup(C472,importrange(""1kw74ismGU34AsZ5x-W4x7F3Zt2xc8NSYcCVMrCJBmdQ"",""DRP for 8 products!B:H""),6,0)"),"BigQuery")</f>
        <v>BigQuery</v>
      </c>
      <c r="M472" s="10" t="str">
        <f t="shared" si="3"/>
        <v>Yes</v>
      </c>
    </row>
    <row r="473">
      <c r="A473" s="4" t="str">
        <f>IFERROR(__xludf.DUMMYFUNCTION("vlookup(C473,IMPORTRANGE(""1Kgoo8qyo6zMtf_5B03ksZz228jg0XpZ4_KXsdHQ4Vks"",""14 Sept!A:B""),2,0)"),"DME2728")</f>
        <v>DME2728</v>
      </c>
      <c r="B473" s="5" t="str">
        <f>IFERROR(__xludf.DUMMYFUNCTION("""COMPUTED_VALUE"""),"Nadeem Akhtar")</f>
        <v>Nadeem Akhtar</v>
      </c>
      <c r="C473" s="5" t="str">
        <f>IFERROR(__xludf.DUMMYFUNCTION("""COMPUTED_VALUE"""),"nadeem.akhtar@onixnet.com")</f>
        <v>nadeem.akhtar@onixnet.com</v>
      </c>
      <c r="D473" s="4" t="s">
        <v>11</v>
      </c>
      <c r="E473" s="6" t="str">
        <f>IFERROR(__xludf.DUMMYFUNCTION("vlookup($A473,importrange(""1fyGnaViAX9kns28pvsfPvI9925sAI7kxPlM7jpuHVJM"",""Validation!A:Z""),11,0)"),"Delivery Services")</f>
        <v>Delivery Services</v>
      </c>
      <c r="F473" s="6" t="str">
        <f>IFERROR(__xludf.DUMMYFUNCTION("vlookup($A473,importrange(""1fyGnaViAX9kns28pvsfPvI9925sAI7kxPlM7jpuHVJM"",""Validation!A:Z""),23,0)"),"Sneha Bhatambrekar")</f>
        <v>Sneha Bhatambrekar</v>
      </c>
      <c r="G473" s="6" t="str">
        <f>IFERROR(__xludf.DUMMYFUNCTION("vlookup(A473,importrange(""1fyGnaViAX9kns28pvsfPvI9925sAI7kxPlM7jpuHVJM"",""Validation!A:Z""),22,0)"),"Cluster - Sandeep")</f>
        <v>Cluster - Sandeep</v>
      </c>
      <c r="H473" s="4" t="str">
        <f>IFERROR(__xludf.DUMMYFUNCTION("vlookup(C473,importrange(""1kw74ismGU34AsZ5x-W4x7F3Zt2xc8NSYcCVMrCJBmdQ"",""DRP for 8 products!B:C""),2,0)"),"ONINAZET3")</f>
        <v>ONINAZET3</v>
      </c>
      <c r="I473" s="7">
        <f>IFERROR(__xludf.DUMMYFUNCTION("vlookup(C473,importrange(""1kw74ismGU34AsZ5x-W4x7F3Zt2xc8NSYcCVMrCJBmdQ"",""DRP for 8 products!B:E""),4,0)"),9.0)</f>
        <v>9</v>
      </c>
      <c r="J473" s="8" t="str">
        <f t="shared" si="1"/>
        <v>Tier 4</v>
      </c>
      <c r="K473" s="9" t="str">
        <f t="shared" si="2"/>
        <v>Active</v>
      </c>
      <c r="L473" s="4" t="str">
        <f>IFERROR(__xludf.DUMMYFUNCTION("vlookup(C473,importrange(""1kw74ismGU34AsZ5x-W4x7F3Zt2xc8NSYcCVMrCJBmdQ"",""DRP for 8 products!B:H""),6,0)"),"BigQuery")</f>
        <v>BigQuery</v>
      </c>
      <c r="M473" s="10" t="str">
        <f t="shared" si="3"/>
        <v>Yes</v>
      </c>
    </row>
    <row r="474">
      <c r="A474" s="4" t="str">
        <f>IFERROR(__xludf.DUMMYFUNCTION("vlookup(C474,IMPORTRANGE(""1Kgoo8qyo6zMtf_5B03ksZz228jg0XpZ4_KXsdHQ4Vks"",""14 Sept!A:B""),2,0)"),"DME1079")</f>
        <v>DME1079</v>
      </c>
      <c r="B474" s="5" t="str">
        <f>IFERROR(__xludf.DUMMYFUNCTION("""COMPUTED_VALUE"""),"Kiran Patharkar")</f>
        <v>Kiran Patharkar</v>
      </c>
      <c r="C474" s="5" t="str">
        <f>IFERROR(__xludf.DUMMYFUNCTION("""COMPUTED_VALUE"""),"kiran.patharkar@onixnet.com")</f>
        <v>kiran.patharkar@onixnet.com</v>
      </c>
      <c r="D474" s="4" t="s">
        <v>11</v>
      </c>
      <c r="E474" s="6" t="str">
        <f>IFERROR(__xludf.DUMMYFUNCTION("vlookup($A474,importrange(""1fyGnaViAX9kns28pvsfPvI9925sAI7kxPlM7jpuHVJM"",""Validation!A:Z""),11,0)"),"Delivery Services")</f>
        <v>Delivery Services</v>
      </c>
      <c r="F474" s="6" t="str">
        <f>IFERROR(__xludf.DUMMYFUNCTION("vlookup($A474,importrange(""1fyGnaViAX9kns28pvsfPvI9925sAI7kxPlM7jpuHVJM"",""Validation!A:Z""),23,0)"),"Sneha Bhatambrekar")</f>
        <v>Sneha Bhatambrekar</v>
      </c>
      <c r="G474" s="6" t="str">
        <f>IFERROR(__xludf.DUMMYFUNCTION("vlookup(A474,importrange(""1fyGnaViAX9kns28pvsfPvI9925sAI7kxPlM7jpuHVJM"",""Validation!A:Z""),22,0)"),"Cluster - Sandeep")</f>
        <v>Cluster - Sandeep</v>
      </c>
      <c r="H474" s="4" t="str">
        <f>IFERROR(__xludf.DUMMYFUNCTION("vlookup(C474,importrange(""1kw74ismGU34AsZ5x-W4x7F3Zt2xc8NSYcCVMrCJBmdQ"",""DRP for 8 products!B:C""),2,0)"),"ONIKPUIK1")</f>
        <v>ONIKPUIK1</v>
      </c>
      <c r="I474" s="7">
        <f>IFERROR(__xludf.DUMMYFUNCTION("vlookup(C474,importrange(""1kw74ismGU34AsZ5x-W4x7F3Zt2xc8NSYcCVMrCJBmdQ"",""DRP for 8 products!B:E""),4,0)"),9.0)</f>
        <v>9</v>
      </c>
      <c r="J474" s="8" t="str">
        <f t="shared" si="1"/>
        <v>Tier 4</v>
      </c>
      <c r="K474" s="9" t="str">
        <f t="shared" si="2"/>
        <v>Active</v>
      </c>
      <c r="L474" s="4" t="str">
        <f>IFERROR(__xludf.DUMMYFUNCTION("vlookup(C474,importrange(""1kw74ismGU34AsZ5x-W4x7F3Zt2xc8NSYcCVMrCJBmdQ"",""DRP for 8 products!B:H""),6,0)"),"BigQuery")</f>
        <v>BigQuery</v>
      </c>
      <c r="M474" s="10" t="str">
        <f t="shared" si="3"/>
        <v>Yes</v>
      </c>
    </row>
    <row r="475">
      <c r="A475" s="4" t="str">
        <f>IFERROR(__xludf.DUMMYFUNCTION("vlookup(C475,IMPORTRANGE(""1Kgoo8qyo6zMtf_5B03ksZz228jg0XpZ4_KXsdHQ4Vks"",""14 Sept!A:B""),2,0)"),"DME3397")</f>
        <v>DME3397</v>
      </c>
      <c r="B475" s="5" t="str">
        <f>IFERROR(__xludf.DUMMYFUNCTION("""COMPUTED_VALUE"""),"Anjali Lakade")</f>
        <v>Anjali Lakade</v>
      </c>
      <c r="C475" s="5" t="str">
        <f>IFERROR(__xludf.DUMMYFUNCTION("""COMPUTED_VALUE"""),"anjali.lakade@onixnet.com")</f>
        <v>anjali.lakade@onixnet.com</v>
      </c>
      <c r="D475" s="4" t="s">
        <v>11</v>
      </c>
      <c r="E475" s="6" t="str">
        <f>IFERROR(__xludf.DUMMYFUNCTION("vlookup($A475,importrange(""1fyGnaViAX9kns28pvsfPvI9925sAI7kxPlM7jpuHVJM"",""Validation!A:Z""),11,0)"),"Delivery Services")</f>
        <v>Delivery Services</v>
      </c>
      <c r="F475" s="6" t="str">
        <f>IFERROR(__xludf.DUMMYFUNCTION("vlookup($A475,importrange(""1fyGnaViAX9kns28pvsfPvI9925sAI7kxPlM7jpuHVJM"",""Validation!A:Z""),23,0)"),"Sneha Bhatambrekar")</f>
        <v>Sneha Bhatambrekar</v>
      </c>
      <c r="G475" s="6" t="str">
        <f>IFERROR(__xludf.DUMMYFUNCTION("vlookup(A475,importrange(""1fyGnaViAX9kns28pvsfPvI9925sAI7kxPlM7jpuHVJM"",""Validation!A:Z""),22,0)"),"Cluster - Sandeep")</f>
        <v>Cluster - Sandeep</v>
      </c>
      <c r="H475" s="4" t="str">
        <f>IFERROR(__xludf.DUMMYFUNCTION("vlookup(C475,importrange(""1kw74ismGU34AsZ5x-W4x7F3Zt2xc8NSYcCVMrCJBmdQ"",""DRP for 8 products!B:C""),2,0)"),"ONIALZWH6")</f>
        <v>ONIALZWH6</v>
      </c>
      <c r="I475" s="7">
        <f>IFERROR(__xludf.DUMMYFUNCTION("vlookup(C475,importrange(""1kw74ismGU34AsZ5x-W4x7F3Zt2xc8NSYcCVMrCJBmdQ"",""DRP for 8 products!B:E""),4,0)"),10.0)</f>
        <v>10</v>
      </c>
      <c r="J475" s="8" t="str">
        <f t="shared" si="1"/>
        <v>Tier 4</v>
      </c>
      <c r="K475" s="9" t="str">
        <f t="shared" si="2"/>
        <v>Active</v>
      </c>
      <c r="L475" s="4" t="str">
        <f>IFERROR(__xludf.DUMMYFUNCTION("vlookup(C475,importrange(""1kw74ismGU34AsZ5x-W4x7F3Zt2xc8NSYcCVMrCJBmdQ"",""DRP for 8 products!B:H""),6,0)"),"BigQuery")</f>
        <v>BigQuery</v>
      </c>
      <c r="M475" s="10" t="str">
        <f t="shared" si="3"/>
        <v>Yes</v>
      </c>
    </row>
    <row r="476">
      <c r="A476" s="4" t="str">
        <f>IFERROR(__xludf.DUMMYFUNCTION("vlookup(C476,IMPORTRANGE(""1Kgoo8qyo6zMtf_5B03ksZz228jg0XpZ4_KXsdHQ4Vks"",""14 Sept!A:B""),2,0)"),"DME3305")</f>
        <v>DME3305</v>
      </c>
      <c r="B476" s="5" t="str">
        <f>IFERROR(__xludf.DUMMYFUNCTION("""COMPUTED_VALUE"""),"Rashmi S")</f>
        <v>Rashmi S</v>
      </c>
      <c r="C476" s="5" t="str">
        <f>IFERROR(__xludf.DUMMYFUNCTION("""COMPUTED_VALUE"""),"rashmi.s@onixnet.com")</f>
        <v>rashmi.s@onixnet.com</v>
      </c>
      <c r="D476" s="4" t="s">
        <v>11</v>
      </c>
      <c r="E476" s="6" t="str">
        <f>IFERROR(__xludf.DUMMYFUNCTION("vlookup($A476,importrange(""1fyGnaViAX9kns28pvsfPvI9925sAI7kxPlM7jpuHVJM"",""Validation!A:Z""),11,0)"),"Delivery Services")</f>
        <v>Delivery Services</v>
      </c>
      <c r="F476" s="6" t="str">
        <f>IFERROR(__xludf.DUMMYFUNCTION("vlookup($A476,importrange(""1fyGnaViAX9kns28pvsfPvI9925sAI7kxPlM7jpuHVJM"",""Validation!A:Z""),23,0)"),"Devayani Girish Pillai")</f>
        <v>Devayani Girish Pillai</v>
      </c>
      <c r="G476" s="6" t="str">
        <f>IFERROR(__xludf.DUMMYFUNCTION("vlookup(A476,importrange(""1fyGnaViAX9kns28pvsfPvI9925sAI7kxPlM7jpuHVJM"",""Validation!A:Z""),22,0)"),"Cluster - Devayani")</f>
        <v>Cluster - Devayani</v>
      </c>
      <c r="H476" s="4" t="str">
        <f>IFERROR(__xludf.DUMMYFUNCTION("vlookup(C476,importrange(""1kw74ismGU34AsZ5x-W4x7F3Zt2xc8NSYcCVMrCJBmdQ"",""DRP for 8 products!B:C""),2,0)"),"ONIRSAEX0")</f>
        <v>ONIRSAEX0</v>
      </c>
      <c r="I476" s="7">
        <f>IFERROR(__xludf.DUMMYFUNCTION("vlookup(C476,importrange(""1kw74ismGU34AsZ5x-W4x7F3Zt2xc8NSYcCVMrCJBmdQ"",""DRP for 8 products!B:E""),4,0)"),19.0)</f>
        <v>19</v>
      </c>
      <c r="J476" s="8" t="str">
        <f t="shared" si="1"/>
        <v>Tier 4</v>
      </c>
      <c r="K476" s="9" t="str">
        <f t="shared" si="2"/>
        <v>Active</v>
      </c>
      <c r="L476" s="4" t="str">
        <f>IFERROR(__xludf.DUMMYFUNCTION("vlookup(C476,importrange(""1kw74ismGU34AsZ5x-W4x7F3Zt2xc8NSYcCVMrCJBmdQ"",""DRP for 8 products!B:H""),6,0)"),"BigQuery")</f>
        <v>BigQuery</v>
      </c>
      <c r="M476" s="10" t="str">
        <f t="shared" si="3"/>
        <v>Yes</v>
      </c>
    </row>
    <row r="477">
      <c r="A477" s="4" t="str">
        <f>IFERROR(__xludf.DUMMYFUNCTION("vlookup(C477,IMPORTRANGE(""1Kgoo8qyo6zMtf_5B03ksZz228jg0XpZ4_KXsdHQ4Vks"",""14 Sept!A:B""),2,0)"),"DME3376")</f>
        <v>DME3376</v>
      </c>
      <c r="B477" s="5" t="str">
        <f>IFERROR(__xludf.DUMMYFUNCTION("""COMPUTED_VALUE"""),"Aditya Jadhav")</f>
        <v>Aditya Jadhav</v>
      </c>
      <c r="C477" s="5" t="str">
        <f>IFERROR(__xludf.DUMMYFUNCTION("""COMPUTED_VALUE"""),"aditya.jadhav@onixnet.com")</f>
        <v>aditya.jadhav@onixnet.com</v>
      </c>
      <c r="D477" s="4" t="s">
        <v>11</v>
      </c>
      <c r="E477" s="6" t="str">
        <f>IFERROR(__xludf.DUMMYFUNCTION("vlookup($A477,importrange(""1fyGnaViAX9kns28pvsfPvI9925sAI7kxPlM7jpuHVJM"",""Validation!A:Z""),11,0)"),"Delivery Services")</f>
        <v>Delivery Services</v>
      </c>
      <c r="F477" s="6" t="str">
        <f>IFERROR(__xludf.DUMMYFUNCTION("vlookup($A477,importrange(""1fyGnaViAX9kns28pvsfPvI9925sAI7kxPlM7jpuHVJM"",""Validation!A:Z""),23,0)"),"Sneha Bhatambrekar")</f>
        <v>Sneha Bhatambrekar</v>
      </c>
      <c r="G477" s="6" t="str">
        <f>IFERROR(__xludf.DUMMYFUNCTION("vlookup(A477,importrange(""1fyGnaViAX9kns28pvsfPvI9925sAI7kxPlM7jpuHVJM"",""Validation!A:Z""),22,0)"),"Cluster - Sandeep")</f>
        <v>Cluster - Sandeep</v>
      </c>
      <c r="H477" s="4" t="str">
        <f>IFERROR(__xludf.DUMMYFUNCTION("vlookup(C477,importrange(""1kw74ismGU34AsZ5x-W4x7F3Zt2xc8NSYcCVMrCJBmdQ"",""DRP for 8 products!B:C""),2,0)"),"ONIAJMMK2")</f>
        <v>ONIAJMMK2</v>
      </c>
      <c r="I477" s="7">
        <f>IFERROR(__xludf.DUMMYFUNCTION("vlookup(C477,importrange(""1kw74ismGU34AsZ5x-W4x7F3Zt2xc8NSYcCVMrCJBmdQ"",""DRP for 8 products!B:E""),4,0)"),10.0)</f>
        <v>10</v>
      </c>
      <c r="J477" s="8" t="str">
        <f t="shared" si="1"/>
        <v>Tier 4</v>
      </c>
      <c r="K477" s="9" t="str">
        <f t="shared" si="2"/>
        <v>Active</v>
      </c>
      <c r="L477" s="4" t="str">
        <f>IFERROR(__xludf.DUMMYFUNCTION("vlookup(C477,importrange(""1kw74ismGU34AsZ5x-W4x7F3Zt2xc8NSYcCVMrCJBmdQ"",""DRP for 8 products!B:H""),6,0)"),"BigQuery")</f>
        <v>BigQuery</v>
      </c>
      <c r="M477" s="10" t="str">
        <f t="shared" si="3"/>
        <v>Yes</v>
      </c>
    </row>
    <row r="478">
      <c r="A478" s="4" t="str">
        <f>IFERROR(__xludf.DUMMYFUNCTION("vlookup(C478,IMPORTRANGE(""1Kgoo8qyo6zMtf_5B03ksZz228jg0XpZ4_KXsdHQ4Vks"",""14 Sept!A:B""),2,0)"),"DME3135")</f>
        <v>DME3135</v>
      </c>
      <c r="B478" s="5" t="str">
        <f>IFERROR(__xludf.DUMMYFUNCTION("""COMPUTED_VALUE"""),"Gauri Pawar")</f>
        <v>Gauri Pawar</v>
      </c>
      <c r="C478" s="5" t="str">
        <f>IFERROR(__xludf.DUMMYFUNCTION("""COMPUTED_VALUE"""),"gauri.pawar@onixnet.com")</f>
        <v>gauri.pawar@onixnet.com</v>
      </c>
      <c r="D478" s="4" t="s">
        <v>11</v>
      </c>
      <c r="E478" s="6" t="str">
        <f>IFERROR(__xludf.DUMMYFUNCTION("vlookup($A478,importrange(""1fyGnaViAX9kns28pvsfPvI9925sAI7kxPlM7jpuHVJM"",""Validation!A:Z""),11,0)"),"Delivery Services")</f>
        <v>Delivery Services</v>
      </c>
      <c r="F478" s="6" t="str">
        <f>IFERROR(__xludf.DUMMYFUNCTION("vlookup($A478,importrange(""1fyGnaViAX9kns28pvsfPvI9925sAI7kxPlM7jpuHVJM"",""Validation!A:Z""),23,0)"),"Jitender Singh")</f>
        <v>Jitender Singh</v>
      </c>
      <c r="G478" s="6" t="str">
        <f>IFERROR(__xludf.DUMMYFUNCTION("vlookup(A478,importrange(""1fyGnaViAX9kns28pvsfPvI9925sAI7kxPlM7jpuHVJM"",""Validation!A:Z""),22,0)"),"Cluster - Gaurav")</f>
        <v>Cluster - Gaurav</v>
      </c>
      <c r="H478" s="4" t="str">
        <f>IFERROR(__xludf.DUMMYFUNCTION("vlookup(C478,importrange(""1kw74ismGU34AsZ5x-W4x7F3Zt2xc8NSYcCVMrCJBmdQ"",""DRP for 8 products!B:C""),2,0)"),"ONIGPFUE6")</f>
        <v>ONIGPFUE6</v>
      </c>
      <c r="I478" s="7">
        <f>IFERROR(__xludf.DUMMYFUNCTION("vlookup(C478,importrange(""1kw74ismGU34AsZ5x-W4x7F3Zt2xc8NSYcCVMrCJBmdQ"",""DRP for 8 products!B:E""),4,0)"),5.0)</f>
        <v>5</v>
      </c>
      <c r="J478" s="8" t="str">
        <f t="shared" si="1"/>
        <v>Tier 4</v>
      </c>
      <c r="K478" s="9" t="str">
        <f t="shared" si="2"/>
        <v>Active</v>
      </c>
      <c r="L478" s="4" t="str">
        <f>IFERROR(__xludf.DUMMYFUNCTION("vlookup(C478,importrange(""1kw74ismGU34AsZ5x-W4x7F3Zt2xc8NSYcCVMrCJBmdQ"",""DRP for 8 products!B:H""),6,0)"),"BigQuery")</f>
        <v>BigQuery</v>
      </c>
      <c r="M478" s="10" t="str">
        <f t="shared" si="3"/>
        <v>Yes</v>
      </c>
    </row>
    <row r="479">
      <c r="A479" s="4" t="str">
        <f>IFERROR(__xludf.DUMMYFUNCTION("vlookup(C479,IMPORTRANGE(""1Kgoo8qyo6zMtf_5B03ksZz228jg0XpZ4_KXsdHQ4Vks"",""14 Sept!A:B""),2,0)"),"DME3154")</f>
        <v>DME3154</v>
      </c>
      <c r="B479" s="5" t="str">
        <f>IFERROR(__xludf.DUMMYFUNCTION("""COMPUTED_VALUE"""),"Dixit khewale")</f>
        <v>Dixit khewale</v>
      </c>
      <c r="C479" s="5" t="str">
        <f>IFERROR(__xludf.DUMMYFUNCTION("""COMPUTED_VALUE"""),"dixit.khewale@onixnet.com")</f>
        <v>dixit.khewale@onixnet.com</v>
      </c>
      <c r="D479" s="4" t="s">
        <v>11</v>
      </c>
      <c r="E479" s="6" t="str">
        <f>IFERROR(__xludf.DUMMYFUNCTION("vlookup($A479,importrange(""1fyGnaViAX9kns28pvsfPvI9925sAI7kxPlM7jpuHVJM"",""Validation!A:Z""),11,0)"),"Delivery Services")</f>
        <v>Delivery Services</v>
      </c>
      <c r="F479" s="6" t="str">
        <f>IFERROR(__xludf.DUMMYFUNCTION("vlookup($A479,importrange(""1fyGnaViAX9kns28pvsfPvI9925sAI7kxPlM7jpuHVJM"",""Validation!A:Z""),23,0)"),"Sneha Bhatambrekar")</f>
        <v>Sneha Bhatambrekar</v>
      </c>
      <c r="G479" s="6" t="str">
        <f>IFERROR(__xludf.DUMMYFUNCTION("vlookup(A479,importrange(""1fyGnaViAX9kns28pvsfPvI9925sAI7kxPlM7jpuHVJM"",""Validation!A:Z""),22,0)"),"Cluster - Sandeep")</f>
        <v>Cluster - Sandeep</v>
      </c>
      <c r="H479" s="4" t="str">
        <f>IFERROR(__xludf.DUMMYFUNCTION("vlookup(C479,importrange(""1kw74ismGU34AsZ5x-W4x7F3Zt2xc8NSYcCVMrCJBmdQ"",""DRP for 8 products!B:C""),2,0)"),"ONIDKPGZ7")</f>
        <v>ONIDKPGZ7</v>
      </c>
      <c r="I479" s="7">
        <f>IFERROR(__xludf.DUMMYFUNCTION("vlookup(C479,importrange(""1kw74ismGU34AsZ5x-W4x7F3Zt2xc8NSYcCVMrCJBmdQ"",""DRP for 8 products!B:E""),4,0)"),8.0)</f>
        <v>8</v>
      </c>
      <c r="J479" s="8" t="str">
        <f t="shared" si="1"/>
        <v>Tier 4</v>
      </c>
      <c r="K479" s="9" t="str">
        <f t="shared" si="2"/>
        <v>Active</v>
      </c>
      <c r="L479" s="4" t="str">
        <f>IFERROR(__xludf.DUMMYFUNCTION("vlookup(C479,importrange(""1kw74ismGU34AsZ5x-W4x7F3Zt2xc8NSYcCVMrCJBmdQ"",""DRP for 8 products!B:H""),6,0)"),"BigQuery")</f>
        <v>BigQuery</v>
      </c>
      <c r="M479" s="10" t="str">
        <f t="shared" si="3"/>
        <v>Yes</v>
      </c>
    </row>
    <row r="480">
      <c r="A480" s="4" t="str">
        <f>IFERROR(__xludf.DUMMYFUNCTION("vlookup(C480,IMPORTRANGE(""1Kgoo8qyo6zMtf_5B03ksZz228jg0XpZ4_KXsdHQ4Vks"",""14 Sept!A:B""),2,0)"),"DME1531")</f>
        <v>DME1531</v>
      </c>
      <c r="B480" s="5" t="str">
        <f>IFERROR(__xludf.DUMMYFUNCTION("""COMPUTED_VALUE"""),"Ashwini Jayanth")</f>
        <v>Ashwini Jayanth</v>
      </c>
      <c r="C480" s="5" t="str">
        <f>IFERROR(__xludf.DUMMYFUNCTION("""COMPUTED_VALUE"""),"ashwini.jayanth@onixnet.com")</f>
        <v>ashwini.jayanth@onixnet.com</v>
      </c>
      <c r="D480" s="4" t="s">
        <v>11</v>
      </c>
      <c r="E480" s="6" t="str">
        <f>IFERROR(__xludf.DUMMYFUNCTION("vlookup($A480,importrange(""1fyGnaViAX9kns28pvsfPvI9925sAI7kxPlM7jpuHVJM"",""Validation!A:Z""),11,0)"),"Delivery Services")</f>
        <v>Delivery Services</v>
      </c>
      <c r="F480" s="6" t="str">
        <f>IFERROR(__xludf.DUMMYFUNCTION("vlookup($A480,importrange(""1fyGnaViAX9kns28pvsfPvI9925sAI7kxPlM7jpuHVJM"",""Validation!A:Z""),23,0)"),"Sneha Bhatambrekar")</f>
        <v>Sneha Bhatambrekar</v>
      </c>
      <c r="G480" s="6" t="str">
        <f>IFERROR(__xludf.DUMMYFUNCTION("vlookup(A480,importrange(""1fyGnaViAX9kns28pvsfPvI9925sAI7kxPlM7jpuHVJM"",""Validation!A:Z""),22,0)"),"Cluster - Sandeep")</f>
        <v>Cluster - Sandeep</v>
      </c>
      <c r="H480" s="4" t="str">
        <f>IFERROR(__xludf.DUMMYFUNCTION("vlookup(C480,importrange(""1kw74ismGU34AsZ5x-W4x7F3Zt2xc8NSYcCVMrCJBmdQ"",""DRP for 8 products!B:C""),2,0)"),"ONIAJMOD5")</f>
        <v>ONIAJMOD5</v>
      </c>
      <c r="I480" s="7">
        <f>IFERROR(__xludf.DUMMYFUNCTION("vlookup(C480,importrange(""1kw74ismGU34AsZ5x-W4x7F3Zt2xc8NSYcCVMrCJBmdQ"",""DRP for 8 products!B:E""),4,0)"),14.0)</f>
        <v>14</v>
      </c>
      <c r="J480" s="8" t="str">
        <f t="shared" si="1"/>
        <v>Tier 4</v>
      </c>
      <c r="K480" s="9" t="str">
        <f t="shared" si="2"/>
        <v>Active</v>
      </c>
      <c r="L480" s="4" t="str">
        <f>IFERROR(__xludf.DUMMYFUNCTION("vlookup(C480,importrange(""1kw74ismGU34AsZ5x-W4x7F3Zt2xc8NSYcCVMrCJBmdQ"",""DRP for 8 products!B:H""),6,0)"),"BigQuery")</f>
        <v>BigQuery</v>
      </c>
      <c r="M480" s="10" t="str">
        <f t="shared" si="3"/>
        <v>Yes</v>
      </c>
    </row>
    <row r="481">
      <c r="A481" s="4" t="str">
        <f>IFERROR(__xludf.DUMMYFUNCTION("vlookup(C481,IMPORTRANGE(""1Kgoo8qyo6zMtf_5B03ksZz228jg0XpZ4_KXsdHQ4Vks"",""14 Sept!A:B""),2,0)"),"DME2286")</f>
        <v>DME2286</v>
      </c>
      <c r="B481" s="5" t="str">
        <f>IFERROR(__xludf.DUMMYFUNCTION("""COMPUTED_VALUE"""),"piyush Ghodke")</f>
        <v>piyush Ghodke</v>
      </c>
      <c r="C481" s="5" t="str">
        <f>IFERROR(__xludf.DUMMYFUNCTION("""COMPUTED_VALUE"""),"piyush.ghodke@onixnet.com")</f>
        <v>piyush.ghodke@onixnet.com</v>
      </c>
      <c r="D481" s="4" t="s">
        <v>11</v>
      </c>
      <c r="E481" s="6" t="str">
        <f>IFERROR(__xludf.DUMMYFUNCTION("vlookup($A481,importrange(""1fyGnaViAX9kns28pvsfPvI9925sAI7kxPlM7jpuHVJM"",""Validation!A:Z""),11,0)"),"Delivery Services")</f>
        <v>Delivery Services</v>
      </c>
      <c r="F481" s="6" t="str">
        <f>IFERROR(__xludf.DUMMYFUNCTION("vlookup($A481,importrange(""1fyGnaViAX9kns28pvsfPvI9925sAI7kxPlM7jpuHVJM"",""Validation!A:Z""),23,0)"),"Sneha Bhatambrekar")</f>
        <v>Sneha Bhatambrekar</v>
      </c>
      <c r="G481" s="6" t="str">
        <f>IFERROR(__xludf.DUMMYFUNCTION("vlookup(A481,importrange(""1fyGnaViAX9kns28pvsfPvI9925sAI7kxPlM7jpuHVJM"",""Validation!A:Z""),22,0)"),"Cluster - Sandeep")</f>
        <v>Cluster - Sandeep</v>
      </c>
      <c r="H481" s="4" t="str">
        <f>IFERROR(__xludf.DUMMYFUNCTION("vlookup(C481,importrange(""1kw74ismGU34AsZ5x-W4x7F3Zt2xc8NSYcCVMrCJBmdQ"",""DRP for 8 products!B:C""),2,0)"),"ONIPGRCI7")</f>
        <v>ONIPGRCI7</v>
      </c>
      <c r="I481" s="7">
        <f>IFERROR(__xludf.DUMMYFUNCTION("vlookup(C481,importrange(""1kw74ismGU34AsZ5x-W4x7F3Zt2xc8NSYcCVMrCJBmdQ"",""DRP for 8 products!B:E""),4,0)"),8.0)</f>
        <v>8</v>
      </c>
      <c r="J481" s="8" t="str">
        <f t="shared" si="1"/>
        <v>Tier 4</v>
      </c>
      <c r="K481" s="9" t="str">
        <f t="shared" si="2"/>
        <v>Active</v>
      </c>
      <c r="L481" s="4" t="str">
        <f>IFERROR(__xludf.DUMMYFUNCTION("vlookup(C481,importrange(""1kw74ismGU34AsZ5x-W4x7F3Zt2xc8NSYcCVMrCJBmdQ"",""DRP for 8 products!B:H""),6,0)"),"BigQuery")</f>
        <v>BigQuery</v>
      </c>
      <c r="M481" s="10" t="str">
        <f t="shared" si="3"/>
        <v>Yes</v>
      </c>
    </row>
    <row r="482">
      <c r="A482" s="4" t="str">
        <f>IFERROR(__xludf.DUMMYFUNCTION("vlookup(C482,IMPORTRANGE(""1Kgoo8qyo6zMtf_5B03ksZz228jg0XpZ4_KXsdHQ4Vks"",""14 Sept!A:B""),2,0)"),"DME3161")</f>
        <v>DME3161</v>
      </c>
      <c r="B482" s="5" t="str">
        <f>IFERROR(__xludf.DUMMYFUNCTION("""COMPUTED_VALUE"""),"Vallepu Nagasai")</f>
        <v>Vallepu Nagasai</v>
      </c>
      <c r="C482" s="5" t="str">
        <f>IFERROR(__xludf.DUMMYFUNCTION("""COMPUTED_VALUE"""),"vallepu.nagasai@onixnet.com")</f>
        <v>vallepu.nagasai@onixnet.com</v>
      </c>
      <c r="D482" s="4" t="s">
        <v>11</v>
      </c>
      <c r="E482" s="6" t="str">
        <f>IFERROR(__xludf.DUMMYFUNCTION("vlookup($A482,importrange(""1fyGnaViAX9kns28pvsfPvI9925sAI7kxPlM7jpuHVJM"",""Validation!A:Z""),11,0)"),"Delivery Services")</f>
        <v>Delivery Services</v>
      </c>
      <c r="F482" s="6" t="str">
        <f>IFERROR(__xludf.DUMMYFUNCTION("vlookup($A482,importrange(""1fyGnaViAX9kns28pvsfPvI9925sAI7kxPlM7jpuHVJM"",""Validation!A:Z""),23,0)"),"Syam Prasad Gera")</f>
        <v>Syam Prasad Gera</v>
      </c>
      <c r="G482" s="6" t="str">
        <f>IFERROR(__xludf.DUMMYFUNCTION("vlookup(A482,importrange(""1fyGnaViAX9kns28pvsfPvI9925sAI7kxPlM7jpuHVJM"",""Validation!A:Z""),22,0)"),"Cluster - Shreepad")</f>
        <v>Cluster - Shreepad</v>
      </c>
      <c r="H482" s="4" t="str">
        <f>IFERROR(__xludf.DUMMYFUNCTION("vlookup(C482,importrange(""1kw74ismGU34AsZ5x-W4x7F3Zt2xc8NSYcCVMrCJBmdQ"",""DRP for 8 products!B:C""),2,0)"),"ONIVNCPA0")</f>
        <v>ONIVNCPA0</v>
      </c>
      <c r="I482" s="7">
        <f>IFERROR(__xludf.DUMMYFUNCTION("vlookup(C482,importrange(""1kw74ismGU34AsZ5x-W4x7F3Zt2xc8NSYcCVMrCJBmdQ"",""DRP for 8 products!B:E""),4,0)"),14.0)</f>
        <v>14</v>
      </c>
      <c r="J482" s="8" t="str">
        <f t="shared" si="1"/>
        <v>Tier 4</v>
      </c>
      <c r="K482" s="9" t="str">
        <f t="shared" si="2"/>
        <v>Active</v>
      </c>
      <c r="L482" s="4" t="str">
        <f>IFERROR(__xludf.DUMMYFUNCTION("vlookup(C482,importrange(""1kw74ismGU34AsZ5x-W4x7F3Zt2xc8NSYcCVMrCJBmdQ"",""DRP for 8 products!B:H""),6,0)"),"BigQuery")</f>
        <v>BigQuery</v>
      </c>
      <c r="M482" s="10" t="str">
        <f t="shared" si="3"/>
        <v>Yes</v>
      </c>
    </row>
    <row r="483">
      <c r="A483" s="4" t="str">
        <f>IFERROR(__xludf.DUMMYFUNCTION("vlookup(C483,IMPORTRANGE(""1Kgoo8qyo6zMtf_5B03ksZz228jg0XpZ4_KXsdHQ4Vks"",""14 Sept!A:B""),2,0)"),"DME2503")</f>
        <v>DME2503</v>
      </c>
      <c r="B483" s="5" t="str">
        <f>IFERROR(__xludf.DUMMYFUNCTION("""COMPUTED_VALUE"""),"Arabi Mohammed")</f>
        <v>Arabi Mohammed</v>
      </c>
      <c r="C483" s="5" t="str">
        <f>IFERROR(__xludf.DUMMYFUNCTION("""COMPUTED_VALUE"""),"arabi.mohammed@onixnet.com")</f>
        <v>arabi.mohammed@onixnet.com</v>
      </c>
      <c r="D483" s="4" t="s">
        <v>11</v>
      </c>
      <c r="E483" s="6" t="str">
        <f>IFERROR(__xludf.DUMMYFUNCTION("vlookup($A483,importrange(""1fyGnaViAX9kns28pvsfPvI9925sAI7kxPlM7jpuHVJM"",""Validation!A:Z""),11,0)"),"Delivery Services")</f>
        <v>Delivery Services</v>
      </c>
      <c r="F483" s="6" t="str">
        <f>IFERROR(__xludf.DUMMYFUNCTION("vlookup($A483,importrange(""1fyGnaViAX9kns28pvsfPvI9925sAI7kxPlM7jpuHVJM"",""Validation!A:Z""),23,0)"),"Sandeep Kumar")</f>
        <v>Sandeep Kumar</v>
      </c>
      <c r="G483" s="6" t="str">
        <f>IFERROR(__xludf.DUMMYFUNCTION("vlookup(A483,importrange(""1fyGnaViAX9kns28pvsfPvI9925sAI7kxPlM7jpuHVJM"",""Validation!A:Z""),22,0)"),"Cluster - Sandeep")</f>
        <v>Cluster - Sandeep</v>
      </c>
      <c r="H483" s="4" t="str">
        <f>IFERROR(__xludf.DUMMYFUNCTION("vlookup(C483,importrange(""1kw74ismGU34AsZ5x-W4x7F3Zt2xc8NSYcCVMrCJBmdQ"",""DRP for 8 products!B:C""),2,0)"),"ONIAMCKE4")</f>
        <v>ONIAMCKE4</v>
      </c>
      <c r="I483" s="7">
        <f>IFERROR(__xludf.DUMMYFUNCTION("vlookup(C483,importrange(""1kw74ismGU34AsZ5x-W4x7F3Zt2xc8NSYcCVMrCJBmdQ"",""DRP for 8 products!B:E""),4,0)"),9.0)</f>
        <v>9</v>
      </c>
      <c r="J483" s="8" t="str">
        <f t="shared" si="1"/>
        <v>Tier 4</v>
      </c>
      <c r="K483" s="9" t="str">
        <f t="shared" si="2"/>
        <v>Active</v>
      </c>
      <c r="L483" s="4" t="str">
        <f>IFERROR(__xludf.DUMMYFUNCTION("vlookup(C483,importrange(""1kw74ismGU34AsZ5x-W4x7F3Zt2xc8NSYcCVMrCJBmdQ"",""DRP for 8 products!B:H""),6,0)"),"BigQuery")</f>
        <v>BigQuery</v>
      </c>
      <c r="M483" s="10" t="str">
        <f t="shared" si="3"/>
        <v>Yes</v>
      </c>
    </row>
    <row r="484">
      <c r="A484" s="4" t="str">
        <f>IFERROR(__xludf.DUMMYFUNCTION("vlookup(C484,IMPORTRANGE(""1Kgoo8qyo6zMtf_5B03ksZz228jg0XpZ4_KXsdHQ4Vks"",""14 Sept!A:B""),2,0)"),"DME2079")</f>
        <v>DME2079</v>
      </c>
      <c r="B484" s="5" t="str">
        <f>IFERROR(__xludf.DUMMYFUNCTION("""COMPUTED_VALUE"""),"Mayuri Patole")</f>
        <v>Mayuri Patole</v>
      </c>
      <c r="C484" s="5" t="str">
        <f>IFERROR(__xludf.DUMMYFUNCTION("""COMPUTED_VALUE"""),"mayuri.patole@onixnet.com")</f>
        <v>mayuri.patole@onixnet.com</v>
      </c>
      <c r="D484" s="4" t="s">
        <v>11</v>
      </c>
      <c r="E484" s="6" t="str">
        <f>IFERROR(__xludf.DUMMYFUNCTION("vlookup($A484,importrange(""1fyGnaViAX9kns28pvsfPvI9925sAI7kxPlM7jpuHVJM"",""Validation!A:Z""),11,0)"),"Delivery Services")</f>
        <v>Delivery Services</v>
      </c>
      <c r="F484" s="6" t="str">
        <f>IFERROR(__xludf.DUMMYFUNCTION("vlookup($A484,importrange(""1fyGnaViAX9kns28pvsfPvI9925sAI7kxPlM7jpuHVJM"",""Validation!A:Z""),23,0)"),"Vishal Verma")</f>
        <v>Vishal Verma</v>
      </c>
      <c r="G484" s="6" t="str">
        <f>IFERROR(__xludf.DUMMYFUNCTION("vlookup(A484,importrange(""1fyGnaViAX9kns28pvsfPvI9925sAI7kxPlM7jpuHVJM"",""Validation!A:Z""),22,0)"),"Cluster - Sachin")</f>
        <v>Cluster - Sachin</v>
      </c>
      <c r="H484" s="4" t="str">
        <f>IFERROR(__xludf.DUMMYFUNCTION("vlookup(C484,importrange(""1kw74ismGU34AsZ5x-W4x7F3Zt2xc8NSYcCVMrCJBmdQ"",""DRP for 8 products!B:C""),2,0)"),"ONIMPAYZ6")</f>
        <v>ONIMPAYZ6</v>
      </c>
      <c r="I484" s="7">
        <f>IFERROR(__xludf.DUMMYFUNCTION("vlookup(C484,importrange(""1kw74ismGU34AsZ5x-W4x7F3Zt2xc8NSYcCVMrCJBmdQ"",""DRP for 8 products!B:E""),4,0)"),29.0)</f>
        <v>29</v>
      </c>
      <c r="J484" s="8" t="str">
        <f t="shared" si="1"/>
        <v>Tier 3</v>
      </c>
      <c r="K484" s="9" t="str">
        <f t="shared" si="2"/>
        <v>Active</v>
      </c>
      <c r="L484" s="4" t="str">
        <f>IFERROR(__xludf.DUMMYFUNCTION("vlookup(C484,importrange(""1kw74ismGU34AsZ5x-W4x7F3Zt2xc8NSYcCVMrCJBmdQ"",""DRP for 8 products!B:H""),6,0)"),"BigQuery")</f>
        <v>BigQuery</v>
      </c>
      <c r="M484" s="10" t="str">
        <f t="shared" si="3"/>
        <v>Yes</v>
      </c>
    </row>
    <row r="485">
      <c r="A485" s="4" t="str">
        <f>IFERROR(__xludf.DUMMYFUNCTION("vlookup(C485,IMPORTRANGE(""1Kgoo8qyo6zMtf_5B03ksZz228jg0XpZ4_KXsdHQ4Vks"",""14 Sept!A:B""),2,0)"),"DME3150")</f>
        <v>DME3150</v>
      </c>
      <c r="B485" s="5" t="str">
        <f>IFERROR(__xludf.DUMMYFUNCTION("""COMPUTED_VALUE"""),"Sai Shankar Boga")</f>
        <v>Sai Shankar Boga</v>
      </c>
      <c r="C485" s="5" t="str">
        <f>IFERROR(__xludf.DUMMYFUNCTION("""COMPUTED_VALUE"""),"saishankar.boga@onixnet.com")</f>
        <v>saishankar.boga@onixnet.com</v>
      </c>
      <c r="D485" s="4" t="s">
        <v>11</v>
      </c>
      <c r="E485" s="6" t="str">
        <f>IFERROR(__xludf.DUMMYFUNCTION("vlookup($A485,importrange(""1fyGnaViAX9kns28pvsfPvI9925sAI7kxPlM7jpuHVJM"",""Validation!A:Z""),11,0)"),"Delivery Services")</f>
        <v>Delivery Services</v>
      </c>
      <c r="F485" s="6" t="str">
        <f>IFERROR(__xludf.DUMMYFUNCTION("vlookup($A485,importrange(""1fyGnaViAX9kns28pvsfPvI9925sAI7kxPlM7jpuHVJM"",""Validation!A:Z""),23,0)"),"Haroon Azeem")</f>
        <v>Haroon Azeem</v>
      </c>
      <c r="G485" s="6" t="str">
        <f>IFERROR(__xludf.DUMMYFUNCTION("vlookup(A485,importrange(""1fyGnaViAX9kns28pvsfPvI9925sAI7kxPlM7jpuHVJM"",""Validation!A:Z""),22,0)"),"Cluster - Shreepad")</f>
        <v>Cluster - Shreepad</v>
      </c>
      <c r="H485" s="4" t="str">
        <f>IFERROR(__xludf.DUMMYFUNCTION("vlookup(C485,importrange(""1kw74ismGU34AsZ5x-W4x7F3Zt2xc8NSYcCVMrCJBmdQ"",""DRP for 8 products!B:C""),2,0)"),"ONISBORM7")</f>
        <v>ONISBORM7</v>
      </c>
      <c r="I485" s="7">
        <f>IFERROR(__xludf.DUMMYFUNCTION("vlookup(C485,importrange(""1kw74ismGU34AsZ5x-W4x7F3Zt2xc8NSYcCVMrCJBmdQ"",""DRP for 8 products!B:E""),4,0)"),54.0)</f>
        <v>54</v>
      </c>
      <c r="J485" s="8" t="str">
        <f t="shared" si="1"/>
        <v>Tier 1</v>
      </c>
      <c r="K485" s="9" t="str">
        <f t="shared" si="2"/>
        <v>Active</v>
      </c>
      <c r="L485" s="4" t="str">
        <f>IFERROR(__xludf.DUMMYFUNCTION("vlookup(C485,importrange(""1kw74ismGU34AsZ5x-W4x7F3Zt2xc8NSYcCVMrCJBmdQ"",""DRP for 8 products!B:H""),6,0)"),"BigQuery")</f>
        <v>BigQuery</v>
      </c>
      <c r="M485" s="10" t="str">
        <f t="shared" si="3"/>
        <v>Yes</v>
      </c>
    </row>
    <row r="486">
      <c r="A486" s="4" t="str">
        <f>IFERROR(__xludf.DUMMYFUNCTION("vlookup(C486,IMPORTRANGE(""1Kgoo8qyo6zMtf_5B03ksZz228jg0XpZ4_KXsdHQ4Vks"",""14 Sept!A:B""),2,0)"),"DME0787")</f>
        <v>DME0787</v>
      </c>
      <c r="B486" s="5" t="str">
        <f>IFERROR(__xludf.DUMMYFUNCTION("""COMPUTED_VALUE"""),"Kamal Amrutham")</f>
        <v>Kamal Amrutham</v>
      </c>
      <c r="C486" s="5" t="str">
        <f>IFERROR(__xludf.DUMMYFUNCTION("""COMPUTED_VALUE"""),"kamal.amrutham@onixnet.com")</f>
        <v>kamal.amrutham@onixnet.com</v>
      </c>
      <c r="D486" s="4" t="s">
        <v>11</v>
      </c>
      <c r="E486" s="6" t="str">
        <f>IFERROR(__xludf.DUMMYFUNCTION("vlookup($A486,importrange(""1fyGnaViAX9kns28pvsfPvI9925sAI7kxPlM7jpuHVJM"",""Validation!A:Z""),11,0)"),"Delivery Services")</f>
        <v>Delivery Services</v>
      </c>
      <c r="F486" s="6" t="str">
        <f>IFERROR(__xludf.DUMMYFUNCTION("vlookup($A486,importrange(""1fyGnaViAX9kns28pvsfPvI9925sAI7kxPlM7jpuHVJM"",""Validation!A:Z""),23,0)"),"Dinesh Bhamare")</f>
        <v>Dinesh Bhamare</v>
      </c>
      <c r="G486" s="6" t="str">
        <f>IFERROR(__xludf.DUMMYFUNCTION("vlookup(A486,importrange(""1fyGnaViAX9kns28pvsfPvI9925sAI7kxPlM7jpuHVJM"",""Validation!A:Z""),22,0)"),"Cluster - Shreepad")</f>
        <v>Cluster - Shreepad</v>
      </c>
      <c r="H486" s="4" t="str">
        <f>IFERROR(__xludf.DUMMYFUNCTION("vlookup(C486,importrange(""1kw74ismGU34AsZ5x-W4x7F3Zt2xc8NSYcCVMrCJBmdQ"",""DRP for 8 products!B:C""),2,0)"),"ONIKASRD4")</f>
        <v>ONIKASRD4</v>
      </c>
      <c r="I486" s="7">
        <f>IFERROR(__xludf.DUMMYFUNCTION("vlookup(C486,importrange(""1kw74ismGU34AsZ5x-W4x7F3Zt2xc8NSYcCVMrCJBmdQ"",""DRP for 8 products!B:E""),4,0)"),54.0)</f>
        <v>54</v>
      </c>
      <c r="J486" s="8" t="str">
        <f t="shared" si="1"/>
        <v>Tier 1</v>
      </c>
      <c r="K486" s="9" t="str">
        <f t="shared" si="2"/>
        <v>Active</v>
      </c>
      <c r="L486" s="4" t="str">
        <f>IFERROR(__xludf.DUMMYFUNCTION("vlookup(C486,importrange(""1kw74ismGU34AsZ5x-W4x7F3Zt2xc8NSYcCVMrCJBmdQ"",""DRP for 8 products!B:H""),6,0)"),"BigQuery")</f>
        <v>BigQuery</v>
      </c>
      <c r="M486" s="10" t="str">
        <f t="shared" si="3"/>
        <v>Yes</v>
      </c>
    </row>
    <row r="487">
      <c r="A487" s="4" t="str">
        <f>IFERROR(__xludf.DUMMYFUNCTION("vlookup(C487,IMPORTRANGE(""1Kgoo8qyo6zMtf_5B03ksZz228jg0XpZ4_KXsdHQ4Vks"",""14 Sept!A:B""),2,0)"),"DME3091")</f>
        <v>DME3091</v>
      </c>
      <c r="B487" s="5" t="str">
        <f>IFERROR(__xludf.DUMMYFUNCTION("""COMPUTED_VALUE"""),"Akshay Vunukonda")</f>
        <v>Akshay Vunukonda</v>
      </c>
      <c r="C487" s="5" t="str">
        <f>IFERROR(__xludf.DUMMYFUNCTION("""COMPUTED_VALUE"""),"akshay.vunukonda@onixnet.com")</f>
        <v>akshay.vunukonda@onixnet.com</v>
      </c>
      <c r="D487" s="4" t="s">
        <v>11</v>
      </c>
      <c r="E487" s="6" t="str">
        <f>IFERROR(__xludf.DUMMYFUNCTION("vlookup($A487,importrange(""1fyGnaViAX9kns28pvsfPvI9925sAI7kxPlM7jpuHVJM"",""Validation!A:Z""),11,0)"),"Delivery Services")</f>
        <v>Delivery Services</v>
      </c>
      <c r="F487" s="6" t="str">
        <f>IFERROR(__xludf.DUMMYFUNCTION("vlookup($A487,importrange(""1fyGnaViAX9kns28pvsfPvI9925sAI7kxPlM7jpuHVJM"",""Validation!A:Z""),23,0)"),"Haroon Azeem")</f>
        <v>Haroon Azeem</v>
      </c>
      <c r="G487" s="6" t="str">
        <f>IFERROR(__xludf.DUMMYFUNCTION("vlookup(A487,importrange(""1fyGnaViAX9kns28pvsfPvI9925sAI7kxPlM7jpuHVJM"",""Validation!A:Z""),22,0)"),"Cluster - Shreepad")</f>
        <v>Cluster - Shreepad</v>
      </c>
      <c r="H487" s="4" t="str">
        <f>IFERROR(__xludf.DUMMYFUNCTION("vlookup(C487,importrange(""1kw74ismGU34AsZ5x-W4x7F3Zt2xc8NSYcCVMrCJBmdQ"",""DRP for 8 products!B:C""),2,0)"),"ONIAVSUC9")</f>
        <v>ONIAVSUC9</v>
      </c>
      <c r="I487" s="7">
        <f>IFERROR(__xludf.DUMMYFUNCTION("vlookup(C487,importrange(""1kw74ismGU34AsZ5x-W4x7F3Zt2xc8NSYcCVMrCJBmdQ"",""DRP for 8 products!B:E""),4,0)"),24.0)</f>
        <v>24</v>
      </c>
      <c r="J487" s="8" t="str">
        <f t="shared" si="1"/>
        <v>Tier 3</v>
      </c>
      <c r="K487" s="9" t="str">
        <f t="shared" si="2"/>
        <v>Active</v>
      </c>
      <c r="L487" s="4" t="str">
        <f>IFERROR(__xludf.DUMMYFUNCTION("vlookup(C487,importrange(""1kw74ismGU34AsZ5x-W4x7F3Zt2xc8NSYcCVMrCJBmdQ"",""DRP for 8 products!B:H""),6,0)"),"BigQuery")</f>
        <v>BigQuery</v>
      </c>
      <c r="M487" s="10" t="str">
        <f t="shared" si="3"/>
        <v>Yes</v>
      </c>
    </row>
    <row r="488">
      <c r="A488" s="4" t="str">
        <f>IFERROR(__xludf.DUMMYFUNCTION("vlookup(C488,IMPORTRANGE(""1Kgoo8qyo6zMtf_5B03ksZz228jg0XpZ4_KXsdHQ4Vks"",""14 Sept!A:B""),2,0)"),"DME1186")</f>
        <v>DME1186</v>
      </c>
      <c r="B488" s="5" t="str">
        <f>IFERROR(__xludf.DUMMYFUNCTION("""COMPUTED_VALUE"""),"Ashutosh Kulkarni")</f>
        <v>Ashutosh Kulkarni</v>
      </c>
      <c r="C488" s="5" t="str">
        <f>IFERROR(__xludf.DUMMYFUNCTION("""COMPUTED_VALUE"""),"ashutosh.kulkarni@onixnet.com")</f>
        <v>ashutosh.kulkarni@onixnet.com</v>
      </c>
      <c r="D488" s="4" t="s">
        <v>11</v>
      </c>
      <c r="E488" s="6" t="str">
        <f>IFERROR(__xludf.DUMMYFUNCTION("vlookup($A488,importrange(""1fyGnaViAX9kns28pvsfPvI9925sAI7kxPlM7jpuHVJM"",""Validation!A:Z""),11,0)"),"Delivery Services")</f>
        <v>Delivery Services</v>
      </c>
      <c r="F488" s="6" t="str">
        <f>IFERROR(__xludf.DUMMYFUNCTION("vlookup($A488,importrange(""1fyGnaViAX9kns28pvsfPvI9925sAI7kxPlM7jpuHVJM"",""Validation!A:Z""),23,0)"),"Rahul Gupta")</f>
        <v>Rahul Gupta</v>
      </c>
      <c r="G488" s="6" t="str">
        <f>IFERROR(__xludf.DUMMYFUNCTION("vlookup(A488,importrange(""1fyGnaViAX9kns28pvsfPvI9925sAI7kxPlM7jpuHVJM"",""Validation!A:Z""),22,0)"),"Cluster - Sachin")</f>
        <v>Cluster - Sachin</v>
      </c>
      <c r="H488" s="4" t="str">
        <f>IFERROR(__xludf.DUMMYFUNCTION("vlookup(C488,importrange(""1kw74ismGU34AsZ5x-W4x7F3Zt2xc8NSYcCVMrCJBmdQ"",""DRP for 8 products!B:C""),2,0)"),"ONIAKNZM4")</f>
        <v>ONIAKNZM4</v>
      </c>
      <c r="I488" s="7">
        <f>IFERROR(__xludf.DUMMYFUNCTION("vlookup(C488,importrange(""1kw74ismGU34AsZ5x-W4x7F3Zt2xc8NSYcCVMrCJBmdQ"",""DRP for 8 products!B:E""),4,0)"),15.0)</f>
        <v>15</v>
      </c>
      <c r="J488" s="8" t="str">
        <f t="shared" si="1"/>
        <v>Tier 4</v>
      </c>
      <c r="K488" s="9" t="str">
        <f t="shared" si="2"/>
        <v>Active</v>
      </c>
      <c r="L488" s="4" t="str">
        <f>IFERROR(__xludf.DUMMYFUNCTION("vlookup(C488,importrange(""1kw74ismGU34AsZ5x-W4x7F3Zt2xc8NSYcCVMrCJBmdQ"",""DRP for 8 products!B:H""),6,0)"),"BigQuery")</f>
        <v>BigQuery</v>
      </c>
      <c r="M488" s="10" t="str">
        <f t="shared" si="3"/>
        <v>Yes</v>
      </c>
    </row>
    <row r="489">
      <c r="A489" s="4" t="str">
        <f>IFERROR(__xludf.DUMMYFUNCTION("vlookup(C489,IMPORTRANGE(""1Kgoo8qyo6zMtf_5B03ksZz228jg0XpZ4_KXsdHQ4Vks"",""14 Sept!A:B""),2,0)"),"DME2702")</f>
        <v>DME2702</v>
      </c>
      <c r="B489" s="5" t="str">
        <f>IFERROR(__xludf.DUMMYFUNCTION("""COMPUTED_VALUE"""),"Abhishek Thakur")</f>
        <v>Abhishek Thakur</v>
      </c>
      <c r="C489" s="5" t="str">
        <f>IFERROR(__xludf.DUMMYFUNCTION("""COMPUTED_VALUE"""),"abhishek.thakur@onixnet.com")</f>
        <v>abhishek.thakur@onixnet.com</v>
      </c>
      <c r="D489" s="4" t="s">
        <v>11</v>
      </c>
      <c r="E489" s="6" t="str">
        <f>IFERROR(__xludf.DUMMYFUNCTION("vlookup($A489,importrange(""1fyGnaViAX9kns28pvsfPvI9925sAI7kxPlM7jpuHVJM"",""Validation!A:Z""),11,0)"),"Delivery Services")</f>
        <v>Delivery Services</v>
      </c>
      <c r="F489" s="6" t="str">
        <f>IFERROR(__xludf.DUMMYFUNCTION("vlookup($A489,importrange(""1fyGnaViAX9kns28pvsfPvI9925sAI7kxPlM7jpuHVJM"",""Validation!A:Z""),23,0)"),"Anand Saraf")</f>
        <v>Anand Saraf</v>
      </c>
      <c r="G489" s="6" t="str">
        <f>IFERROR(__xludf.DUMMYFUNCTION("vlookup(A489,importrange(""1fyGnaViAX9kns28pvsfPvI9925sAI7kxPlM7jpuHVJM"",""Validation!A:Z""),22,0)"),"Cluster - Sachin")</f>
        <v>Cluster - Sachin</v>
      </c>
      <c r="H489" s="4" t="str">
        <f>IFERROR(__xludf.DUMMYFUNCTION("vlookup(C489,importrange(""1kw74ismGU34AsZ5x-W4x7F3Zt2xc8NSYcCVMrCJBmdQ"",""DRP for 8 products!B:C""),2,0)"),"ONIATWCV7")</f>
        <v>ONIATWCV7</v>
      </c>
      <c r="I489" s="7">
        <f>IFERROR(__xludf.DUMMYFUNCTION("vlookup(C489,importrange(""1kw74ismGU34AsZ5x-W4x7F3Zt2xc8NSYcCVMrCJBmdQ"",""DRP for 8 products!B:E""),4,0)"),24.0)</f>
        <v>24</v>
      </c>
      <c r="J489" s="8" t="str">
        <f t="shared" si="1"/>
        <v>Tier 3</v>
      </c>
      <c r="K489" s="9" t="str">
        <f t="shared" si="2"/>
        <v>Active</v>
      </c>
      <c r="L489" s="4" t="str">
        <f>IFERROR(__xludf.DUMMYFUNCTION("vlookup(C489,importrange(""1kw74ismGU34AsZ5x-W4x7F3Zt2xc8NSYcCVMrCJBmdQ"",""DRP for 8 products!B:H""),6,0)"),"BigQuery")</f>
        <v>BigQuery</v>
      </c>
      <c r="M489" s="10" t="str">
        <f t="shared" si="3"/>
        <v>Yes</v>
      </c>
    </row>
    <row r="490">
      <c r="A490" s="4" t="str">
        <f>IFERROR(__xludf.DUMMYFUNCTION("vlookup(C490,IMPORTRANGE(""1Kgoo8qyo6zMtf_5B03ksZz228jg0XpZ4_KXsdHQ4Vks"",""14 Sept!A:B""),2,0)"),"DME3066")</f>
        <v>DME3066</v>
      </c>
      <c r="B490" s="5" t="str">
        <f>IFERROR(__xludf.DUMMYFUNCTION("""COMPUTED_VALUE"""),"SaiShankar Adari")</f>
        <v>SaiShankar Adari</v>
      </c>
      <c r="C490" s="5" t="str">
        <f>IFERROR(__xludf.DUMMYFUNCTION("""COMPUTED_VALUE"""),"sai.adari@onixnet.com")</f>
        <v>sai.adari@onixnet.com</v>
      </c>
      <c r="D490" s="4" t="s">
        <v>11</v>
      </c>
      <c r="E490" s="6" t="str">
        <f>IFERROR(__xludf.DUMMYFUNCTION("vlookup($A490,importrange(""1fyGnaViAX9kns28pvsfPvI9925sAI7kxPlM7jpuHVJM"",""Validation!A:Z""),11,0)"),"Delivery Services")</f>
        <v>Delivery Services</v>
      </c>
      <c r="F490" s="6" t="str">
        <f>IFERROR(__xludf.DUMMYFUNCTION("vlookup($A490,importrange(""1fyGnaViAX9kns28pvsfPvI9925sAI7kxPlM7jpuHVJM"",""Validation!A:Z""),23,0)"),"Haroon Azeem")</f>
        <v>Haroon Azeem</v>
      </c>
      <c r="G490" s="6" t="str">
        <f>IFERROR(__xludf.DUMMYFUNCTION("vlookup(A490,importrange(""1fyGnaViAX9kns28pvsfPvI9925sAI7kxPlM7jpuHVJM"",""Validation!A:Z""),22,0)"),"Cluster - Shreepad")</f>
        <v>Cluster - Shreepad</v>
      </c>
      <c r="H490" s="4" t="str">
        <f>IFERROR(__xludf.DUMMYFUNCTION("vlookup(C490,importrange(""1kw74ismGU34AsZ5x-W4x7F3Zt2xc8NSYcCVMrCJBmdQ"",""DRP for 8 products!B:C""),2,0)"),"ONISAXKS5")</f>
        <v>ONISAXKS5</v>
      </c>
      <c r="I490" s="7">
        <f>IFERROR(__xludf.DUMMYFUNCTION("vlookup(C490,importrange(""1kw74ismGU34AsZ5x-W4x7F3Zt2xc8NSYcCVMrCJBmdQ"",""DRP for 8 products!B:E""),4,0)"),34.0)</f>
        <v>34</v>
      </c>
      <c r="J490" s="8" t="str">
        <f t="shared" si="1"/>
        <v>Tier 3</v>
      </c>
      <c r="K490" s="9" t="str">
        <f t="shared" si="2"/>
        <v>Active</v>
      </c>
      <c r="L490" s="4" t="str">
        <f>IFERROR(__xludf.DUMMYFUNCTION("vlookup(C490,importrange(""1kw74ismGU34AsZ5x-W4x7F3Zt2xc8NSYcCVMrCJBmdQ"",""DRP for 8 products!B:H""),6,0)"),"BigQuery")</f>
        <v>BigQuery</v>
      </c>
      <c r="M490" s="10" t="str">
        <f t="shared" si="3"/>
        <v>Yes</v>
      </c>
    </row>
    <row r="491">
      <c r="A491" s="4" t="str">
        <f>IFERROR(__xludf.DUMMYFUNCTION("vlookup(C491,IMPORTRANGE(""1Kgoo8qyo6zMtf_5B03ksZz228jg0XpZ4_KXsdHQ4Vks"",""14 Sept!A:B""),2,0)"),"DME1175")</f>
        <v>DME1175</v>
      </c>
      <c r="B491" s="5" t="str">
        <f>IFERROR(__xludf.DUMMYFUNCTION("""COMPUTED_VALUE"""),"Sumati Patil")</f>
        <v>Sumati Patil</v>
      </c>
      <c r="C491" s="5" t="str">
        <f>IFERROR(__xludf.DUMMYFUNCTION("""COMPUTED_VALUE"""),"sumati.patil@onixnet.com")</f>
        <v>sumati.patil@onixnet.com</v>
      </c>
      <c r="D491" s="4" t="s">
        <v>11</v>
      </c>
      <c r="E491" s="6" t="str">
        <f>IFERROR(__xludf.DUMMYFUNCTION("vlookup($A491,importrange(""1fyGnaViAX9kns28pvsfPvI9925sAI7kxPlM7jpuHVJM"",""Validation!A:Z""),11,0)"),"Delivery Services")</f>
        <v>Delivery Services</v>
      </c>
      <c r="F491" s="6" t="str">
        <f>IFERROR(__xludf.DUMMYFUNCTION("vlookup($A491,importrange(""1fyGnaViAX9kns28pvsfPvI9925sAI7kxPlM7jpuHVJM"",""Validation!A:Z""),23,0)"),"Sandeep Kumar")</f>
        <v>Sandeep Kumar</v>
      </c>
      <c r="G491" s="6" t="str">
        <f>IFERROR(__xludf.DUMMYFUNCTION("vlookup(A491,importrange(""1fyGnaViAX9kns28pvsfPvI9925sAI7kxPlM7jpuHVJM"",""Validation!A:Z""),22,0)"),"Cluster - Sandeep")</f>
        <v>Cluster - Sandeep</v>
      </c>
      <c r="H491" s="4" t="str">
        <f>IFERROR(__xludf.DUMMYFUNCTION("vlookup(C491,importrange(""1kw74ismGU34AsZ5x-W4x7F3Zt2xc8NSYcCVMrCJBmdQ"",""DRP for 8 products!B:C""),2,0)"),"ONISPFOH8")</f>
        <v>ONISPFOH8</v>
      </c>
      <c r="I491" s="7">
        <f>IFERROR(__xludf.DUMMYFUNCTION("vlookup(C491,importrange(""1kw74ismGU34AsZ5x-W4x7F3Zt2xc8NSYcCVMrCJBmdQ"",""DRP for 8 products!B:E""),4,0)"),14.0)</f>
        <v>14</v>
      </c>
      <c r="J491" s="8" t="str">
        <f t="shared" si="1"/>
        <v>Tier 4</v>
      </c>
      <c r="K491" s="9" t="str">
        <f t="shared" si="2"/>
        <v>Active</v>
      </c>
      <c r="L491" s="4" t="str">
        <f>IFERROR(__xludf.DUMMYFUNCTION("vlookup(C491,importrange(""1kw74ismGU34AsZ5x-W4x7F3Zt2xc8NSYcCVMrCJBmdQ"",""DRP for 8 products!B:H""),6,0)"),"BigQuery")</f>
        <v>BigQuery</v>
      </c>
      <c r="M491" s="10" t="str">
        <f t="shared" si="3"/>
        <v>Yes</v>
      </c>
    </row>
    <row r="492">
      <c r="A492" s="4" t="str">
        <f>IFERROR(__xludf.DUMMYFUNCTION("vlookup(C492,IMPORTRANGE(""1Kgoo8qyo6zMtf_5B03ksZz228jg0XpZ4_KXsdHQ4Vks"",""14 Sept!A:B""),2,0)"),"DME3351")</f>
        <v>DME3351</v>
      </c>
      <c r="B492" s="5" t="str">
        <f>IFERROR(__xludf.DUMMYFUNCTION("""COMPUTED_VALUE"""),"Ashok Kumar")</f>
        <v>Ashok Kumar</v>
      </c>
      <c r="C492" s="5" t="str">
        <f>IFERROR(__xludf.DUMMYFUNCTION("""COMPUTED_VALUE"""),"ashok.kumar@onixnet.com")</f>
        <v>ashok.kumar@onixnet.com</v>
      </c>
      <c r="D492" s="4" t="s">
        <v>11</v>
      </c>
      <c r="E492" s="6" t="str">
        <f>IFERROR(__xludf.DUMMYFUNCTION("vlookup($A492,importrange(""1fyGnaViAX9kns28pvsfPvI9925sAI7kxPlM7jpuHVJM"",""Validation!A:Z""),11,0)"),"Delivery Services")</f>
        <v>Delivery Services</v>
      </c>
      <c r="F492" s="6" t="str">
        <f>IFERROR(__xludf.DUMMYFUNCTION("vlookup($A492,importrange(""1fyGnaViAX9kns28pvsfPvI9925sAI7kxPlM7jpuHVJM"",""Validation!A:Z""),23,0)"),"Anubhav Sharma")</f>
        <v>Anubhav Sharma</v>
      </c>
      <c r="G492" s="6" t="str">
        <f>IFERROR(__xludf.DUMMYFUNCTION("vlookup(A492,importrange(""1fyGnaViAX9kns28pvsfPvI9925sAI7kxPlM7jpuHVJM"",""Validation!A:Z""),22,0)"),"Cluster - Varun")</f>
        <v>Cluster - Varun</v>
      </c>
      <c r="H492" s="4" t="str">
        <f>IFERROR(__xludf.DUMMYFUNCTION("vlookup(C492,importrange(""1kw74ismGU34AsZ5x-W4x7F3Zt2xc8NSYcCVMrCJBmdQ"",""DRP for 8 products!B:C""),2,0)"),"ONIAKWLF9")</f>
        <v>ONIAKWLF9</v>
      </c>
      <c r="I492" s="7">
        <f>IFERROR(__xludf.DUMMYFUNCTION("vlookup(C492,importrange(""1kw74ismGU34AsZ5x-W4x7F3Zt2xc8NSYcCVMrCJBmdQ"",""DRP for 8 products!B:E""),4,0)"),14.0)</f>
        <v>14</v>
      </c>
      <c r="J492" s="8" t="str">
        <f t="shared" si="1"/>
        <v>Tier 4</v>
      </c>
      <c r="K492" s="9" t="str">
        <f t="shared" si="2"/>
        <v>Active</v>
      </c>
      <c r="L492" s="4" t="str">
        <f>IFERROR(__xludf.DUMMYFUNCTION("vlookup(C492,importrange(""1kw74ismGU34AsZ5x-W4x7F3Zt2xc8NSYcCVMrCJBmdQ"",""DRP for 8 products!B:H""),6,0)"),"AlloyDB for PostgreSQL")</f>
        <v>AlloyDB for PostgreSQL</v>
      </c>
      <c r="M492" s="10" t="str">
        <f t="shared" si="3"/>
        <v>Yes</v>
      </c>
    </row>
    <row r="493">
      <c r="A493" s="4" t="str">
        <f>IFERROR(__xludf.DUMMYFUNCTION("vlookup(C493,IMPORTRANGE(""1Kgoo8qyo6zMtf_5B03ksZz228jg0XpZ4_KXsdHQ4Vks"",""14 Sept!A:B""),2,0)"),"DMC1226")</f>
        <v>DMC1226</v>
      </c>
      <c r="B493" s="5" t="str">
        <f>IFERROR(__xludf.DUMMYFUNCTION("""COMPUTED_VALUE"""),"Prajjwal Sukheja")</f>
        <v>Prajjwal Sukheja</v>
      </c>
      <c r="C493" s="5" t="str">
        <f>IFERROR(__xludf.DUMMYFUNCTION("""COMPUTED_VALUE"""),"prajjwal.sukheja@onixnet.us")</f>
        <v>prajjwal.sukheja@onixnet.us</v>
      </c>
      <c r="D493" s="4" t="s">
        <v>11</v>
      </c>
      <c r="E493" s="6" t="str">
        <f>IFERROR(__xludf.DUMMYFUNCTION("vlookup($A493,importrange(""1fyGnaViAX9kns28pvsfPvI9925sAI7kxPlM7jpuHVJM"",""Validation!A:Z""),11,0)"),"Delivery Services")</f>
        <v>Delivery Services</v>
      </c>
      <c r="F493" s="6" t="str">
        <f>IFERROR(__xludf.DUMMYFUNCTION("vlookup($A493,importrange(""1fyGnaViAX9kns28pvsfPvI9925sAI7kxPlM7jpuHVJM"",""Validation!A:Z""),23,0)"),"Kanhaiya Jha")</f>
        <v>Kanhaiya Jha</v>
      </c>
      <c r="G493" s="6" t="str">
        <f>IFERROR(__xludf.DUMMYFUNCTION("vlookup(A493,importrange(""1fyGnaViAX9kns28pvsfPvI9925sAI7kxPlM7jpuHVJM"",""Validation!A:Z""),22,0)"),"Cluster - Kanhaiya")</f>
        <v>Cluster - Kanhaiya</v>
      </c>
      <c r="H493" s="4" t="str">
        <f>IFERROR(__xludf.DUMMYFUNCTION("vlookup(C493,importrange(""1kw74ismGU34AsZ5x-W4x7F3Zt2xc8NSYcCVMrCJBmdQ"",""DRP for 8 products!B:C""),2,0)"),"ONIPSXTY2")</f>
        <v>ONIPSXTY2</v>
      </c>
      <c r="I493" s="7">
        <f>IFERROR(__xludf.DUMMYFUNCTION("vlookup(C493,importrange(""1kw74ismGU34AsZ5x-W4x7F3Zt2xc8NSYcCVMrCJBmdQ"",""DRP for 8 products!B:E""),4,0)"),5.0)</f>
        <v>5</v>
      </c>
      <c r="J493" s="8" t="str">
        <f t="shared" si="1"/>
        <v>Tier 4</v>
      </c>
      <c r="K493" s="9" t="str">
        <f t="shared" si="2"/>
        <v>Active</v>
      </c>
      <c r="L493" s="4" t="str">
        <f>IFERROR(__xludf.DUMMYFUNCTION("vlookup(C493,importrange(""1kw74ismGU34AsZ5x-W4x7F3Zt2xc8NSYcCVMrCJBmdQ"",""DRP for 8 products!B:H""),6,0)"),"Dataflow")</f>
        <v>Dataflow</v>
      </c>
      <c r="M493" s="10" t="str">
        <f t="shared" si="3"/>
        <v>Yes</v>
      </c>
    </row>
    <row r="494">
      <c r="A494" s="4" t="str">
        <f>IFERROR(__xludf.DUMMYFUNCTION("vlookup(C494,IMPORTRANGE(""1Kgoo8qyo6zMtf_5B03ksZz228jg0XpZ4_KXsdHQ4Vks"",""14 Sept!A:B""),2,0)"),"DME3343")</f>
        <v>DME3343</v>
      </c>
      <c r="B494" s="5" t="str">
        <f>IFERROR(__xludf.DUMMYFUNCTION("""COMPUTED_VALUE"""),"Aayushi Agrawal")</f>
        <v>Aayushi Agrawal</v>
      </c>
      <c r="C494" s="5" t="str">
        <f>IFERROR(__xludf.DUMMYFUNCTION("""COMPUTED_VALUE"""),"aayushi.agrawal@onixnet.com")</f>
        <v>aayushi.agrawal@onixnet.com</v>
      </c>
      <c r="D494" s="4" t="s">
        <v>11</v>
      </c>
      <c r="E494" s="6" t="str">
        <f>IFERROR(__xludf.DUMMYFUNCTION("vlookup($A494,importrange(""1fyGnaViAX9kns28pvsfPvI9925sAI7kxPlM7jpuHVJM"",""Validation!A:Z""),11,0)"),"Delivery Services")</f>
        <v>Delivery Services</v>
      </c>
      <c r="F494" s="6" t="str">
        <f>IFERROR(__xludf.DUMMYFUNCTION("vlookup($A494,importrange(""1fyGnaViAX9kns28pvsfPvI9925sAI7kxPlM7jpuHVJM"",""Validation!A:Z""),23,0)"),"Anubhav Sharma")</f>
        <v>Anubhav Sharma</v>
      </c>
      <c r="G494" s="6" t="str">
        <f>IFERROR(__xludf.DUMMYFUNCTION("vlookup(A494,importrange(""1fyGnaViAX9kns28pvsfPvI9925sAI7kxPlM7jpuHVJM"",""Validation!A:Z""),22,0)"),"Cluster - Varun")</f>
        <v>Cluster - Varun</v>
      </c>
      <c r="H494" s="4" t="str">
        <f>IFERROR(__xludf.DUMMYFUNCTION("vlookup(C494,importrange(""1kw74ismGU34AsZ5x-W4x7F3Zt2xc8NSYcCVMrCJBmdQ"",""DRP for 8 products!B:C""),2,0)"),"ONIAASOG0")</f>
        <v>ONIAASOG0</v>
      </c>
      <c r="I494" s="7">
        <f>IFERROR(__xludf.DUMMYFUNCTION("vlookup(C494,importrange(""1kw74ismGU34AsZ5x-W4x7F3Zt2xc8NSYcCVMrCJBmdQ"",""DRP for 8 products!B:E""),4,0)"),24.0)</f>
        <v>24</v>
      </c>
      <c r="J494" s="8" t="str">
        <f t="shared" si="1"/>
        <v>Tier 3</v>
      </c>
      <c r="K494" s="9" t="str">
        <f t="shared" si="2"/>
        <v>Active</v>
      </c>
      <c r="L494" s="4" t="str">
        <f>IFERROR(__xludf.DUMMYFUNCTION("vlookup(C494,importrange(""1kw74ismGU34AsZ5x-W4x7F3Zt2xc8NSYcCVMrCJBmdQ"",""DRP for 8 products!B:H""),6,0)"),"AlloyDB for PostgreSQL")</f>
        <v>AlloyDB for PostgreSQL</v>
      </c>
      <c r="M494" s="10" t="str">
        <f t="shared" si="3"/>
        <v>Yes</v>
      </c>
    </row>
    <row r="495">
      <c r="A495" s="4" t="str">
        <f>IFERROR(__xludf.DUMMYFUNCTION("vlookup(C495,IMPORTRANGE(""1Kgoo8qyo6zMtf_5B03ksZz228jg0XpZ4_KXsdHQ4Vks"",""14 Sept!A:B""),2,0)"),"DMC1227")</f>
        <v>DMC1227</v>
      </c>
      <c r="B495" s="5" t="str">
        <f>IFERROR(__xludf.DUMMYFUNCTION("""COMPUTED_VALUE"""),"Mandar Altekar")</f>
        <v>Mandar Altekar</v>
      </c>
      <c r="C495" s="5" t="str">
        <f>IFERROR(__xludf.DUMMYFUNCTION("""COMPUTED_VALUE"""),"mandar.altekar@onixnet.us")</f>
        <v>mandar.altekar@onixnet.us</v>
      </c>
      <c r="D495" s="4" t="s">
        <v>11</v>
      </c>
      <c r="E495" s="6" t="str">
        <f>IFERROR(__xludf.DUMMYFUNCTION("vlookup($A495,importrange(""1fyGnaViAX9kns28pvsfPvI9925sAI7kxPlM7jpuHVJM"",""Validation!A:Z""),11,0)"),"Delivery Services")</f>
        <v>Delivery Services</v>
      </c>
      <c r="F495" s="6" t="str">
        <f>IFERROR(__xludf.DUMMYFUNCTION("vlookup($A495,importrange(""1fyGnaViAX9kns28pvsfPvI9925sAI7kxPlM7jpuHVJM"",""Validation!A:Z""),23,0)"),"Anubhav Sharma")</f>
        <v>Anubhav Sharma</v>
      </c>
      <c r="G495" s="6" t="str">
        <f>IFERROR(__xludf.DUMMYFUNCTION("vlookup(A495,importrange(""1fyGnaViAX9kns28pvsfPvI9925sAI7kxPlM7jpuHVJM"",""Validation!A:Z""),22,0)"),"Cluster - Varun")</f>
        <v>Cluster - Varun</v>
      </c>
      <c r="H495" s="4" t="str">
        <f>IFERROR(__xludf.DUMMYFUNCTION("vlookup(C495,importrange(""1kw74ismGU34AsZ5x-W4x7F3Zt2xc8NSYcCVMrCJBmdQ"",""DRP for 8 products!B:C""),2,0)"),"ONIMADZL5")</f>
        <v>ONIMADZL5</v>
      </c>
      <c r="I495" s="7">
        <f>IFERROR(__xludf.DUMMYFUNCTION("vlookup(C495,importrange(""1kw74ismGU34AsZ5x-W4x7F3Zt2xc8NSYcCVMrCJBmdQ"",""DRP for 8 products!B:E""),4,0)"),14.0)</f>
        <v>14</v>
      </c>
      <c r="J495" s="8" t="str">
        <f t="shared" si="1"/>
        <v>Tier 4</v>
      </c>
      <c r="K495" s="9" t="str">
        <f t="shared" si="2"/>
        <v>Active</v>
      </c>
      <c r="L495" s="4" t="str">
        <f>IFERROR(__xludf.DUMMYFUNCTION("vlookup(C495,importrange(""1kw74ismGU34AsZ5x-W4x7F3Zt2xc8NSYcCVMrCJBmdQ"",""DRP for 8 products!B:H""),6,0)"),"Cloud SQL")</f>
        <v>Cloud SQL</v>
      </c>
      <c r="M495" s="10" t="str">
        <f t="shared" si="3"/>
        <v>Yes</v>
      </c>
    </row>
    <row r="496">
      <c r="A496" s="4" t="str">
        <f>IFERROR(__xludf.DUMMYFUNCTION("vlookup(C496,IMPORTRANGE(""1Kgoo8qyo6zMtf_5B03ksZz228jg0XpZ4_KXsdHQ4Vks"",""14 Sept!A:B""),2,0)"),"DME1048")</f>
        <v>DME1048</v>
      </c>
      <c r="B496" s="5" t="str">
        <f>IFERROR(__xludf.DUMMYFUNCTION("""COMPUTED_VALUE"""),"Rahul Sonawane")</f>
        <v>Rahul Sonawane</v>
      </c>
      <c r="C496" s="5" t="str">
        <f>IFERROR(__xludf.DUMMYFUNCTION("""COMPUTED_VALUE"""),"rahul.sonawane@onixnet.com")</f>
        <v>rahul.sonawane@onixnet.com</v>
      </c>
      <c r="D496" s="4" t="s">
        <v>11</v>
      </c>
      <c r="E496" s="6" t="str">
        <f>IFERROR(__xludf.DUMMYFUNCTION("vlookup($A496,importrange(""1fyGnaViAX9kns28pvsfPvI9925sAI7kxPlM7jpuHVJM"",""Validation!A:Z""),11,0)"),"Delivery Services")</f>
        <v>Delivery Services</v>
      </c>
      <c r="F496" s="6" t="str">
        <f>IFERROR(__xludf.DUMMYFUNCTION("vlookup($A496,importrange(""1fyGnaViAX9kns28pvsfPvI9925sAI7kxPlM7jpuHVJM"",""Validation!A:Z""),23,0)"),"Rahul Chandak")</f>
        <v>Rahul Chandak</v>
      </c>
      <c r="G496" s="6" t="str">
        <f>IFERROR(__xludf.DUMMYFUNCTION("vlookup(A496,importrange(""1fyGnaViAX9kns28pvsfPvI9925sAI7kxPlM7jpuHVJM"",""Validation!A:Z""),22,0)"),"Cluster - Sagar")</f>
        <v>Cluster - Sagar</v>
      </c>
      <c r="H496" s="4" t="str">
        <f>IFERROR(__xludf.DUMMYFUNCTION("vlookup(C496,importrange(""1kw74ismGU34AsZ5x-W4x7F3Zt2xc8NSYcCVMrCJBmdQ"",""DRP for 8 products!B:C""),2,0)"),"ONIRSOSI0")</f>
        <v>ONIRSOSI0</v>
      </c>
      <c r="I496" s="7">
        <f>IFERROR(__xludf.DUMMYFUNCTION("vlookup(C496,importrange(""1kw74ismGU34AsZ5x-W4x7F3Zt2xc8NSYcCVMrCJBmdQ"",""DRP for 8 products!B:E""),4,0)"),19.0)</f>
        <v>19</v>
      </c>
      <c r="J496" s="8" t="str">
        <f t="shared" si="1"/>
        <v>Tier 4</v>
      </c>
      <c r="K496" s="9" t="str">
        <f t="shared" si="2"/>
        <v>Active</v>
      </c>
      <c r="L496" s="4" t="str">
        <f>IFERROR(__xludf.DUMMYFUNCTION("vlookup(C496,importrange(""1kw74ismGU34AsZ5x-W4x7F3Zt2xc8NSYcCVMrCJBmdQ"",""DRP for 8 products!B:H""),6,0)"),"BigQuery")</f>
        <v>BigQuery</v>
      </c>
      <c r="M496" s="10" t="str">
        <f t="shared" si="3"/>
        <v>Yes</v>
      </c>
    </row>
    <row r="497">
      <c r="A497" s="4" t="str">
        <f>IFERROR(__xludf.DUMMYFUNCTION("vlookup(C497,IMPORTRANGE(""1Kgoo8qyo6zMtf_5B03ksZz228jg0XpZ4_KXsdHQ4Vks"",""14 Sept!A:B""),2,0)"),"DME3354")</f>
        <v>DME3354</v>
      </c>
      <c r="B497" s="5" t="str">
        <f>IFERROR(__xludf.DUMMYFUNCTION("""COMPUTED_VALUE"""),"Narayan Gauda")</f>
        <v>Narayan Gauda</v>
      </c>
      <c r="C497" s="5" t="str">
        <f>IFERROR(__xludf.DUMMYFUNCTION("""COMPUTED_VALUE"""),"narayan.gauda@onixnet.com")</f>
        <v>narayan.gauda@onixnet.com</v>
      </c>
      <c r="D497" s="4" t="s">
        <v>11</v>
      </c>
      <c r="E497" s="6" t="str">
        <f>IFERROR(__xludf.DUMMYFUNCTION("vlookup($A497,importrange(""1fyGnaViAX9kns28pvsfPvI9925sAI7kxPlM7jpuHVJM"",""Validation!A:Z""),11,0)"),"Delivery Services")</f>
        <v>Delivery Services</v>
      </c>
      <c r="F497" s="6" t="str">
        <f>IFERROR(__xludf.DUMMYFUNCTION("vlookup($A497,importrange(""1fyGnaViAX9kns28pvsfPvI9925sAI7kxPlM7jpuHVJM"",""Validation!A:Z""),23,0)"),"Rajinder Thakur")</f>
        <v>Rajinder Thakur</v>
      </c>
      <c r="G497" s="6" t="str">
        <f>IFERROR(__xludf.DUMMYFUNCTION("vlookup(A497,importrange(""1fyGnaViAX9kns28pvsfPvI9925sAI7kxPlM7jpuHVJM"",""Validation!A:Z""),22,0)"),"Cluster - Varun")</f>
        <v>Cluster - Varun</v>
      </c>
      <c r="H497" s="4" t="str">
        <f>IFERROR(__xludf.DUMMYFUNCTION("vlookup(C497,importrange(""1kw74ismGU34AsZ5x-W4x7F3Zt2xc8NSYcCVMrCJBmdQ"",""DRP for 8 products!B:C""),2,0)"),"ONINGFYG0")</f>
        <v>ONINGFYG0</v>
      </c>
      <c r="I497" s="7">
        <f>IFERROR(__xludf.DUMMYFUNCTION("vlookup(C497,importrange(""1kw74ismGU34AsZ5x-W4x7F3Zt2xc8NSYcCVMrCJBmdQ"",""DRP for 8 products!B:E""),4,0)"),18.0)</f>
        <v>18</v>
      </c>
      <c r="J497" s="8" t="str">
        <f t="shared" si="1"/>
        <v>Tier 4</v>
      </c>
      <c r="K497" s="9" t="str">
        <f t="shared" si="2"/>
        <v>Active</v>
      </c>
      <c r="L497" s="4" t="str">
        <f>IFERROR(__xludf.DUMMYFUNCTION("vlookup(C497,importrange(""1kw74ismGU34AsZ5x-W4x7F3Zt2xc8NSYcCVMrCJBmdQ"",""DRP for 8 products!B:H""),6,0)"),"AlloyDB for PostgreSQL")</f>
        <v>AlloyDB for PostgreSQL</v>
      </c>
      <c r="M497" s="10" t="str">
        <f t="shared" si="3"/>
        <v>Yes</v>
      </c>
    </row>
    <row r="498">
      <c r="A498" s="4" t="str">
        <f>IFERROR(__xludf.DUMMYFUNCTION("vlookup(C498,IMPORTRANGE(""1Kgoo8qyo6zMtf_5B03ksZz228jg0XpZ4_KXsdHQ4Vks"",""14 Sept!A:B""),2,0)"),"DME2615")</f>
        <v>DME2615</v>
      </c>
      <c r="B498" s="5" t="str">
        <f>IFERROR(__xludf.DUMMYFUNCTION("""COMPUTED_VALUE"""),"Gayatri Bondale")</f>
        <v>Gayatri Bondale</v>
      </c>
      <c r="C498" s="5" t="str">
        <f>IFERROR(__xludf.DUMMYFUNCTION("""COMPUTED_VALUE"""),"gayatri.bondale@onixnet.com")</f>
        <v>gayatri.bondale@onixnet.com</v>
      </c>
      <c r="D498" s="4" t="s">
        <v>11</v>
      </c>
      <c r="E498" s="6" t="str">
        <f>IFERROR(__xludf.DUMMYFUNCTION("vlookup($A498,importrange(""1fyGnaViAX9kns28pvsfPvI9925sAI7kxPlM7jpuHVJM"",""Validation!A:Z""),11,0)"),"Delivery Services")</f>
        <v>Delivery Services</v>
      </c>
      <c r="F498" s="6" t="str">
        <f>IFERROR(__xludf.DUMMYFUNCTION("vlookup($A498,importrange(""1fyGnaViAX9kns28pvsfPvI9925sAI7kxPlM7jpuHVJM"",""Validation!A:Z""),23,0)"),"Arpana Shetty")</f>
        <v>Arpana Shetty</v>
      </c>
      <c r="G498" s="6" t="str">
        <f>IFERROR(__xludf.DUMMYFUNCTION("vlookup(A498,importrange(""1fyGnaViAX9kns28pvsfPvI9925sAI7kxPlM7jpuHVJM"",""Validation!A:Z""),22,0)"),"Cluster - Gaurav")</f>
        <v>Cluster - Gaurav</v>
      </c>
      <c r="H498" s="4" t="str">
        <f>IFERROR(__xludf.DUMMYFUNCTION("vlookup(C498,importrange(""1kw74ismGU34AsZ5x-W4x7F3Zt2xc8NSYcCVMrCJBmdQ"",""DRP for 8 products!B:C""),2,0)"),"ONIGBLWT8")</f>
        <v>ONIGBLWT8</v>
      </c>
      <c r="I498" s="7">
        <f>IFERROR(__xludf.DUMMYFUNCTION("vlookup(C498,importrange(""1kw74ismGU34AsZ5x-W4x7F3Zt2xc8NSYcCVMrCJBmdQ"",""DRP for 8 products!B:E""),4,0)"),38.0)</f>
        <v>38</v>
      </c>
      <c r="J498" s="8" t="str">
        <f t="shared" si="1"/>
        <v>Tier 2</v>
      </c>
      <c r="K498" s="9" t="str">
        <f t="shared" si="2"/>
        <v>Active</v>
      </c>
      <c r="L498" s="4" t="str">
        <f>IFERROR(__xludf.DUMMYFUNCTION("vlookup(C498,importrange(""1kw74ismGU34AsZ5x-W4x7F3Zt2xc8NSYcCVMrCJBmdQ"",""DRP for 8 products!B:H""),6,0)"),"BigQuery")</f>
        <v>BigQuery</v>
      </c>
      <c r="M498" s="10" t="str">
        <f t="shared" si="3"/>
        <v>Yes</v>
      </c>
    </row>
    <row r="499">
      <c r="A499" s="4" t="str">
        <f>IFERROR(__xludf.DUMMYFUNCTION("vlookup(C499,IMPORTRANGE(""1Kgoo8qyo6zMtf_5B03ksZz228jg0XpZ4_KXsdHQ4Vks"",""14 Sept!A:B""),2,0)"),"DME2200")</f>
        <v>DME2200</v>
      </c>
      <c r="B499" s="5" t="str">
        <f>IFERROR(__xludf.DUMMYFUNCTION("""COMPUTED_VALUE"""),"Mayur Tawhare")</f>
        <v>Mayur Tawhare</v>
      </c>
      <c r="C499" s="5" t="str">
        <f>IFERROR(__xludf.DUMMYFUNCTION("""COMPUTED_VALUE"""),"mayur.tawhare@onixnet.com")</f>
        <v>mayur.tawhare@onixnet.com</v>
      </c>
      <c r="D499" s="4" t="s">
        <v>11</v>
      </c>
      <c r="E499" s="6" t="str">
        <f>IFERROR(__xludf.DUMMYFUNCTION("vlookup($A499,importrange(""1fyGnaViAX9kns28pvsfPvI9925sAI7kxPlM7jpuHVJM"",""Validation!A:Z""),11,0)"),"Delivery Services")</f>
        <v>Delivery Services</v>
      </c>
      <c r="F499" s="6" t="str">
        <f>IFERROR(__xludf.DUMMYFUNCTION("vlookup($A499,importrange(""1fyGnaViAX9kns28pvsfPvI9925sAI7kxPlM7jpuHVJM"",""Validation!A:Z""),23,0)"),"Varun Katyal")</f>
        <v>Varun Katyal</v>
      </c>
      <c r="G499" s="6" t="str">
        <f>IFERROR(__xludf.DUMMYFUNCTION("vlookup(A499,importrange(""1fyGnaViAX9kns28pvsfPvI9925sAI7kxPlM7jpuHVJM"",""Validation!A:Z""),22,0)"),"Cluster - Varun")</f>
        <v>Cluster - Varun</v>
      </c>
      <c r="H499" s="4" t="str">
        <f>IFERROR(__xludf.DUMMYFUNCTION("vlookup(C499,importrange(""1kw74ismGU34AsZ5x-W4x7F3Zt2xc8NSYcCVMrCJBmdQ"",""DRP for 8 products!B:C""),2,0)"),"ONIMTGDU4")</f>
        <v>ONIMTGDU4</v>
      </c>
      <c r="I499" s="7">
        <f>IFERROR(__xludf.DUMMYFUNCTION("vlookup(C499,importrange(""1kw74ismGU34AsZ5x-W4x7F3Zt2xc8NSYcCVMrCJBmdQ"",""DRP for 8 products!B:E""),4,0)"),55.0)</f>
        <v>55</v>
      </c>
      <c r="J499" s="8" t="str">
        <f t="shared" si="1"/>
        <v>Tier 1</v>
      </c>
      <c r="K499" s="9" t="str">
        <f t="shared" si="2"/>
        <v>Active</v>
      </c>
      <c r="L499" s="4" t="str">
        <f>IFERROR(__xludf.DUMMYFUNCTION("vlookup(C499,importrange(""1kw74ismGU34AsZ5x-W4x7F3Zt2xc8NSYcCVMrCJBmdQ"",""DRP for 8 products!B:H""),6,0)"),"BigQuery")</f>
        <v>BigQuery</v>
      </c>
      <c r="M499" s="10" t="str">
        <f t="shared" si="3"/>
        <v>Yes</v>
      </c>
    </row>
    <row r="500">
      <c r="A500" s="4" t="str">
        <f>IFERROR(__xludf.DUMMYFUNCTION("vlookup(C500,IMPORTRANGE(""1Kgoo8qyo6zMtf_5B03ksZz228jg0XpZ4_KXsdHQ4Vks"",""14 Sept!A:B""),2,0)"),"DME0554")</f>
        <v>DME0554</v>
      </c>
      <c r="B500" s="5" t="str">
        <f>IFERROR(__xludf.DUMMYFUNCTION("""COMPUTED_VALUE"""),"kanhaiya jha")</f>
        <v>kanhaiya jha</v>
      </c>
      <c r="C500" s="5" t="str">
        <f>IFERROR(__xludf.DUMMYFUNCTION("""COMPUTED_VALUE"""),"kanhaiya.jha@onixnet.com")</f>
        <v>kanhaiya.jha@onixnet.com</v>
      </c>
      <c r="D500" s="4" t="s">
        <v>11</v>
      </c>
      <c r="E500" s="6" t="str">
        <f>IFERROR(__xludf.DUMMYFUNCTION("vlookup($A500,importrange(""1fyGnaViAX9kns28pvsfPvI9925sAI7kxPlM7jpuHVJM"",""Validation!A:Z""),11,0)"),"Delivery Services")</f>
        <v>Delivery Services</v>
      </c>
      <c r="F500" s="6" t="str">
        <f>IFERROR(__xludf.DUMMYFUNCTION("vlookup($A500,importrange(""1fyGnaViAX9kns28pvsfPvI9925sAI7kxPlM7jpuHVJM"",""Validation!A:Z""),23,0)"),"Gaurav Bharara")</f>
        <v>Gaurav Bharara</v>
      </c>
      <c r="G500" s="6" t="str">
        <f>IFERROR(__xludf.DUMMYFUNCTION("vlookup(A500,importrange(""1fyGnaViAX9kns28pvsfPvI9925sAI7kxPlM7jpuHVJM"",""Validation!A:Z""),22,0)"),"Cluster - Kanhaiya")</f>
        <v>Cluster - Kanhaiya</v>
      </c>
      <c r="H500" s="4" t="str">
        <f>IFERROR(__xludf.DUMMYFUNCTION("vlookup(C500,importrange(""1kw74ismGU34AsZ5x-W4x7F3Zt2xc8NSYcCVMrCJBmdQ"",""DRP for 8 products!B:C""),2,0)"),"ONIKJCIM5")</f>
        <v>ONIKJCIM5</v>
      </c>
      <c r="I500" s="7">
        <f>IFERROR(__xludf.DUMMYFUNCTION("vlookup(C500,importrange(""1kw74ismGU34AsZ5x-W4x7F3Zt2xc8NSYcCVMrCJBmdQ"",""DRP for 8 products!B:E""),4,0)"),19.0)</f>
        <v>19</v>
      </c>
      <c r="J500" s="8" t="str">
        <f t="shared" si="1"/>
        <v>Tier 4</v>
      </c>
      <c r="K500" s="9" t="str">
        <f t="shared" si="2"/>
        <v>Active</v>
      </c>
      <c r="L500" s="4" t="str">
        <f>IFERROR(__xludf.DUMMYFUNCTION("vlookup(C500,importrange(""1kw74ismGU34AsZ5x-W4x7F3Zt2xc8NSYcCVMrCJBmdQ"",""DRP for 8 products!B:H""),6,0)"),"BigQuery")</f>
        <v>BigQuery</v>
      </c>
      <c r="M500" s="10" t="str">
        <f t="shared" si="3"/>
        <v>Yes</v>
      </c>
    </row>
    <row r="501">
      <c r="A501" s="4" t="str">
        <f>IFERROR(__xludf.DUMMYFUNCTION("vlookup(C501,IMPORTRANGE(""1Kgoo8qyo6zMtf_5B03ksZz228jg0XpZ4_KXsdHQ4Vks"",""14 Sept!A:B""),2,0)"),"DMUK0010")</f>
        <v>DMUK0010</v>
      </c>
      <c r="B501" s="5" t="str">
        <f>IFERROR(__xludf.DUMMYFUNCTION("""COMPUTED_VALUE"""),"Siddharth Kalpavriksha")</f>
        <v>Siddharth Kalpavriksha</v>
      </c>
      <c r="C501" s="5" t="str">
        <f>IFERROR(__xludf.DUMMYFUNCTION("""COMPUTED_VALUE"""),"siddharth.k@onixnet.com")</f>
        <v>siddharth.k@onixnet.com</v>
      </c>
      <c r="D501" s="4" t="s">
        <v>11</v>
      </c>
      <c r="E501" s="6" t="str">
        <f>IFERROR(__xludf.DUMMYFUNCTION("vlookup($A501,importrange(""1fyGnaViAX9kns28pvsfPvI9925sAI7kxPlM7jpuHVJM"",""Validation!A:Z""),11,0)"),"Solutions and Pre-Sales")</f>
        <v>Solutions and Pre-Sales</v>
      </c>
      <c r="F501" s="6" t="str">
        <f>IFERROR(__xludf.DUMMYFUNCTION("vlookup($A501,importrange(""1fyGnaViAX9kns28pvsfPvI9925sAI7kxPlM7jpuHVJM"",""Validation!A:Z""),23,0)"),"Vittorio Massimo Sanvito")</f>
        <v>Vittorio Massimo Sanvito</v>
      </c>
      <c r="G501" s="6" t="str">
        <f>IFERROR(__xludf.DUMMYFUNCTION("vlookup(A501,importrange(""1fyGnaViAX9kns28pvsfPvI9925sAI7kxPlM7jpuHVJM"",""Validation!A:Z""),22,0)"),"Portfolio - Ankur (Sales)")</f>
        <v>Portfolio - Ankur (Sales)</v>
      </c>
      <c r="H501" s="4" t="str">
        <f>IFERROR(__xludf.DUMMYFUNCTION("vlookup(C501,importrange(""1kw74ismGU34AsZ5x-W4x7F3Zt2xc8NSYcCVMrCJBmdQ"",""DRP for 8 products!B:C""),2,0)"),"ONISKAFY0")</f>
        <v>ONISKAFY0</v>
      </c>
      <c r="I501" s="7">
        <f>IFERROR(__xludf.DUMMYFUNCTION("vlookup(C501,importrange(""1kw74ismGU34AsZ5x-W4x7F3Zt2xc8NSYcCVMrCJBmdQ"",""DRP for 8 products!B:E""),4,0)"),19.0)</f>
        <v>19</v>
      </c>
      <c r="J501" s="8" t="str">
        <f t="shared" si="1"/>
        <v>Tier 4</v>
      </c>
      <c r="K501" s="9" t="str">
        <f t="shared" si="2"/>
        <v>Active</v>
      </c>
      <c r="L501" s="4" t="str">
        <f>IFERROR(__xludf.DUMMYFUNCTION("vlookup(C501,importrange(""1kw74ismGU34AsZ5x-W4x7F3Zt2xc8NSYcCVMrCJBmdQ"",""DRP for 8 products!B:H""),6,0)"),"BigQuery")</f>
        <v>BigQuery</v>
      </c>
      <c r="M501" s="10" t="str">
        <f t="shared" si="3"/>
        <v>Yes</v>
      </c>
    </row>
    <row r="502">
      <c r="A502" s="4" t="str">
        <f>IFERROR(__xludf.DUMMYFUNCTION("vlookup(C502,IMPORTRANGE(""1Kgoo8qyo6zMtf_5B03ksZz228jg0XpZ4_KXsdHQ4Vks"",""14 Sept!A:B""),2,0)"),"DME3074")</f>
        <v>DME3074</v>
      </c>
      <c r="B502" s="5" t="str">
        <f>IFERROR(__xludf.DUMMYFUNCTION("""COMPUTED_VALUE"""),"ManjunathaReddy Punugoti")</f>
        <v>ManjunathaReddy Punugoti</v>
      </c>
      <c r="C502" s="5" t="str">
        <f>IFERROR(__xludf.DUMMYFUNCTION("""COMPUTED_VALUE"""),"manjunatha.punugoti@onixnet.com")</f>
        <v>manjunatha.punugoti@onixnet.com</v>
      </c>
      <c r="D502" s="4" t="s">
        <v>11</v>
      </c>
      <c r="E502" s="6" t="str">
        <f>IFERROR(__xludf.DUMMYFUNCTION("vlookup($A502,importrange(""1fyGnaViAX9kns28pvsfPvI9925sAI7kxPlM7jpuHVJM"",""Validation!A:Z""),11,0)"),"Delivery Services")</f>
        <v>Delivery Services</v>
      </c>
      <c r="F502" s="6" t="str">
        <f>IFERROR(__xludf.DUMMYFUNCTION("vlookup($A502,importrange(""1fyGnaViAX9kns28pvsfPvI9925sAI7kxPlM7jpuHVJM"",""Validation!A:Z""),23,0)"),"Vurimi Vamsi Krishna")</f>
        <v>Vurimi Vamsi Krishna</v>
      </c>
      <c r="G502" s="6" t="str">
        <f>IFERROR(__xludf.DUMMYFUNCTION("vlookup(A502,importrange(""1fyGnaViAX9kns28pvsfPvI9925sAI7kxPlM7jpuHVJM"",""Validation!A:Z""),22,0)"),"Cluster - Varun")</f>
        <v>Cluster - Varun</v>
      </c>
      <c r="H502" s="4" t="str">
        <f>IFERROR(__xludf.DUMMYFUNCTION("vlookup(C502,importrange(""1kw74ismGU34AsZ5x-W4x7F3Zt2xc8NSYcCVMrCJBmdQ"",""DRP for 8 products!B:C""),2,0)"),"ONIMPGUO5")</f>
        <v>ONIMPGUO5</v>
      </c>
      <c r="I502" s="7">
        <f>IFERROR(__xludf.DUMMYFUNCTION("vlookup(C502,importrange(""1kw74ismGU34AsZ5x-W4x7F3Zt2xc8NSYcCVMrCJBmdQ"",""DRP for 8 products!B:E""),4,0)"),23.0)</f>
        <v>23</v>
      </c>
      <c r="J502" s="8" t="str">
        <f t="shared" si="1"/>
        <v>Tier 3</v>
      </c>
      <c r="K502" s="9" t="str">
        <f t="shared" si="2"/>
        <v>Active</v>
      </c>
      <c r="L502" s="4" t="str">
        <f>IFERROR(__xludf.DUMMYFUNCTION("vlookup(C502,importrange(""1kw74ismGU34AsZ5x-W4x7F3Zt2xc8NSYcCVMrCJBmdQ"",""DRP for 8 products!B:H""),6,0)"),"BigQuery")</f>
        <v>BigQuery</v>
      </c>
      <c r="M502" s="10" t="str">
        <f t="shared" si="3"/>
        <v>Yes</v>
      </c>
    </row>
    <row r="503">
      <c r="A503" s="4" t="str">
        <f>IFERROR(__xludf.DUMMYFUNCTION("vlookup(C503,IMPORTRANGE(""1Kgoo8qyo6zMtf_5B03ksZz228jg0XpZ4_KXsdHQ4Vks"",""14 Sept!A:B""),2,0)"),"DME2725")</f>
        <v>DME2725</v>
      </c>
      <c r="B503" s="5" t="str">
        <f>IFERROR(__xludf.DUMMYFUNCTION("""COMPUTED_VALUE"""),"shashikant gholap")</f>
        <v>shashikant gholap</v>
      </c>
      <c r="C503" s="5" t="str">
        <f>IFERROR(__xludf.DUMMYFUNCTION("""COMPUTED_VALUE"""),"shashikant.gholap@onixnet.com")</f>
        <v>shashikant.gholap@onixnet.com</v>
      </c>
      <c r="D503" s="4" t="s">
        <v>11</v>
      </c>
      <c r="E503" s="6" t="str">
        <f>IFERROR(__xludf.DUMMYFUNCTION("vlookup($A503,importrange(""1fyGnaViAX9kns28pvsfPvI9925sAI7kxPlM7jpuHVJM"",""Validation!A:Z""),11,0)"),"Delivery Services")</f>
        <v>Delivery Services</v>
      </c>
      <c r="F503" s="6" t="str">
        <f>IFERROR(__xludf.DUMMYFUNCTION("vlookup($A503,importrange(""1fyGnaViAX9kns28pvsfPvI9925sAI7kxPlM7jpuHVJM"",""Validation!A:Z""),23,0)"),"Anand Saraf")</f>
        <v>Anand Saraf</v>
      </c>
      <c r="G503" s="6" t="str">
        <f>IFERROR(__xludf.DUMMYFUNCTION("vlookup(A503,importrange(""1fyGnaViAX9kns28pvsfPvI9925sAI7kxPlM7jpuHVJM"",""Validation!A:Z""),22,0)"),"Cluster - Sachin")</f>
        <v>Cluster - Sachin</v>
      </c>
      <c r="H503" s="4" t="str">
        <f>IFERROR(__xludf.DUMMYFUNCTION("vlookup(C503,importrange(""1kw74ismGU34AsZ5x-W4x7F3Zt2xc8NSYcCVMrCJBmdQ"",""DRP for 8 products!B:C""),2,0)"),"ONISGXAS8")</f>
        <v>ONISGXAS8</v>
      </c>
      <c r="I503" s="7">
        <f>IFERROR(__xludf.DUMMYFUNCTION("vlookup(C503,importrange(""1kw74ismGU34AsZ5x-W4x7F3Zt2xc8NSYcCVMrCJBmdQ"",""DRP for 8 products!B:E""),4,0)"),57.0)</f>
        <v>57</v>
      </c>
      <c r="J503" s="8" t="str">
        <f t="shared" si="1"/>
        <v>Tier 1</v>
      </c>
      <c r="K503" s="9" t="str">
        <f t="shared" si="2"/>
        <v>Active</v>
      </c>
      <c r="L503" s="4" t="str">
        <f>IFERROR(__xludf.DUMMYFUNCTION("vlookup(C503,importrange(""1kw74ismGU34AsZ5x-W4x7F3Zt2xc8NSYcCVMrCJBmdQ"",""DRP for 8 products!B:H""),6,0)"),"BigQuery")</f>
        <v>BigQuery</v>
      </c>
      <c r="M503" s="10" t="str">
        <f t="shared" si="3"/>
        <v>Yes</v>
      </c>
    </row>
    <row r="504">
      <c r="A504" s="4" t="str">
        <f>IFERROR(__xludf.DUMMYFUNCTION("vlookup(C504,IMPORTRANGE(""1Kgoo8qyo6zMtf_5B03ksZz228jg0XpZ4_KXsdHQ4Vks"",""14 Sept!A:B""),2,0)"),"DME2279")</f>
        <v>DME2279</v>
      </c>
      <c r="B504" s="5" t="str">
        <f>IFERROR(__xludf.DUMMYFUNCTION("""COMPUTED_VALUE"""),"Shreyash Patil")</f>
        <v>Shreyash Patil</v>
      </c>
      <c r="C504" s="5" t="str">
        <f>IFERROR(__xludf.DUMMYFUNCTION("""COMPUTED_VALUE"""),"shreyash.patil@onixnet.com")</f>
        <v>shreyash.patil@onixnet.com</v>
      </c>
      <c r="D504" s="4" t="s">
        <v>11</v>
      </c>
      <c r="E504" s="6" t="str">
        <f>IFERROR(__xludf.DUMMYFUNCTION("vlookup($A504,importrange(""1fyGnaViAX9kns28pvsfPvI9925sAI7kxPlM7jpuHVJM"",""Validation!A:Z""),11,0)"),"Delivery Services")</f>
        <v>Delivery Services</v>
      </c>
      <c r="F504" s="6" t="str">
        <f>IFERROR(__xludf.DUMMYFUNCTION("vlookup($A504,importrange(""1fyGnaViAX9kns28pvsfPvI9925sAI7kxPlM7jpuHVJM"",""Validation!A:Z""),23,0)"),"Ashwini Kumar")</f>
        <v>Ashwini Kumar</v>
      </c>
      <c r="G504" s="6" t="str">
        <f>IFERROR(__xludf.DUMMYFUNCTION("vlookup(A504,importrange(""1fyGnaViAX9kns28pvsfPvI9925sAI7kxPlM7jpuHVJM"",""Validation!A:Z""),22,0)"),"Cluster - Kanhaiya")</f>
        <v>Cluster - Kanhaiya</v>
      </c>
      <c r="H504" s="4" t="str">
        <f>IFERROR(__xludf.DUMMYFUNCTION("vlookup(C504,importrange(""1kw74ismGU34AsZ5x-W4x7F3Zt2xc8NSYcCVMrCJBmdQ"",""DRP for 8 products!B:C""),2,0)"),"ONISPGWY6")</f>
        <v>ONISPGWY6</v>
      </c>
      <c r="I504" s="7">
        <f>IFERROR(__xludf.DUMMYFUNCTION("vlookup(C504,importrange(""1kw74ismGU34AsZ5x-W4x7F3Zt2xc8NSYcCVMrCJBmdQ"",""DRP for 8 products!B:E""),4,0)"),33.0)</f>
        <v>33</v>
      </c>
      <c r="J504" s="8" t="str">
        <f t="shared" si="1"/>
        <v>Tier 3</v>
      </c>
      <c r="K504" s="9" t="str">
        <f t="shared" si="2"/>
        <v>Active</v>
      </c>
      <c r="L504" s="4" t="str">
        <f>IFERROR(__xludf.DUMMYFUNCTION("vlookup(C504,importrange(""1kw74ismGU34AsZ5x-W4x7F3Zt2xc8NSYcCVMrCJBmdQ"",""DRP for 8 products!B:H""),6,0)"),"Dataproc")</f>
        <v>Dataproc</v>
      </c>
      <c r="M504" s="10" t="str">
        <f t="shared" si="3"/>
        <v>Yes</v>
      </c>
    </row>
    <row r="505">
      <c r="A505" s="4" t="str">
        <f>IFERROR(__xludf.DUMMYFUNCTION("vlookup(C505,IMPORTRANGE(""1Kgoo8qyo6zMtf_5B03ksZz228jg0XpZ4_KXsdHQ4Vks"",""14 Sept!A:B""),2,0)"),"DME2011")</f>
        <v>DME2011</v>
      </c>
      <c r="B505" s="5" t="str">
        <f>IFERROR(__xludf.DUMMYFUNCTION("""COMPUTED_VALUE"""),"Atharva Wankhede")</f>
        <v>Atharva Wankhede</v>
      </c>
      <c r="C505" s="5" t="str">
        <f>IFERROR(__xludf.DUMMYFUNCTION("""COMPUTED_VALUE"""),"atharva.wankhede@onixnet.com")</f>
        <v>atharva.wankhede@onixnet.com</v>
      </c>
      <c r="D505" s="4" t="s">
        <v>11</v>
      </c>
      <c r="E505" s="6" t="str">
        <f>IFERROR(__xludf.DUMMYFUNCTION("vlookup($A505,importrange(""1fyGnaViAX9kns28pvsfPvI9925sAI7kxPlM7jpuHVJM"",""Validation!A:Z""),11,0)"),"Delivery Services")</f>
        <v>Delivery Services</v>
      </c>
      <c r="F505" s="6" t="str">
        <f>IFERROR(__xludf.DUMMYFUNCTION("vlookup($A505,importrange(""1fyGnaViAX9kns28pvsfPvI9925sAI7kxPlM7jpuHVJM"",""Validation!A:Z""),23,0)"),"Javed Ansari")</f>
        <v>Javed Ansari</v>
      </c>
      <c r="G505" s="6" t="str">
        <f>IFERROR(__xludf.DUMMYFUNCTION("vlookup(A505,importrange(""1fyGnaViAX9kns28pvsfPvI9925sAI7kxPlM7jpuHVJM"",""Validation!A:Z""),22,0)"),"Cluster - Gaurav")</f>
        <v>Cluster - Gaurav</v>
      </c>
      <c r="H505" s="4" t="str">
        <f>IFERROR(__xludf.DUMMYFUNCTION("vlookup(C505,importrange(""1kw74ismGU34AsZ5x-W4x7F3Zt2xc8NSYcCVMrCJBmdQ"",""DRP for 8 products!B:C""),2,0)"),"ONIAWJAJ2")</f>
        <v>ONIAWJAJ2</v>
      </c>
      <c r="I505" s="7">
        <f>IFERROR(__xludf.DUMMYFUNCTION("vlookup(C505,importrange(""1kw74ismGU34AsZ5x-W4x7F3Zt2xc8NSYcCVMrCJBmdQ"",""DRP for 8 products!B:E""),4,0)"),23.0)</f>
        <v>23</v>
      </c>
      <c r="J505" s="8" t="str">
        <f t="shared" si="1"/>
        <v>Tier 3</v>
      </c>
      <c r="K505" s="9" t="str">
        <f t="shared" si="2"/>
        <v>Active</v>
      </c>
      <c r="L505" s="4" t="str">
        <f>IFERROR(__xludf.DUMMYFUNCTION("vlookup(C505,importrange(""1kw74ismGU34AsZ5x-W4x7F3Zt2xc8NSYcCVMrCJBmdQ"",""DRP for 8 products!B:H""),6,0)"),"Dataflow")</f>
        <v>Dataflow</v>
      </c>
      <c r="M505" s="10" t="str">
        <f t="shared" si="3"/>
        <v>Yes</v>
      </c>
    </row>
    <row r="506">
      <c r="A506" s="4" t="str">
        <f>IFERROR(__xludf.DUMMYFUNCTION("vlookup(C506,IMPORTRANGE(""1Kgoo8qyo6zMtf_5B03ksZz228jg0XpZ4_KXsdHQ4Vks"",""14 Sept!A:B""),2,0)"),"ONIX750")</f>
        <v>ONIX750</v>
      </c>
      <c r="B506" s="5" t="str">
        <f>IFERROR(__xludf.DUMMYFUNCTION("""COMPUTED_VALUE"""),"Vijay Devidas Mali")</f>
        <v>Vijay Devidas Mali</v>
      </c>
      <c r="C506" s="5" t="str">
        <f>IFERROR(__xludf.DUMMYFUNCTION("""COMPUTED_VALUE"""),"vijay.mali@onixnet.com")</f>
        <v>vijay.mali@onixnet.com</v>
      </c>
      <c r="D506" s="4" t="s">
        <v>11</v>
      </c>
      <c r="E506" s="6" t="str">
        <f>IFERROR(__xludf.DUMMYFUNCTION("vlookup($A506,importrange(""1fyGnaViAX9kns28pvsfPvI9925sAI7kxPlM7jpuHVJM"",""Validation!A:Z""),11,0)"),"Solution Management")</f>
        <v>Solution Management</v>
      </c>
      <c r="F506" s="6" t="str">
        <f>IFERROR(__xludf.DUMMYFUNCTION("vlookup($A506,importrange(""1fyGnaViAX9kns28pvsfPvI9925sAI7kxPlM7jpuHVJM"",""Validation!A:Z""),23,0)"),"Venkat Srinivasan")</f>
        <v>Venkat Srinivasan</v>
      </c>
      <c r="G506" s="6" t="str">
        <f>IFERROR(__xludf.DUMMYFUNCTION("vlookup(A506,importrange(""1fyGnaViAX9kns28pvsfPvI9925sAI7kxPlM7jpuHVJM"",""Validation!A:Z""),22,0)"),"Portfolio - Rajesh")</f>
        <v>Portfolio - Rajesh</v>
      </c>
      <c r="H506" s="4" t="str">
        <f>IFERROR(__xludf.DUMMYFUNCTION("vlookup(C506,importrange(""1kw74ismGU34AsZ5x-W4x7F3Zt2xc8NSYcCVMrCJBmdQ"",""DRP for 8 products!B:C""),2,0)"),"ONIVMSWL7")</f>
        <v>ONIVMSWL7</v>
      </c>
      <c r="I506" s="7">
        <f>IFERROR(__xludf.DUMMYFUNCTION("vlookup(C506,importrange(""1kw74ismGU34AsZ5x-W4x7F3Zt2xc8NSYcCVMrCJBmdQ"",""DRP for 8 products!B:E""),4,0)"),44.0)</f>
        <v>44</v>
      </c>
      <c r="J506" s="8" t="str">
        <f t="shared" si="1"/>
        <v>Tier 2</v>
      </c>
      <c r="K506" s="9" t="str">
        <f t="shared" si="2"/>
        <v>Active</v>
      </c>
      <c r="L506" s="4" t="str">
        <f>IFERROR(__xludf.DUMMYFUNCTION("vlookup(C506,importrange(""1kw74ismGU34AsZ5x-W4x7F3Zt2xc8NSYcCVMrCJBmdQ"",""DRP for 8 products!B:H""),6,0)"),"BigQuery")</f>
        <v>BigQuery</v>
      </c>
      <c r="M506" s="10" t="str">
        <f t="shared" si="3"/>
        <v>Yes</v>
      </c>
    </row>
    <row r="507">
      <c r="A507" s="4" t="str">
        <f>IFERROR(__xludf.DUMMYFUNCTION("vlookup(C507,IMPORTRANGE(""1Kgoo8qyo6zMtf_5B03ksZz228jg0XpZ4_KXsdHQ4Vks"",""14 Sept!A:B""),2,0)"),"DME2417")</f>
        <v>DME2417</v>
      </c>
      <c r="B507" s="5" t="str">
        <f>IFERROR(__xludf.DUMMYFUNCTION("""COMPUTED_VALUE"""),"Onkar Nikam")</f>
        <v>Onkar Nikam</v>
      </c>
      <c r="C507" s="5" t="str">
        <f>IFERROR(__xludf.DUMMYFUNCTION("""COMPUTED_VALUE"""),"onkar.nikam@onixnet.com")</f>
        <v>onkar.nikam@onixnet.com</v>
      </c>
      <c r="D507" s="4" t="s">
        <v>11</v>
      </c>
      <c r="E507" s="6" t="str">
        <f>IFERROR(__xludf.DUMMYFUNCTION("vlookup($A507,importrange(""1fyGnaViAX9kns28pvsfPvI9925sAI7kxPlM7jpuHVJM"",""Validation!A:Z""),11,0)"),"Delivery Services")</f>
        <v>Delivery Services</v>
      </c>
      <c r="F507" s="6" t="str">
        <f>IFERROR(__xludf.DUMMYFUNCTION("vlookup($A507,importrange(""1fyGnaViAX9kns28pvsfPvI9925sAI7kxPlM7jpuHVJM"",""Validation!A:Z""),23,0)"),"Varun Katyal")</f>
        <v>Varun Katyal</v>
      </c>
      <c r="G507" s="6" t="str">
        <f>IFERROR(__xludf.DUMMYFUNCTION("vlookup(A507,importrange(""1fyGnaViAX9kns28pvsfPvI9925sAI7kxPlM7jpuHVJM"",""Validation!A:Z""),22,0)"),"Cluster - Varun")</f>
        <v>Cluster - Varun</v>
      </c>
      <c r="H507" s="4" t="str">
        <f>IFERROR(__xludf.DUMMYFUNCTION("vlookup(C507,importrange(""1kw74ismGU34AsZ5x-W4x7F3Zt2xc8NSYcCVMrCJBmdQ"",""DRP for 8 products!B:C""),2,0)"),"ONIONYZG6")</f>
        <v>ONIONYZG6</v>
      </c>
      <c r="I507" s="7">
        <f>IFERROR(__xludf.DUMMYFUNCTION("vlookup(C507,importrange(""1kw74ismGU34AsZ5x-W4x7F3Zt2xc8NSYcCVMrCJBmdQ"",""DRP for 8 products!B:E""),4,0)"),19.0)</f>
        <v>19</v>
      </c>
      <c r="J507" s="8" t="str">
        <f t="shared" si="1"/>
        <v>Tier 4</v>
      </c>
      <c r="K507" s="9" t="str">
        <f t="shared" si="2"/>
        <v>Active</v>
      </c>
      <c r="L507" s="4" t="str">
        <f>IFERROR(__xludf.DUMMYFUNCTION("vlookup(C507,importrange(""1kw74ismGU34AsZ5x-W4x7F3Zt2xc8NSYcCVMrCJBmdQ"",""DRP for 8 products!B:H""),6,0)"),"AlloyDB for PostgreSQL")</f>
        <v>AlloyDB for PostgreSQL</v>
      </c>
      <c r="M507" s="10" t="str">
        <f t="shared" si="3"/>
        <v>Yes</v>
      </c>
    </row>
    <row r="508">
      <c r="A508" s="4" t="str">
        <f>IFERROR(__xludf.DUMMYFUNCTION("vlookup(C508,IMPORTRANGE(""1Kgoo8qyo6zMtf_5B03ksZz228jg0XpZ4_KXsdHQ4Vks"",""14 Sept!A:B""),2,0)"),"DME2526")</f>
        <v>DME2526</v>
      </c>
      <c r="B508" s="5" t="str">
        <f>IFERROR(__xludf.DUMMYFUNCTION("""COMPUTED_VALUE"""),"Anka Rao Ambepalli")</f>
        <v>Anka Rao Ambepalli</v>
      </c>
      <c r="C508" s="5" t="str">
        <f>IFERROR(__xludf.DUMMYFUNCTION("""COMPUTED_VALUE"""),"ankarao.ambepalli@onixnet.com")</f>
        <v>ankarao.ambepalli@onixnet.com</v>
      </c>
      <c r="D508" s="4" t="s">
        <v>11</v>
      </c>
      <c r="E508" s="6" t="str">
        <f>IFERROR(__xludf.DUMMYFUNCTION("vlookup($A508,importrange(""1fyGnaViAX9kns28pvsfPvI9925sAI7kxPlM7jpuHVJM"",""Validation!A:Z""),11,0)"),"Delivery Services")</f>
        <v>Delivery Services</v>
      </c>
      <c r="F508" s="6" t="str">
        <f>IFERROR(__xludf.DUMMYFUNCTION("vlookup($A508,importrange(""1fyGnaViAX9kns28pvsfPvI9925sAI7kxPlM7jpuHVJM"",""Validation!A:Z""),23,0)"),"Sunny Mathur")</f>
        <v>Sunny Mathur</v>
      </c>
      <c r="G508" s="6" t="str">
        <f>IFERROR(__xludf.DUMMYFUNCTION("vlookup(A508,importrange(""1fyGnaViAX9kns28pvsfPvI9925sAI7kxPlM7jpuHVJM"",""Validation!A:Z""),22,0)"),"Cluster - Sagar")</f>
        <v>Cluster - Sagar</v>
      </c>
      <c r="H508" s="4" t="str">
        <f>IFERROR(__xludf.DUMMYFUNCTION("vlookup(C508,importrange(""1kw74ismGU34AsZ5x-W4x7F3Zt2xc8NSYcCVMrCJBmdQ"",""DRP for 8 products!B:C""),2,0)"),"ONIAAATU4")</f>
        <v>ONIAAATU4</v>
      </c>
      <c r="I508" s="7">
        <f>IFERROR(__xludf.DUMMYFUNCTION("vlookup(C508,importrange(""1kw74ismGU34AsZ5x-W4x7F3Zt2xc8NSYcCVMrCJBmdQ"",""DRP for 8 products!B:E""),4,0)"),29.0)</f>
        <v>29</v>
      </c>
      <c r="J508" s="8" t="str">
        <f t="shared" si="1"/>
        <v>Tier 3</v>
      </c>
      <c r="K508" s="9" t="str">
        <f t="shared" si="2"/>
        <v>Active</v>
      </c>
      <c r="L508" s="4" t="str">
        <f>IFERROR(__xludf.DUMMYFUNCTION("vlookup(C508,importrange(""1kw74ismGU34AsZ5x-W4x7F3Zt2xc8NSYcCVMrCJBmdQ"",""DRP for 8 products!B:H""),6,0)"),"BigQuery")</f>
        <v>BigQuery</v>
      </c>
      <c r="M508" s="10" t="str">
        <f t="shared" si="3"/>
        <v>Yes</v>
      </c>
    </row>
    <row r="509">
      <c r="A509" s="4" t="str">
        <f>IFERROR(__xludf.DUMMYFUNCTION("vlookup(C509,IMPORTRANGE(""1Kgoo8qyo6zMtf_5B03ksZz228jg0XpZ4_KXsdHQ4Vks"",""14 Sept!A:B""),2,0)"),"DME1709")</f>
        <v>DME1709</v>
      </c>
      <c r="B509" s="5" t="str">
        <f>IFERROR(__xludf.DUMMYFUNCTION("""COMPUTED_VALUE"""),"Karan More")</f>
        <v>Karan More</v>
      </c>
      <c r="C509" s="5" t="str">
        <f>IFERROR(__xludf.DUMMYFUNCTION("""COMPUTED_VALUE"""),"karan.more@onixnet.com")</f>
        <v>karan.more@onixnet.com</v>
      </c>
      <c r="D509" s="4" t="s">
        <v>11</v>
      </c>
      <c r="E509" s="6" t="str">
        <f>IFERROR(__xludf.DUMMYFUNCTION("vlookup($A509,importrange(""1fyGnaViAX9kns28pvsfPvI9925sAI7kxPlM7jpuHVJM"",""Validation!A:Z""),11,0)"),"Delivery Services")</f>
        <v>Delivery Services</v>
      </c>
      <c r="F509" s="6" t="str">
        <f>IFERROR(__xludf.DUMMYFUNCTION("vlookup($A509,importrange(""1fyGnaViAX9kns28pvsfPvI9925sAI7kxPlM7jpuHVJM"",""Validation!A:Z""),23,0)"),"Jignesh Dhandhukia")</f>
        <v>Jignesh Dhandhukia</v>
      </c>
      <c r="G509" s="6" t="str">
        <f>IFERROR(__xludf.DUMMYFUNCTION("vlookup(A509,importrange(""1fyGnaViAX9kns28pvsfPvI9925sAI7kxPlM7jpuHVJM"",""Validation!A:Z""),22,0)"),"Cluster - Shreepad")</f>
        <v>Cluster - Shreepad</v>
      </c>
      <c r="H509" s="4" t="str">
        <f>IFERROR(__xludf.DUMMYFUNCTION("vlookup(C509,importrange(""1kw74ismGU34AsZ5x-W4x7F3Zt2xc8NSYcCVMrCJBmdQ"",""DRP for 8 products!B:C""),2,0)"),"ONIKMWMV7")</f>
        <v>ONIKMWMV7</v>
      </c>
      <c r="I509" s="7">
        <f>IFERROR(__xludf.DUMMYFUNCTION("vlookup(C509,importrange(""1kw74ismGU34AsZ5x-W4x7F3Zt2xc8NSYcCVMrCJBmdQ"",""DRP for 8 products!B:E""),4,0)"),24.0)</f>
        <v>24</v>
      </c>
      <c r="J509" s="8" t="str">
        <f t="shared" si="1"/>
        <v>Tier 3</v>
      </c>
      <c r="K509" s="9" t="str">
        <f t="shared" si="2"/>
        <v>Active</v>
      </c>
      <c r="L509" s="4" t="str">
        <f>IFERROR(__xludf.DUMMYFUNCTION("vlookup(C509,importrange(""1kw74ismGU34AsZ5x-W4x7F3Zt2xc8NSYcCVMrCJBmdQ"",""DRP for 8 products!B:H""),6,0)"),"BigQuery")</f>
        <v>BigQuery</v>
      </c>
      <c r="M509" s="10" t="str">
        <f t="shared" si="3"/>
        <v>Yes</v>
      </c>
    </row>
    <row r="510">
      <c r="A510" s="4" t="str">
        <f>IFERROR(__xludf.DUMMYFUNCTION("vlookup(C510,IMPORTRANGE(""1Kgoo8qyo6zMtf_5B03ksZz228jg0XpZ4_KXsdHQ4Vks"",""14 Sept!A:B""),2,0)"),"DME2288")</f>
        <v>DME2288</v>
      </c>
      <c r="B510" s="5" t="str">
        <f>IFERROR(__xludf.DUMMYFUNCTION("""COMPUTED_VALUE"""),"Pranay Kothale")</f>
        <v>Pranay Kothale</v>
      </c>
      <c r="C510" s="5" t="str">
        <f>IFERROR(__xludf.DUMMYFUNCTION("""COMPUTED_VALUE"""),"pranay.kothale@onixnet.com")</f>
        <v>pranay.kothale@onixnet.com</v>
      </c>
      <c r="D510" s="4" t="s">
        <v>11</v>
      </c>
      <c r="E510" s="6" t="str">
        <f>IFERROR(__xludf.DUMMYFUNCTION("vlookup($A510,importrange(""1fyGnaViAX9kns28pvsfPvI9925sAI7kxPlM7jpuHVJM"",""Validation!A:Z""),11,0)"),"Delivery Services")</f>
        <v>Delivery Services</v>
      </c>
      <c r="F510" s="6" t="str">
        <f>IFERROR(__xludf.DUMMYFUNCTION("vlookup($A510,importrange(""1fyGnaViAX9kns28pvsfPvI9925sAI7kxPlM7jpuHVJM"",""Validation!A:Z""),23,0)"),"Venkatavivekananda Sala")</f>
        <v>Venkatavivekananda Sala</v>
      </c>
      <c r="G510" s="6" t="str">
        <f>IFERROR(__xludf.DUMMYFUNCTION("vlookup(A510,importrange(""1fyGnaViAX9kns28pvsfPvI9925sAI7kxPlM7jpuHVJM"",""Validation!A:Z""),22,0)"),"Cluster - Sachin")</f>
        <v>Cluster - Sachin</v>
      </c>
      <c r="H510" s="4" t="str">
        <f>IFERROR(__xludf.DUMMYFUNCTION("vlookup(C510,importrange(""1kw74ismGU34AsZ5x-W4x7F3Zt2xc8NSYcCVMrCJBmdQ"",""DRP for 8 products!B:C""),2,0)"),"ONIPKBGK8")</f>
        <v>ONIPKBGK8</v>
      </c>
      <c r="I510" s="7">
        <f>IFERROR(__xludf.DUMMYFUNCTION("vlookup(C510,importrange(""1kw74ismGU34AsZ5x-W4x7F3Zt2xc8NSYcCVMrCJBmdQ"",""DRP for 8 products!B:E""),4,0)"),27.0)</f>
        <v>27</v>
      </c>
      <c r="J510" s="8" t="str">
        <f t="shared" si="1"/>
        <v>Tier 3</v>
      </c>
      <c r="K510" s="9" t="str">
        <f t="shared" si="2"/>
        <v>Active</v>
      </c>
      <c r="L510" s="4" t="str">
        <f>IFERROR(__xludf.DUMMYFUNCTION("vlookup(C510,importrange(""1kw74ismGU34AsZ5x-W4x7F3Zt2xc8NSYcCVMrCJBmdQ"",""DRP for 8 products!B:H""),6,0)"),"BigQuery")</f>
        <v>BigQuery</v>
      </c>
      <c r="M510" s="10" t="str">
        <f t="shared" si="3"/>
        <v>Yes</v>
      </c>
    </row>
    <row r="511">
      <c r="A511" s="4" t="str">
        <f>IFERROR(__xludf.DUMMYFUNCTION("vlookup(C511,IMPORTRANGE(""1Kgoo8qyo6zMtf_5B03ksZz228jg0XpZ4_KXsdHQ4Vks"",""14 Sept!A:B""),2,0)"),"DME2576")</f>
        <v>DME2576</v>
      </c>
      <c r="B511" s="5" t="str">
        <f>IFERROR(__xludf.DUMMYFUNCTION("""COMPUTED_VALUE"""),"Vrushali Phalke")</f>
        <v>Vrushali Phalke</v>
      </c>
      <c r="C511" s="5" t="str">
        <f>IFERROR(__xludf.DUMMYFUNCTION("""COMPUTED_VALUE"""),"vrushali.phalke@onixnet.com")</f>
        <v>vrushali.phalke@onixnet.com</v>
      </c>
      <c r="D511" s="4" t="s">
        <v>11</v>
      </c>
      <c r="E511" s="6" t="str">
        <f>IFERROR(__xludf.DUMMYFUNCTION("vlookup($A511,importrange(""1fyGnaViAX9kns28pvsfPvI9925sAI7kxPlM7jpuHVJM"",""Validation!A:Z""),11,0)"),"Delivery Services")</f>
        <v>Delivery Services</v>
      </c>
      <c r="F511" s="6" t="str">
        <f>IFERROR(__xludf.DUMMYFUNCTION("vlookup($A511,importrange(""1fyGnaViAX9kns28pvsfPvI9925sAI7kxPlM7jpuHVJM"",""Validation!A:Z""),23,0)"),"Anuj Chopra")</f>
        <v>Anuj Chopra</v>
      </c>
      <c r="G511" s="6" t="str">
        <f>IFERROR(__xludf.DUMMYFUNCTION("vlookup(A511,importrange(""1fyGnaViAX9kns28pvsfPvI9925sAI7kxPlM7jpuHVJM"",""Validation!A:Z""),22,0)"),"Cluster - Sagar")</f>
        <v>Cluster - Sagar</v>
      </c>
      <c r="H511" s="4" t="str">
        <f>IFERROR(__xludf.DUMMYFUNCTION("vlookup(C511,importrange(""1kw74ismGU34AsZ5x-W4x7F3Zt2xc8NSYcCVMrCJBmdQ"",""DRP for 8 products!B:C""),2,0)"),"ONIVPMZB2")</f>
        <v>ONIVPMZB2</v>
      </c>
      <c r="I511" s="7">
        <f>IFERROR(__xludf.DUMMYFUNCTION("vlookup(C511,importrange(""1kw74ismGU34AsZ5x-W4x7F3Zt2xc8NSYcCVMrCJBmdQ"",""DRP for 8 products!B:E""),4,0)"),10.0)</f>
        <v>10</v>
      </c>
      <c r="J511" s="8" t="str">
        <f t="shared" si="1"/>
        <v>Tier 4</v>
      </c>
      <c r="K511" s="9" t="str">
        <f t="shared" si="2"/>
        <v>Active</v>
      </c>
      <c r="L511" s="4" t="str">
        <f>IFERROR(__xludf.DUMMYFUNCTION("vlookup(C511,importrange(""1kw74ismGU34AsZ5x-W4x7F3Zt2xc8NSYcCVMrCJBmdQ"",""DRP for 8 products!B:H""),6,0)"),"AlloyDB for PostgreSQL")</f>
        <v>AlloyDB for PostgreSQL</v>
      </c>
      <c r="M511" s="10" t="str">
        <f t="shared" si="3"/>
        <v>Yes</v>
      </c>
    </row>
    <row r="512">
      <c r="A512" s="4" t="str">
        <f>IFERROR(__xludf.DUMMYFUNCTION("vlookup(C512,IMPORTRANGE(""1Kgoo8qyo6zMtf_5B03ksZz228jg0XpZ4_KXsdHQ4Vks"",""14 Sept!A:B""),2,0)"),"DME2642")</f>
        <v>DME2642</v>
      </c>
      <c r="B512" s="5" t="str">
        <f>IFERROR(__xludf.DUMMYFUNCTION("""COMPUTED_VALUE"""),"Swapnil Yerguntala")</f>
        <v>Swapnil Yerguntala</v>
      </c>
      <c r="C512" s="5" t="str">
        <f>IFERROR(__xludf.DUMMYFUNCTION("""COMPUTED_VALUE"""),"swapnil.yerguntala@onixnet.com")</f>
        <v>swapnil.yerguntala@onixnet.com</v>
      </c>
      <c r="D512" s="4" t="s">
        <v>11</v>
      </c>
      <c r="E512" s="6" t="str">
        <f>IFERROR(__xludf.DUMMYFUNCTION("vlookup($A512,importrange(""1fyGnaViAX9kns28pvsfPvI9925sAI7kxPlM7jpuHVJM"",""Validation!A:Z""),11,0)"),"Delivery Services")</f>
        <v>Delivery Services</v>
      </c>
      <c r="F512" s="6" t="str">
        <f>IFERROR(__xludf.DUMMYFUNCTION("vlookup($A512,importrange(""1fyGnaViAX9kns28pvsfPvI9925sAI7kxPlM7jpuHVJM"",""Validation!A:Z""),23,0)"),"Anushri Agrawal")</f>
        <v>Anushri Agrawal</v>
      </c>
      <c r="G512" s="6" t="str">
        <f>IFERROR(__xludf.DUMMYFUNCTION("vlookup(A512,importrange(""1fyGnaViAX9kns28pvsfPvI9925sAI7kxPlM7jpuHVJM"",""Validation!A:Z""),22,0)"),"Cluster - Gaurav")</f>
        <v>Cluster - Gaurav</v>
      </c>
      <c r="H512" s="4" t="str">
        <f>IFERROR(__xludf.DUMMYFUNCTION("vlookup(C512,importrange(""1kw74ismGU34AsZ5x-W4x7F3Zt2xc8NSYcCVMrCJBmdQ"",""DRP for 8 products!B:C""),2,0)"),"ONISYMLQ3")</f>
        <v>ONISYMLQ3</v>
      </c>
      <c r="I512" s="7">
        <f>IFERROR(__xludf.DUMMYFUNCTION("vlookup(C512,importrange(""1kw74ismGU34AsZ5x-W4x7F3Zt2xc8NSYcCVMrCJBmdQ"",""DRP for 8 products!B:E""),4,0)"),10.0)</f>
        <v>10</v>
      </c>
      <c r="J512" s="8" t="str">
        <f t="shared" si="1"/>
        <v>Tier 4</v>
      </c>
      <c r="K512" s="9" t="str">
        <f t="shared" si="2"/>
        <v>Active</v>
      </c>
      <c r="L512" s="4" t="str">
        <f>IFERROR(__xludf.DUMMYFUNCTION("vlookup(C512,importrange(""1kw74ismGU34AsZ5x-W4x7F3Zt2xc8NSYcCVMrCJBmdQ"",""DRP for 8 products!B:H""),6,0)"),"AlloyDB for PostgreSQL")</f>
        <v>AlloyDB for PostgreSQL</v>
      </c>
      <c r="M512" s="10" t="str">
        <f t="shared" si="3"/>
        <v>Yes</v>
      </c>
    </row>
    <row r="513">
      <c r="A513" s="4" t="str">
        <f>IFERROR(__xludf.DUMMYFUNCTION("vlookup(C513,IMPORTRANGE(""1Kgoo8qyo6zMtf_5B03ksZz228jg0XpZ4_KXsdHQ4Vks"",""14 Sept!A:B""),2,0)"),"DME2770")</f>
        <v>DME2770</v>
      </c>
      <c r="B513" s="5" t="str">
        <f>IFERROR(__xludf.DUMMYFUNCTION("""COMPUTED_VALUE"""),"Nikhil Lad")</f>
        <v>Nikhil Lad</v>
      </c>
      <c r="C513" s="5" t="str">
        <f>IFERROR(__xludf.DUMMYFUNCTION("""COMPUTED_VALUE"""),"nikhil.lad@onixnet.com")</f>
        <v>nikhil.lad@onixnet.com</v>
      </c>
      <c r="D513" s="4" t="s">
        <v>11</v>
      </c>
      <c r="E513" s="6" t="str">
        <f>IFERROR(__xludf.DUMMYFUNCTION("vlookup($A513,importrange(""1fyGnaViAX9kns28pvsfPvI9925sAI7kxPlM7jpuHVJM"",""Validation!A:Z""),11,0)"),"Delivery Services")</f>
        <v>Delivery Services</v>
      </c>
      <c r="F513" s="6" t="str">
        <f>IFERROR(__xludf.DUMMYFUNCTION("vlookup($A513,importrange(""1fyGnaViAX9kns28pvsfPvI9925sAI7kxPlM7jpuHVJM"",""Validation!A:Z""),23,0)"),"Vurimi Vamsi Krishna")</f>
        <v>Vurimi Vamsi Krishna</v>
      </c>
      <c r="G513" s="6" t="str">
        <f>IFERROR(__xludf.DUMMYFUNCTION("vlookup(A513,importrange(""1fyGnaViAX9kns28pvsfPvI9925sAI7kxPlM7jpuHVJM"",""Validation!A:Z""),22,0)"),"Cluster - Varun")</f>
        <v>Cluster - Varun</v>
      </c>
      <c r="H513" s="4" t="str">
        <f>IFERROR(__xludf.DUMMYFUNCTION("vlookup(C513,importrange(""1kw74ismGU34AsZ5x-W4x7F3Zt2xc8NSYcCVMrCJBmdQ"",""DRP for 8 products!B:C""),2,0)"),"ONINLYYU5")</f>
        <v>ONINLYYU5</v>
      </c>
      <c r="I513" s="7">
        <f>IFERROR(__xludf.DUMMYFUNCTION("vlookup(C513,importrange(""1kw74ismGU34AsZ5x-W4x7F3Zt2xc8NSYcCVMrCJBmdQ"",""DRP for 8 products!B:E""),4,0)"),62.0)</f>
        <v>62</v>
      </c>
      <c r="J513" s="8" t="str">
        <f t="shared" si="1"/>
        <v>Tier 1</v>
      </c>
      <c r="K513" s="9" t="str">
        <f t="shared" si="2"/>
        <v>Active</v>
      </c>
      <c r="L513" s="4" t="str">
        <f>IFERROR(__xludf.DUMMYFUNCTION("vlookup(C513,importrange(""1kw74ismGU34AsZ5x-W4x7F3Zt2xc8NSYcCVMrCJBmdQ"",""DRP for 8 products!B:H""),6,0)"),"BigQuery")</f>
        <v>BigQuery</v>
      </c>
      <c r="M513" s="10" t="str">
        <f t="shared" si="3"/>
        <v>Yes</v>
      </c>
    </row>
    <row r="514">
      <c r="A514" s="4" t="str">
        <f>IFERROR(__xludf.DUMMYFUNCTION("vlookup(C514,IMPORTRANGE(""1Kgoo8qyo6zMtf_5B03ksZz228jg0XpZ4_KXsdHQ4Vks"",""14 Sept!A:B""),2,0)"),"DME2077")</f>
        <v>DME2077</v>
      </c>
      <c r="B514" s="5" t="str">
        <f>IFERROR(__xludf.DUMMYFUNCTION("""COMPUTED_VALUE"""),"Pranay Lonare")</f>
        <v>Pranay Lonare</v>
      </c>
      <c r="C514" s="5" t="str">
        <f>IFERROR(__xludf.DUMMYFUNCTION("""COMPUTED_VALUE"""),"pranay.lonare@onixnet.com")</f>
        <v>pranay.lonare@onixnet.com</v>
      </c>
      <c r="D514" s="4" t="s">
        <v>11</v>
      </c>
      <c r="E514" s="6" t="str">
        <f>IFERROR(__xludf.DUMMYFUNCTION("vlookup($A514,importrange(""1fyGnaViAX9kns28pvsfPvI9925sAI7kxPlM7jpuHVJM"",""Validation!A:Z""),11,0)"),"Delivery Services")</f>
        <v>Delivery Services</v>
      </c>
      <c r="F514" s="6" t="str">
        <f>IFERROR(__xludf.DUMMYFUNCTION("vlookup($A514,importrange(""1fyGnaViAX9kns28pvsfPvI9925sAI7kxPlM7jpuHVJM"",""Validation!A:Z""),23,0)"),"Vurimi Vamsi Krishna")</f>
        <v>Vurimi Vamsi Krishna</v>
      </c>
      <c r="G514" s="6" t="str">
        <f>IFERROR(__xludf.DUMMYFUNCTION("vlookup(A514,importrange(""1fyGnaViAX9kns28pvsfPvI9925sAI7kxPlM7jpuHVJM"",""Validation!A:Z""),22,0)"),"Cluster - Varun")</f>
        <v>Cluster - Varun</v>
      </c>
      <c r="H514" s="4" t="str">
        <f>IFERROR(__xludf.DUMMYFUNCTION("vlookup(C514,importrange(""1kw74ismGU34AsZ5x-W4x7F3Zt2xc8NSYcCVMrCJBmdQ"",""DRP for 8 products!B:C""),2,0)"),"ONIPLHCS2")</f>
        <v>ONIPLHCS2</v>
      </c>
      <c r="I514" s="7">
        <f>IFERROR(__xludf.DUMMYFUNCTION("vlookup(C514,importrange(""1kw74ismGU34AsZ5x-W4x7F3Zt2xc8NSYcCVMrCJBmdQ"",""DRP for 8 products!B:E""),4,0)"),42.0)</f>
        <v>42</v>
      </c>
      <c r="J514" s="8" t="str">
        <f t="shared" si="1"/>
        <v>Tier 2</v>
      </c>
      <c r="K514" s="9" t="str">
        <f t="shared" si="2"/>
        <v>Active</v>
      </c>
      <c r="L514" s="4" t="str">
        <f>IFERROR(__xludf.DUMMYFUNCTION("vlookup(C514,importrange(""1kw74ismGU34AsZ5x-W4x7F3Zt2xc8NSYcCVMrCJBmdQ"",""DRP for 8 products!B:H""),6,0)"),"BigQuery")</f>
        <v>BigQuery</v>
      </c>
      <c r="M514" s="10" t="str">
        <f t="shared" si="3"/>
        <v>Yes</v>
      </c>
    </row>
    <row r="515">
      <c r="A515" s="4" t="str">
        <f>IFERROR(__xludf.DUMMYFUNCTION("vlookup(C515,IMPORTRANGE(""1Kgoo8qyo6zMtf_5B03ksZz228jg0XpZ4_KXsdHQ4Vks"",""14 Sept!A:B""),2,0)"),"DME2491")</f>
        <v>DME2491</v>
      </c>
      <c r="B515" s="5" t="str">
        <f>IFERROR(__xludf.DUMMYFUNCTION("""COMPUTED_VALUE"""),"pratik bhalerao")</f>
        <v>pratik bhalerao</v>
      </c>
      <c r="C515" s="5" t="str">
        <f>IFERROR(__xludf.DUMMYFUNCTION("""COMPUTED_VALUE"""),"pratik.bhalerao@onixnet.com")</f>
        <v>pratik.bhalerao@onixnet.com</v>
      </c>
      <c r="D515" s="4" t="s">
        <v>11</v>
      </c>
      <c r="E515" s="6" t="str">
        <f>IFERROR(__xludf.DUMMYFUNCTION("vlookup($A515,importrange(""1fyGnaViAX9kns28pvsfPvI9925sAI7kxPlM7jpuHVJM"",""Validation!A:Z""),11,0)"),"Product Engineering")</f>
        <v>Product Engineering</v>
      </c>
      <c r="F515" s="6" t="str">
        <f>IFERROR(__xludf.DUMMYFUNCTION("vlookup($A515,importrange(""1fyGnaViAX9kns28pvsfPvI9925sAI7kxPlM7jpuHVJM"",""Validation!A:Z""),23,0)"),"Harshit Soni")</f>
        <v>Harshit Soni</v>
      </c>
      <c r="G515" s="6" t="str">
        <f>IFERROR(__xludf.DUMMYFUNCTION("vlookup(A515,importrange(""1fyGnaViAX9kns28pvsfPvI9925sAI7kxPlM7jpuHVJM"",""Validation!A:Z""),22,0)"),"Cluster - Mayur")</f>
        <v>Cluster - Mayur</v>
      </c>
      <c r="H515" s="4" t="str">
        <f>IFERROR(__xludf.DUMMYFUNCTION("vlookup(C515,importrange(""1kw74ismGU34AsZ5x-W4x7F3Zt2xc8NSYcCVMrCJBmdQ"",""DRP for 8 products!B:C""),2,0)"),"ONIPBBQA9")</f>
        <v>ONIPBBQA9</v>
      </c>
      <c r="I515" s="7">
        <f>IFERROR(__xludf.DUMMYFUNCTION("vlookup(C515,importrange(""1kw74ismGU34AsZ5x-W4x7F3Zt2xc8NSYcCVMrCJBmdQ"",""DRP for 8 products!B:E""),4,0)"),13.0)</f>
        <v>13</v>
      </c>
      <c r="J515" s="8" t="str">
        <f t="shared" si="1"/>
        <v>Tier 4</v>
      </c>
      <c r="K515" s="9" t="str">
        <f t="shared" si="2"/>
        <v>Active</v>
      </c>
      <c r="L515" s="4" t="str">
        <f>IFERROR(__xludf.DUMMYFUNCTION("vlookup(C515,importrange(""1kw74ismGU34AsZ5x-W4x7F3Zt2xc8NSYcCVMrCJBmdQ"",""DRP for 8 products!B:H""),6,0)"),"AlloyDB for PostgreSQL")</f>
        <v>AlloyDB for PostgreSQL</v>
      </c>
      <c r="M515" s="10" t="str">
        <f t="shared" si="3"/>
        <v>Yes</v>
      </c>
    </row>
    <row r="516">
      <c r="A516" s="4" t="str">
        <f>IFERROR(__xludf.DUMMYFUNCTION("vlookup(C516,IMPORTRANGE(""1Kgoo8qyo6zMtf_5B03ksZz228jg0XpZ4_KXsdHQ4Vks"",""14 Sept!A:B""),2,0)"),"DME2496")</f>
        <v>DME2496</v>
      </c>
      <c r="B516" s="5" t="str">
        <f>IFERROR(__xludf.DUMMYFUNCTION("""COMPUTED_VALUE"""),"Chandrashekhar Sable")</f>
        <v>Chandrashekhar Sable</v>
      </c>
      <c r="C516" s="5" t="str">
        <f>IFERROR(__xludf.DUMMYFUNCTION("""COMPUTED_VALUE"""),"chandrashekhar.s@onixnet.com")</f>
        <v>chandrashekhar.s@onixnet.com</v>
      </c>
      <c r="D516" s="4" t="s">
        <v>11</v>
      </c>
      <c r="E516" s="6" t="str">
        <f>IFERROR(__xludf.DUMMYFUNCTION("vlookup($A516,importrange(""1fyGnaViAX9kns28pvsfPvI9925sAI7kxPlM7jpuHVJM"",""Validation!A:Z""),11,0)"),"Delivery Services")</f>
        <v>Delivery Services</v>
      </c>
      <c r="F516" s="6" t="str">
        <f>IFERROR(__xludf.DUMMYFUNCTION("vlookup($A516,importrange(""1fyGnaViAX9kns28pvsfPvI9925sAI7kxPlM7jpuHVJM"",""Validation!A:Z""),23,0)"),"Aakash Vinod Tolani")</f>
        <v>Aakash Vinod Tolani</v>
      </c>
      <c r="G516" s="6" t="str">
        <f>IFERROR(__xludf.DUMMYFUNCTION("vlookup(A516,importrange(""1fyGnaViAX9kns28pvsfPvI9925sAI7kxPlM7jpuHVJM"",""Validation!A:Z""),22,0)"),"Cluster - Shreepad")</f>
        <v>Cluster - Shreepad</v>
      </c>
      <c r="H516" s="4" t="str">
        <f>IFERROR(__xludf.DUMMYFUNCTION("vlookup(C516,importrange(""1kw74ismGU34AsZ5x-W4x7F3Zt2xc8NSYcCVMrCJBmdQ"",""DRP for 8 products!B:C""),2,0)"),"ONICSTWS7")</f>
        <v>ONICSTWS7</v>
      </c>
      <c r="I516" s="7">
        <f>IFERROR(__xludf.DUMMYFUNCTION("vlookup(C516,importrange(""1kw74ismGU34AsZ5x-W4x7F3Zt2xc8NSYcCVMrCJBmdQ"",""DRP for 8 products!B:E""),4,0)"),39.0)</f>
        <v>39</v>
      </c>
      <c r="J516" s="8" t="str">
        <f t="shared" si="1"/>
        <v>Tier 2</v>
      </c>
      <c r="K516" s="9" t="str">
        <f t="shared" si="2"/>
        <v>Active</v>
      </c>
      <c r="L516" s="4" t="str">
        <f>IFERROR(__xludf.DUMMYFUNCTION("vlookup(C516,importrange(""1kw74ismGU34AsZ5x-W4x7F3Zt2xc8NSYcCVMrCJBmdQ"",""DRP for 8 products!B:H""),6,0)"),"BigQuery")</f>
        <v>BigQuery</v>
      </c>
      <c r="M516" s="10" t="str">
        <f t="shared" si="3"/>
        <v>Yes</v>
      </c>
    </row>
    <row r="517">
      <c r="A517" s="4" t="str">
        <f>IFERROR(__xludf.DUMMYFUNCTION("vlookup(C517,IMPORTRANGE(""1Kgoo8qyo6zMtf_5B03ksZz228jg0XpZ4_KXsdHQ4Vks"",""14 Sept!A:B""),2,0)"),"DME2720")</f>
        <v>DME2720</v>
      </c>
      <c r="B517" s="5" t="str">
        <f>IFERROR(__xludf.DUMMYFUNCTION("""COMPUTED_VALUE"""),"Varun Agrawal")</f>
        <v>Varun Agrawal</v>
      </c>
      <c r="C517" s="5" t="str">
        <f>IFERROR(__xludf.DUMMYFUNCTION("""COMPUTED_VALUE"""),"varun.agrawal@onixnet.com")</f>
        <v>varun.agrawal@onixnet.com</v>
      </c>
      <c r="D517" s="4" t="s">
        <v>11</v>
      </c>
      <c r="E517" s="6" t="str">
        <f>IFERROR(__xludf.DUMMYFUNCTION("vlookup($A517,importrange(""1fyGnaViAX9kns28pvsfPvI9925sAI7kxPlM7jpuHVJM"",""Validation!A:Z""),11,0)"),"Delivery Services")</f>
        <v>Delivery Services</v>
      </c>
      <c r="F517" s="6" t="str">
        <f>IFERROR(__xludf.DUMMYFUNCTION("vlookup($A517,importrange(""1fyGnaViAX9kns28pvsfPvI9925sAI7kxPlM7jpuHVJM"",""Validation!A:Z""),23,0)"),"Jitender Singh")</f>
        <v>Jitender Singh</v>
      </c>
      <c r="G517" s="6" t="str">
        <f>IFERROR(__xludf.DUMMYFUNCTION("vlookup(A517,importrange(""1fyGnaViAX9kns28pvsfPvI9925sAI7kxPlM7jpuHVJM"",""Validation!A:Z""),22,0)"),"Cluster - Gaurav")</f>
        <v>Cluster - Gaurav</v>
      </c>
      <c r="H517" s="4" t="str">
        <f>IFERROR(__xludf.DUMMYFUNCTION("vlookup(C517,importrange(""1kw74ismGU34AsZ5x-W4x7F3Zt2xc8NSYcCVMrCJBmdQ"",""DRP for 8 products!B:C""),2,0)"),"ONIVAOYA8")</f>
        <v>ONIVAOYA8</v>
      </c>
      <c r="I517" s="7">
        <f>IFERROR(__xludf.DUMMYFUNCTION("vlookup(C517,importrange(""1kw74ismGU34AsZ5x-W4x7F3Zt2xc8NSYcCVMrCJBmdQ"",""DRP for 8 products!B:E""),4,0)"),32.0)</f>
        <v>32</v>
      </c>
      <c r="J517" s="8" t="str">
        <f t="shared" si="1"/>
        <v>Tier 3</v>
      </c>
      <c r="K517" s="9" t="str">
        <f t="shared" si="2"/>
        <v>Active</v>
      </c>
      <c r="L517" s="4" t="str">
        <f>IFERROR(__xludf.DUMMYFUNCTION("vlookup(C517,importrange(""1kw74ismGU34AsZ5x-W4x7F3Zt2xc8NSYcCVMrCJBmdQ"",""DRP for 8 products!B:H""),6,0)"),"BigQuery")</f>
        <v>BigQuery</v>
      </c>
      <c r="M517" s="10" t="str">
        <f t="shared" si="3"/>
        <v>Yes</v>
      </c>
    </row>
    <row r="518">
      <c r="A518" s="4" t="str">
        <f>IFERROR(__xludf.DUMMYFUNCTION("vlookup(C518,IMPORTRANGE(""1Kgoo8qyo6zMtf_5B03ksZz228jg0XpZ4_KXsdHQ4Vks"",""14 Sept!A:B""),2,0)"),"DME2637")</f>
        <v>DME2637</v>
      </c>
      <c r="B518" s="5" t="str">
        <f>IFERROR(__xludf.DUMMYFUNCTION("""COMPUTED_VALUE"""),"Niranjan Deshmukh")</f>
        <v>Niranjan Deshmukh</v>
      </c>
      <c r="C518" s="5" t="str">
        <f>IFERROR(__xludf.DUMMYFUNCTION("""COMPUTED_VALUE"""),"niranjan.deshmukh@onixnet.com")</f>
        <v>niranjan.deshmukh@onixnet.com</v>
      </c>
      <c r="D518" s="4" t="s">
        <v>11</v>
      </c>
      <c r="E518" s="6" t="str">
        <f>IFERROR(__xludf.DUMMYFUNCTION("vlookup($A518,importrange(""1fyGnaViAX9kns28pvsfPvI9925sAI7kxPlM7jpuHVJM"",""Validation!A:Z""),11,0)"),"Delivery Services")</f>
        <v>Delivery Services</v>
      </c>
      <c r="F518" s="6" t="str">
        <f>IFERROR(__xludf.DUMMYFUNCTION("vlookup($A518,importrange(""1fyGnaViAX9kns28pvsfPvI9925sAI7kxPlM7jpuHVJM"",""Validation!A:Z""),23,0)"),"Prabhat Jain")</f>
        <v>Prabhat Jain</v>
      </c>
      <c r="G518" s="6" t="str">
        <f>IFERROR(__xludf.DUMMYFUNCTION("vlookup(A518,importrange(""1fyGnaViAX9kns28pvsfPvI9925sAI7kxPlM7jpuHVJM"",""Validation!A:Z""),22,0)"),"Cluster - Gaurav")</f>
        <v>Cluster - Gaurav</v>
      </c>
      <c r="H518" s="4" t="str">
        <f>IFERROR(__xludf.DUMMYFUNCTION("vlookup(C518,importrange(""1kw74ismGU34AsZ5x-W4x7F3Zt2xc8NSYcCVMrCJBmdQ"",""DRP for 8 products!B:C""),2,0)"),"ONINDVCD5")</f>
        <v>ONINDVCD5</v>
      </c>
      <c r="I518" s="7">
        <f>IFERROR(__xludf.DUMMYFUNCTION("vlookup(C518,importrange(""1kw74ismGU34AsZ5x-W4x7F3Zt2xc8NSYcCVMrCJBmdQ"",""DRP for 8 products!B:E""),4,0)"),16.0)</f>
        <v>16</v>
      </c>
      <c r="J518" s="8" t="str">
        <f t="shared" si="1"/>
        <v>Tier 4</v>
      </c>
      <c r="K518" s="9" t="str">
        <f t="shared" si="2"/>
        <v>Active</v>
      </c>
      <c r="L518" s="4" t="str">
        <f>IFERROR(__xludf.DUMMYFUNCTION("vlookup(C518,importrange(""1kw74ismGU34AsZ5x-W4x7F3Zt2xc8NSYcCVMrCJBmdQ"",""DRP for 8 products!B:H""),6,0)"),"BigQuery")</f>
        <v>BigQuery</v>
      </c>
      <c r="M518" s="10" t="str">
        <f t="shared" si="3"/>
        <v>Yes</v>
      </c>
    </row>
    <row r="519">
      <c r="A519" s="4" t="str">
        <f>IFERROR(__xludf.DUMMYFUNCTION("vlookup(C519,IMPORTRANGE(""1Kgoo8qyo6zMtf_5B03ksZz228jg0XpZ4_KXsdHQ4Vks"",""14 Sept!A:B""),2,0)"),"ONIX660")</f>
        <v>ONIX660</v>
      </c>
      <c r="B519" s="5" t="str">
        <f>IFERROR(__xludf.DUMMYFUNCTION("""COMPUTED_VALUE"""),"abhishek suryawanshi")</f>
        <v>abhishek suryawanshi</v>
      </c>
      <c r="C519" s="5" t="str">
        <f>IFERROR(__xludf.DUMMYFUNCTION("""COMPUTED_VALUE"""),"abhishek.suryawanshi@onixnet.com")</f>
        <v>abhishek.suryawanshi@onixnet.com</v>
      </c>
      <c r="D519" s="4" t="s">
        <v>11</v>
      </c>
      <c r="E519" s="6" t="str">
        <f>IFERROR(__xludf.DUMMYFUNCTION("vlookup($A519,importrange(""1fyGnaViAX9kns28pvsfPvI9925sAI7kxPlM7jpuHVJM"",""Validation!A:Z""),11,0)"),"Services")</f>
        <v>Services</v>
      </c>
      <c r="F519" s="6" t="str">
        <f>IFERROR(__xludf.DUMMYFUNCTION("vlookup($A519,importrange(""1fyGnaViAX9kns28pvsfPvI9925sAI7kxPlM7jpuHVJM"",""Validation!A:Z""),23,0)"),"Venkat Srinivasan")</f>
        <v>Venkat Srinivasan</v>
      </c>
      <c r="G519" s="6" t="str">
        <f>IFERROR(__xludf.DUMMYFUNCTION("vlookup(A519,importrange(""1fyGnaViAX9kns28pvsfPvI9925sAI7kxPlM7jpuHVJM"",""Validation!A:Z""),22,0)"),"Portfolio - Rajesh")</f>
        <v>Portfolio - Rajesh</v>
      </c>
      <c r="H519" s="4" t="str">
        <f>IFERROR(__xludf.DUMMYFUNCTION("vlookup(C519,importrange(""1kw74ismGU34AsZ5x-W4x7F3Zt2xc8NSYcCVMrCJBmdQ"",""DRP for 8 products!B:C""),2,0)"),"ONIASECP4")</f>
        <v>ONIASECP4</v>
      </c>
      <c r="I519" s="7">
        <f>IFERROR(__xludf.DUMMYFUNCTION("vlookup(C519,importrange(""1kw74ismGU34AsZ5x-W4x7F3Zt2xc8NSYcCVMrCJBmdQ"",""DRP for 8 products!B:E""),4,0)"),39.0)</f>
        <v>39</v>
      </c>
      <c r="J519" s="8" t="str">
        <f t="shared" si="1"/>
        <v>Tier 2</v>
      </c>
      <c r="K519" s="9" t="str">
        <f t="shared" si="2"/>
        <v>Active</v>
      </c>
      <c r="L519" s="4" t="str">
        <f>IFERROR(__xludf.DUMMYFUNCTION("vlookup(C519,importrange(""1kw74ismGU34AsZ5x-W4x7F3Zt2xc8NSYcCVMrCJBmdQ"",""DRP for 8 products!B:H""),6,0)"),"BigQuery")</f>
        <v>BigQuery</v>
      </c>
      <c r="M519" s="10" t="str">
        <f t="shared" si="3"/>
        <v>Yes</v>
      </c>
    </row>
    <row r="520">
      <c r="A520" s="4" t="str">
        <f>IFERROR(__xludf.DUMMYFUNCTION("vlookup(C520,IMPORTRANGE(""1Kgoo8qyo6zMtf_5B03ksZz228jg0XpZ4_KXsdHQ4Vks"",""14 Sept!A:B""),2,0)"),"DME2510")</f>
        <v>DME2510</v>
      </c>
      <c r="B520" s="5" t="str">
        <f>IFERROR(__xludf.DUMMYFUNCTION("""COMPUTED_VALUE"""),"Amruta Urane")</f>
        <v>Amruta Urane</v>
      </c>
      <c r="C520" s="5" t="str">
        <f>IFERROR(__xludf.DUMMYFUNCTION("""COMPUTED_VALUE"""),"amruta.urane@onixnet.com")</f>
        <v>amruta.urane@onixnet.com</v>
      </c>
      <c r="D520" s="4" t="s">
        <v>11</v>
      </c>
      <c r="E520" s="6" t="str">
        <f>IFERROR(__xludf.DUMMYFUNCTION("vlookup($A520,importrange(""1fyGnaViAX9kns28pvsfPvI9925sAI7kxPlM7jpuHVJM"",""Validation!A:Z""),11,0)"),"Eagle Assessment")</f>
        <v>Eagle Assessment</v>
      </c>
      <c r="F520" s="6" t="str">
        <f>IFERROR(__xludf.DUMMYFUNCTION("vlookup($A520,importrange(""1fyGnaViAX9kns28pvsfPvI9925sAI7kxPlM7jpuHVJM"",""Validation!A:Z""),23,0)"),"Ashish Taman")</f>
        <v>Ashish Taman</v>
      </c>
      <c r="G520" s="6" t="str">
        <f>IFERROR(__xludf.DUMMYFUNCTION("vlookup(A520,importrange(""1fyGnaViAX9kns28pvsfPvI9925sAI7kxPlM7jpuHVJM"",""Validation!A:Z""),22,0)"),"Cluster - Kalpa")</f>
        <v>Cluster - Kalpa</v>
      </c>
      <c r="H520" s="4" t="str">
        <f>IFERROR(__xludf.DUMMYFUNCTION("vlookup(C520,importrange(""1kw74ismGU34AsZ5x-W4x7F3Zt2xc8NSYcCVMrCJBmdQ"",""DRP for 8 products!B:C""),2,0)"),"ONIAUJVL2")</f>
        <v>ONIAUJVL2</v>
      </c>
      <c r="I520" s="7">
        <f>IFERROR(__xludf.DUMMYFUNCTION("vlookup(C520,importrange(""1kw74ismGU34AsZ5x-W4x7F3Zt2xc8NSYcCVMrCJBmdQ"",""DRP for 8 products!B:E""),4,0)"),22.0)</f>
        <v>22</v>
      </c>
      <c r="J520" s="8" t="str">
        <f t="shared" si="1"/>
        <v>Tier 3</v>
      </c>
      <c r="K520" s="9" t="str">
        <f t="shared" si="2"/>
        <v>Active</v>
      </c>
      <c r="L520" s="4" t="str">
        <f>IFERROR(__xludf.DUMMYFUNCTION("vlookup(C520,importrange(""1kw74ismGU34AsZ5x-W4x7F3Zt2xc8NSYcCVMrCJBmdQ"",""DRP for 8 products!B:H""),6,0)"),"BigQuery")</f>
        <v>BigQuery</v>
      </c>
      <c r="M520" s="10" t="str">
        <f t="shared" si="3"/>
        <v>Yes</v>
      </c>
    </row>
    <row r="521">
      <c r="A521" s="4" t="str">
        <f>IFERROR(__xludf.DUMMYFUNCTION("vlookup(C521,IMPORTRANGE(""1Kgoo8qyo6zMtf_5B03ksZz228jg0XpZ4_KXsdHQ4Vks"",""14 Sept!A:B""),2,0)"),"DME0918")</f>
        <v>DME0918</v>
      </c>
      <c r="B521" s="5" t="str">
        <f>IFERROR(__xludf.DUMMYFUNCTION("""COMPUTED_VALUE"""),"Ashna Jha")</f>
        <v>Ashna Jha</v>
      </c>
      <c r="C521" s="5" t="str">
        <f>IFERROR(__xludf.DUMMYFUNCTION("""COMPUTED_VALUE"""),"ashna.jha@onixnet.com")</f>
        <v>ashna.jha@onixnet.com</v>
      </c>
      <c r="D521" s="4" t="s">
        <v>11</v>
      </c>
      <c r="E521" s="6" t="str">
        <f>IFERROR(__xludf.DUMMYFUNCTION("vlookup($A521,importrange(""1fyGnaViAX9kns28pvsfPvI9925sAI7kxPlM7jpuHVJM"",""Validation!A:Z""),11,0)"),"Delivery Services")</f>
        <v>Delivery Services</v>
      </c>
      <c r="F521" s="6" t="str">
        <f>IFERROR(__xludf.DUMMYFUNCTION("vlookup($A521,importrange(""1fyGnaViAX9kns28pvsfPvI9925sAI7kxPlM7jpuHVJM"",""Validation!A:Z""),23,0)"),"Noorulla Shaik")</f>
        <v>Noorulla Shaik</v>
      </c>
      <c r="G521" s="6" t="str">
        <f>IFERROR(__xludf.DUMMYFUNCTION("vlookup(A521,importrange(""1fyGnaViAX9kns28pvsfPvI9925sAI7kxPlM7jpuHVJM"",""Validation!A:Z""),22,0)"),"Cluster - Kanhaiya")</f>
        <v>Cluster - Kanhaiya</v>
      </c>
      <c r="H521" s="4" t="str">
        <f>IFERROR(__xludf.DUMMYFUNCTION("vlookup(C521,importrange(""1kw74ismGU34AsZ5x-W4x7F3Zt2xc8NSYcCVMrCJBmdQ"",""DRP for 8 products!B:C""),2,0)"),"ONIAJERS6")</f>
        <v>ONIAJERS6</v>
      </c>
      <c r="I521" s="7">
        <f>IFERROR(__xludf.DUMMYFUNCTION("vlookup(C521,importrange(""1kw74ismGU34AsZ5x-W4x7F3Zt2xc8NSYcCVMrCJBmdQ"",""DRP for 8 products!B:E""),4,0)"),10.0)</f>
        <v>10</v>
      </c>
      <c r="J521" s="8" t="str">
        <f t="shared" si="1"/>
        <v>Tier 4</v>
      </c>
      <c r="K521" s="9" t="str">
        <f t="shared" si="2"/>
        <v>Active</v>
      </c>
      <c r="L521" s="4" t="str">
        <f>IFERROR(__xludf.DUMMYFUNCTION("vlookup(C521,importrange(""1kw74ismGU34AsZ5x-W4x7F3Zt2xc8NSYcCVMrCJBmdQ"",""DRP for 8 products!B:H""),6,0)"),"BigQuery")</f>
        <v>BigQuery</v>
      </c>
      <c r="M521" s="10" t="str">
        <f t="shared" si="3"/>
        <v>Yes</v>
      </c>
    </row>
    <row r="522">
      <c r="A522" s="4" t="str">
        <f>IFERROR(__xludf.DUMMYFUNCTION("vlookup(C522,IMPORTRANGE(""1Kgoo8qyo6zMtf_5B03ksZz228jg0XpZ4_KXsdHQ4Vks"",""14 Sept!A:B""),2,0)"),"DME2586")</f>
        <v>DME2586</v>
      </c>
      <c r="B522" s="5" t="str">
        <f>IFERROR(__xludf.DUMMYFUNCTION("""COMPUTED_VALUE"""),"Rishav Modi")</f>
        <v>Rishav Modi</v>
      </c>
      <c r="C522" s="5" t="str">
        <f>IFERROR(__xludf.DUMMYFUNCTION("""COMPUTED_VALUE"""),"rishav.modi@onixnet.com")</f>
        <v>rishav.modi@onixnet.com</v>
      </c>
      <c r="D522" s="4" t="s">
        <v>11</v>
      </c>
      <c r="E522" s="6" t="str">
        <f>IFERROR(__xludf.DUMMYFUNCTION("vlookup($A522,importrange(""1fyGnaViAX9kns28pvsfPvI9925sAI7kxPlM7jpuHVJM"",""Validation!A:Z""),11,0)"),"Delivery Services")</f>
        <v>Delivery Services</v>
      </c>
      <c r="F522" s="6" t="str">
        <f>IFERROR(__xludf.DUMMYFUNCTION("vlookup($A522,importrange(""1fyGnaViAX9kns28pvsfPvI9925sAI7kxPlM7jpuHVJM"",""Validation!A:Z""),23,0)"),"Kishore Kotagiri")</f>
        <v>Kishore Kotagiri</v>
      </c>
      <c r="G522" s="6" t="str">
        <f>IFERROR(__xludf.DUMMYFUNCTION("vlookup(A522,importrange(""1fyGnaViAX9kns28pvsfPvI9925sAI7kxPlM7jpuHVJM"",""Validation!A:Z""),22,0)"),"Cluster - Kanhaiya")</f>
        <v>Cluster - Kanhaiya</v>
      </c>
      <c r="H522" s="4" t="str">
        <f>IFERROR(__xludf.DUMMYFUNCTION("vlookup(C522,importrange(""1kw74ismGU34AsZ5x-W4x7F3Zt2xc8NSYcCVMrCJBmdQ"",""DRP for 8 products!B:C""),2,0)"),"ONIRMYAE4")</f>
        <v>ONIRMYAE4</v>
      </c>
      <c r="I522" s="7">
        <f>IFERROR(__xludf.DUMMYFUNCTION("vlookup(C522,importrange(""1kw74ismGU34AsZ5x-W4x7F3Zt2xc8NSYcCVMrCJBmdQ"",""DRP for 8 products!B:E""),4,0)"),21.0)</f>
        <v>21</v>
      </c>
      <c r="J522" s="8" t="str">
        <f t="shared" si="1"/>
        <v>Tier 3</v>
      </c>
      <c r="K522" s="9" t="str">
        <f t="shared" si="2"/>
        <v>Active</v>
      </c>
      <c r="L522" s="4" t="str">
        <f>IFERROR(__xludf.DUMMYFUNCTION("vlookup(C522,importrange(""1kw74ismGU34AsZ5x-W4x7F3Zt2xc8NSYcCVMrCJBmdQ"",""DRP for 8 products!B:H""),6,0)"),"BigQuery")</f>
        <v>BigQuery</v>
      </c>
      <c r="M522" s="10" t="str">
        <f t="shared" si="3"/>
        <v>Yes</v>
      </c>
    </row>
    <row r="523">
      <c r="A523" s="4" t="str">
        <f>IFERROR(__xludf.DUMMYFUNCTION("vlookup(C523,IMPORTRANGE(""1Kgoo8qyo6zMtf_5B03ksZz228jg0XpZ4_KXsdHQ4Vks"",""14 Sept!A:B""),2,0)"),"DME1367")</f>
        <v>DME1367</v>
      </c>
      <c r="B523" s="5" t="str">
        <f>IFERROR(__xludf.DUMMYFUNCTION("""COMPUTED_VALUE"""),"Pankaj Kumar")</f>
        <v>Pankaj Kumar</v>
      </c>
      <c r="C523" s="5" t="str">
        <f>IFERROR(__xludf.DUMMYFUNCTION("""COMPUTED_VALUE"""),"pankaj.kumar@onixnet.com")</f>
        <v>pankaj.kumar@onixnet.com</v>
      </c>
      <c r="D523" s="4" t="s">
        <v>11</v>
      </c>
      <c r="E523" s="6" t="str">
        <f>IFERROR(__xludf.DUMMYFUNCTION("vlookup($A523,importrange(""1fyGnaViAX9kns28pvsfPvI9925sAI7kxPlM7jpuHVJM"",""Validation!A:Z""),11,0)"),"Delivery Services")</f>
        <v>Delivery Services</v>
      </c>
      <c r="F523" s="6" t="str">
        <f>IFERROR(__xludf.DUMMYFUNCTION("vlookup($A523,importrange(""1fyGnaViAX9kns28pvsfPvI9925sAI7kxPlM7jpuHVJM"",""Validation!A:Z""),23,0)"),"Kanhaiya Jha")</f>
        <v>Kanhaiya Jha</v>
      </c>
      <c r="G523" s="6" t="str">
        <f>IFERROR(__xludf.DUMMYFUNCTION("vlookup(A523,importrange(""1fyGnaViAX9kns28pvsfPvI9925sAI7kxPlM7jpuHVJM"",""Validation!A:Z""),22,0)"),"Cluster - Kanhaiya")</f>
        <v>Cluster - Kanhaiya</v>
      </c>
      <c r="H523" s="4" t="str">
        <f>IFERROR(__xludf.DUMMYFUNCTION("vlookup(C523,importrange(""1kw74ismGU34AsZ5x-W4x7F3Zt2xc8NSYcCVMrCJBmdQ"",""DRP for 8 products!B:C""),2,0)"),"ONIPKCTL1")</f>
        <v>ONIPKCTL1</v>
      </c>
      <c r="I523" s="7">
        <f>IFERROR(__xludf.DUMMYFUNCTION("vlookup(C523,importrange(""1kw74ismGU34AsZ5x-W4x7F3Zt2xc8NSYcCVMrCJBmdQ"",""DRP for 8 products!B:E""),4,0)"),10.0)</f>
        <v>10</v>
      </c>
      <c r="J523" s="8" t="str">
        <f t="shared" si="1"/>
        <v>Tier 4</v>
      </c>
      <c r="K523" s="9" t="str">
        <f t="shared" si="2"/>
        <v>Active</v>
      </c>
      <c r="L523" s="4" t="str">
        <f>IFERROR(__xludf.DUMMYFUNCTION("vlookup(C523,importrange(""1kw74ismGU34AsZ5x-W4x7F3Zt2xc8NSYcCVMrCJBmdQ"",""DRP for 8 products!B:H""),6,0)"),"BigQuery")</f>
        <v>BigQuery</v>
      </c>
      <c r="M523" s="10" t="str">
        <f t="shared" si="3"/>
        <v>Yes</v>
      </c>
    </row>
    <row r="524">
      <c r="A524" s="4" t="str">
        <f>IFERROR(__xludf.DUMMYFUNCTION("vlookup(C524,IMPORTRANGE(""1Kgoo8qyo6zMtf_5B03ksZz228jg0XpZ4_KXsdHQ4Vks"",""14 Sept!A:B""),2,0)"),"DME2196")</f>
        <v>DME2196</v>
      </c>
      <c r="B524" s="5" t="str">
        <f>IFERROR(__xludf.DUMMYFUNCTION("""COMPUTED_VALUE"""),"Rahul Shirsath")</f>
        <v>Rahul Shirsath</v>
      </c>
      <c r="C524" s="5" t="str">
        <f>IFERROR(__xludf.DUMMYFUNCTION("""COMPUTED_VALUE"""),"rahul.shirsath@onixnet.com")</f>
        <v>rahul.shirsath@onixnet.com</v>
      </c>
      <c r="D524" s="4" t="s">
        <v>11</v>
      </c>
      <c r="E524" s="6" t="str">
        <f>IFERROR(__xludf.DUMMYFUNCTION("vlookup($A524,importrange(""1fyGnaViAX9kns28pvsfPvI9925sAI7kxPlM7jpuHVJM"",""Validation!A:Z""),11,0)"),"Delivery Services")</f>
        <v>Delivery Services</v>
      </c>
      <c r="F524" s="6" t="str">
        <f>IFERROR(__xludf.DUMMYFUNCTION("vlookup($A524,importrange(""1fyGnaViAX9kns28pvsfPvI9925sAI7kxPlM7jpuHVJM"",""Validation!A:Z""),23,0)"),"Ashwini Kumar")</f>
        <v>Ashwini Kumar</v>
      </c>
      <c r="G524" s="6" t="str">
        <f>IFERROR(__xludf.DUMMYFUNCTION("vlookup(A524,importrange(""1fyGnaViAX9kns28pvsfPvI9925sAI7kxPlM7jpuHVJM"",""Validation!A:Z""),22,0)"),"Cluster - Kanhaiya")</f>
        <v>Cluster - Kanhaiya</v>
      </c>
      <c r="H524" s="4" t="str">
        <f>IFERROR(__xludf.DUMMYFUNCTION("vlookup(C524,importrange(""1kw74ismGU34AsZ5x-W4x7F3Zt2xc8NSYcCVMrCJBmdQ"",""DRP for 8 products!B:C""),2,0)"),"ONIRSPMO6")</f>
        <v>ONIRSPMO6</v>
      </c>
      <c r="I524" s="7">
        <f>IFERROR(__xludf.DUMMYFUNCTION("vlookup(C524,importrange(""1kw74ismGU34AsZ5x-W4x7F3Zt2xc8NSYcCVMrCJBmdQ"",""DRP for 8 products!B:E""),4,0)"),11.0)</f>
        <v>11</v>
      </c>
      <c r="J524" s="8" t="str">
        <f t="shared" si="1"/>
        <v>Tier 4</v>
      </c>
      <c r="K524" s="9" t="str">
        <f t="shared" si="2"/>
        <v>Active</v>
      </c>
      <c r="L524" s="4" t="str">
        <f>IFERROR(__xludf.DUMMYFUNCTION("vlookup(C524,importrange(""1kw74ismGU34AsZ5x-W4x7F3Zt2xc8NSYcCVMrCJBmdQ"",""DRP for 8 products!B:H""),6,0)"),"BigQuery")</f>
        <v>BigQuery</v>
      </c>
      <c r="M524" s="10" t="str">
        <f t="shared" si="3"/>
        <v>Yes</v>
      </c>
    </row>
    <row r="525">
      <c r="A525" s="4" t="str">
        <f>IFERROR(__xludf.DUMMYFUNCTION("vlookup(C525,IMPORTRANGE(""1Kgoo8qyo6zMtf_5B03ksZz228jg0XpZ4_KXsdHQ4Vks"",""14 Sept!A:B""),2,0)"),"DME1102")</f>
        <v>DME1102</v>
      </c>
      <c r="B525" s="5" t="str">
        <f>IFERROR(__xludf.DUMMYFUNCTION("""COMPUTED_VALUE"""),"Amir Sohel")</f>
        <v>Amir Sohel</v>
      </c>
      <c r="C525" s="5" t="str">
        <f>IFERROR(__xludf.DUMMYFUNCTION("""COMPUTED_VALUE"""),"amir.sohel@onixnet.com")</f>
        <v>amir.sohel@onixnet.com</v>
      </c>
      <c r="D525" s="4" t="s">
        <v>11</v>
      </c>
      <c r="E525" s="6" t="str">
        <f>IFERROR(__xludf.DUMMYFUNCTION("vlookup($A525,importrange(""1fyGnaViAX9kns28pvsfPvI9925sAI7kxPlM7jpuHVJM"",""Validation!A:Z""),11,0)"),"Delivery Services")</f>
        <v>Delivery Services</v>
      </c>
      <c r="F525" s="6" t="str">
        <f>IFERROR(__xludf.DUMMYFUNCTION("vlookup($A525,importrange(""1fyGnaViAX9kns28pvsfPvI9925sAI7kxPlM7jpuHVJM"",""Validation!A:Z""),23,0)"),"Shubhendu Shubhendu")</f>
        <v>Shubhendu Shubhendu</v>
      </c>
      <c r="G525" s="6" t="str">
        <f>IFERROR(__xludf.DUMMYFUNCTION("vlookup(A525,importrange(""1fyGnaViAX9kns28pvsfPvI9925sAI7kxPlM7jpuHVJM"",""Validation!A:Z""),22,0)"),"Cluster - Kanhaiya")</f>
        <v>Cluster - Kanhaiya</v>
      </c>
      <c r="H525" s="4" t="str">
        <f>IFERROR(__xludf.DUMMYFUNCTION("vlookup(C525,importrange(""1kw74ismGU34AsZ5x-W4x7F3Zt2xc8NSYcCVMrCJBmdQ"",""DRP for 8 products!B:C""),2,0)"),"ONIASTTZ6")</f>
        <v>ONIASTTZ6</v>
      </c>
      <c r="I525" s="7">
        <f>IFERROR(__xludf.DUMMYFUNCTION("vlookup(C525,importrange(""1kw74ismGU34AsZ5x-W4x7F3Zt2xc8NSYcCVMrCJBmdQ"",""DRP for 8 products!B:E""),4,0)"),24.0)</f>
        <v>24</v>
      </c>
      <c r="J525" s="8" t="str">
        <f t="shared" si="1"/>
        <v>Tier 3</v>
      </c>
      <c r="K525" s="9" t="str">
        <f t="shared" si="2"/>
        <v>Active</v>
      </c>
      <c r="L525" s="4" t="str">
        <f>IFERROR(__xludf.DUMMYFUNCTION("vlookup(C525,importrange(""1kw74ismGU34AsZ5x-W4x7F3Zt2xc8NSYcCVMrCJBmdQ"",""DRP for 8 products!B:H""),6,0)"),"Cloud SQL")</f>
        <v>Cloud SQL</v>
      </c>
      <c r="M525" s="10" t="str">
        <f t="shared" si="3"/>
        <v>Yes</v>
      </c>
    </row>
    <row r="526">
      <c r="A526" s="4" t="str">
        <f>IFERROR(__xludf.DUMMYFUNCTION("vlookup(C526,IMPORTRANGE(""1Kgoo8qyo6zMtf_5B03ksZz228jg0XpZ4_KXsdHQ4Vks"",""14 Sept!A:B""),2,0)"),"DME1704")</f>
        <v>DME1704</v>
      </c>
      <c r="B526" s="5" t="str">
        <f>IFERROR(__xludf.DUMMYFUNCTION("""COMPUTED_VALUE"""),"Shubhangi Dhawan")</f>
        <v>Shubhangi Dhawan</v>
      </c>
      <c r="C526" s="5" t="str">
        <f>IFERROR(__xludf.DUMMYFUNCTION("""COMPUTED_VALUE"""),"shubhangi.dhawan@onixnet.com")</f>
        <v>shubhangi.dhawan@onixnet.com</v>
      </c>
      <c r="D526" s="4" t="s">
        <v>11</v>
      </c>
      <c r="E526" s="6" t="str">
        <f>IFERROR(__xludf.DUMMYFUNCTION("vlookup($A526,importrange(""1fyGnaViAX9kns28pvsfPvI9925sAI7kxPlM7jpuHVJM"",""Validation!A:Z""),11,0)"),"Delivery Services")</f>
        <v>Delivery Services</v>
      </c>
      <c r="F526" s="6" t="str">
        <f>IFERROR(__xludf.DUMMYFUNCTION("vlookup($A526,importrange(""1fyGnaViAX9kns28pvsfPvI9925sAI7kxPlM7jpuHVJM"",""Validation!A:Z""),23,0)"),"Jitender Singh")</f>
        <v>Jitender Singh</v>
      </c>
      <c r="G526" s="6" t="str">
        <f>IFERROR(__xludf.DUMMYFUNCTION("vlookup(A526,importrange(""1fyGnaViAX9kns28pvsfPvI9925sAI7kxPlM7jpuHVJM"",""Validation!A:Z""),22,0)"),"Cluster - Gaurav")</f>
        <v>Cluster - Gaurav</v>
      </c>
      <c r="H526" s="4" t="str">
        <f>IFERROR(__xludf.DUMMYFUNCTION("vlookup(C526,importrange(""1kw74ismGU34AsZ5x-W4x7F3Zt2xc8NSYcCVMrCJBmdQ"",""DRP for 8 products!B:C""),2,0)"),"ONISDYHV2")</f>
        <v>ONISDYHV2</v>
      </c>
      <c r="I526" s="7">
        <f>IFERROR(__xludf.DUMMYFUNCTION("vlookup(C526,importrange(""1kw74ismGU34AsZ5x-W4x7F3Zt2xc8NSYcCVMrCJBmdQ"",""DRP for 8 products!B:E""),4,0)"),44.0)</f>
        <v>44</v>
      </c>
      <c r="J526" s="8" t="str">
        <f t="shared" si="1"/>
        <v>Tier 2</v>
      </c>
      <c r="K526" s="9" t="str">
        <f t="shared" si="2"/>
        <v>Active</v>
      </c>
      <c r="L526" s="4" t="str">
        <f>IFERROR(__xludf.DUMMYFUNCTION("vlookup(C526,importrange(""1kw74ismGU34AsZ5x-W4x7F3Zt2xc8NSYcCVMrCJBmdQ"",""DRP for 8 products!B:H""),6,0)"),"BigQuery")</f>
        <v>BigQuery</v>
      </c>
      <c r="M526" s="10" t="str">
        <f t="shared" si="3"/>
        <v>Yes</v>
      </c>
    </row>
    <row r="527">
      <c r="A527" s="4" t="str">
        <f>IFERROR(__xludf.DUMMYFUNCTION("vlookup(C527,IMPORTRANGE(""1Kgoo8qyo6zMtf_5B03ksZz228jg0XpZ4_KXsdHQ4Vks"",""14 Sept!A:B""),2,0)"),"DME1721")</f>
        <v>DME1721</v>
      </c>
      <c r="B527" s="5" t="str">
        <f>IFERROR(__xludf.DUMMYFUNCTION("""COMPUTED_VALUE"""),"Komal Gaikwad")</f>
        <v>Komal Gaikwad</v>
      </c>
      <c r="C527" s="5" t="str">
        <f>IFERROR(__xludf.DUMMYFUNCTION("""COMPUTED_VALUE"""),"komal.gaikwad@onixnet.com")</f>
        <v>komal.gaikwad@onixnet.com</v>
      </c>
      <c r="D527" s="4" t="s">
        <v>11</v>
      </c>
      <c r="E527" s="6" t="str">
        <f>IFERROR(__xludf.DUMMYFUNCTION("vlookup($A527,importrange(""1fyGnaViAX9kns28pvsfPvI9925sAI7kxPlM7jpuHVJM"",""Validation!A:Z""),11,0)"),"Delivery Services")</f>
        <v>Delivery Services</v>
      </c>
      <c r="F527" s="6" t="str">
        <f>IFERROR(__xludf.DUMMYFUNCTION("vlookup($A527,importrange(""1fyGnaViAX9kns28pvsfPvI9925sAI7kxPlM7jpuHVJM"",""Validation!A:Z""),23,0)"),"Prabhat Jain")</f>
        <v>Prabhat Jain</v>
      </c>
      <c r="G527" s="6" t="str">
        <f>IFERROR(__xludf.DUMMYFUNCTION("vlookup(A527,importrange(""1fyGnaViAX9kns28pvsfPvI9925sAI7kxPlM7jpuHVJM"",""Validation!A:Z""),22,0)"),"Cluster - Sachin")</f>
        <v>Cluster - Sachin</v>
      </c>
      <c r="H527" s="4" t="str">
        <f>IFERROR(__xludf.DUMMYFUNCTION("vlookup(C527,importrange(""1kw74ismGU34AsZ5x-W4x7F3Zt2xc8NSYcCVMrCJBmdQ"",""DRP for 8 products!B:C""),2,0)"),"ONIKGMPA5")</f>
        <v>ONIKGMPA5</v>
      </c>
      <c r="I527" s="7">
        <f>IFERROR(__xludf.DUMMYFUNCTION("vlookup(C527,importrange(""1kw74ismGU34AsZ5x-W4x7F3Zt2xc8NSYcCVMrCJBmdQ"",""DRP for 8 products!B:E""),4,0)"),19.0)</f>
        <v>19</v>
      </c>
      <c r="J527" s="8" t="str">
        <f t="shared" si="1"/>
        <v>Tier 4</v>
      </c>
      <c r="K527" s="9" t="str">
        <f t="shared" si="2"/>
        <v>Active</v>
      </c>
      <c r="L527" s="4" t="str">
        <f>IFERROR(__xludf.DUMMYFUNCTION("vlookup(C527,importrange(""1kw74ismGU34AsZ5x-W4x7F3Zt2xc8NSYcCVMrCJBmdQ"",""DRP for 8 products!B:H""),6,0)"),"AlloyDB for PostgreSQL")</f>
        <v>AlloyDB for PostgreSQL</v>
      </c>
      <c r="M527" s="10" t="str">
        <f t="shared" si="3"/>
        <v>Yes</v>
      </c>
    </row>
    <row r="528">
      <c r="A528" s="4" t="str">
        <f>IFERROR(__xludf.DUMMYFUNCTION("vlookup(C528,IMPORTRANGE(""1Kgoo8qyo6zMtf_5B03ksZz228jg0XpZ4_KXsdHQ4Vks"",""14 Sept!A:B""),2,0)"),"DME2490")</f>
        <v>DME2490</v>
      </c>
      <c r="B528" s="5" t="str">
        <f>IFERROR(__xludf.DUMMYFUNCTION("""COMPUTED_VALUE"""),"Aditya Jaiswal")</f>
        <v>Aditya Jaiswal</v>
      </c>
      <c r="C528" s="5" t="str">
        <f>IFERROR(__xludf.DUMMYFUNCTION("""COMPUTED_VALUE"""),"aditya.jaiswal@onixnet.com")</f>
        <v>aditya.jaiswal@onixnet.com</v>
      </c>
      <c r="D528" s="4" t="s">
        <v>11</v>
      </c>
      <c r="E528" s="6" t="str">
        <f>IFERROR(__xludf.DUMMYFUNCTION("vlookup($A528,importrange(""1fyGnaViAX9kns28pvsfPvI9925sAI7kxPlM7jpuHVJM"",""Validation!A:Z""),11,0)"),"Delivery Services")</f>
        <v>Delivery Services</v>
      </c>
      <c r="F528" s="6" t="str">
        <f>IFERROR(__xludf.DUMMYFUNCTION("vlookup($A528,importrange(""1fyGnaViAX9kns28pvsfPvI9925sAI7kxPlM7jpuHVJM"",""Validation!A:Z""),23,0)"),"Shreyas Meshram")</f>
        <v>Shreyas Meshram</v>
      </c>
      <c r="G528" s="6" t="str">
        <f>IFERROR(__xludf.DUMMYFUNCTION("vlookup(A528,importrange(""1fyGnaViAX9kns28pvsfPvI9925sAI7kxPlM7jpuHVJM"",""Validation!A:Z""),22,0)"),"Cluster - Gaurav")</f>
        <v>Cluster - Gaurav</v>
      </c>
      <c r="H528" s="4" t="str">
        <f>IFERROR(__xludf.DUMMYFUNCTION("vlookup(C528,importrange(""1kw74ismGU34AsZ5x-W4x7F3Zt2xc8NSYcCVMrCJBmdQ"",""DRP for 8 products!B:C""),2,0)"),"ONIAJISW2")</f>
        <v>ONIAJISW2</v>
      </c>
      <c r="I528" s="7">
        <f>IFERROR(__xludf.DUMMYFUNCTION("vlookup(C528,importrange(""1kw74ismGU34AsZ5x-W4x7F3Zt2xc8NSYcCVMrCJBmdQ"",""DRP for 8 products!B:E""),4,0)"),10.0)</f>
        <v>10</v>
      </c>
      <c r="J528" s="8" t="str">
        <f t="shared" si="1"/>
        <v>Tier 4</v>
      </c>
      <c r="K528" s="9" t="str">
        <f t="shared" si="2"/>
        <v>Active</v>
      </c>
      <c r="L528" s="4" t="str">
        <f>IFERROR(__xludf.DUMMYFUNCTION("vlookup(C528,importrange(""1kw74ismGU34AsZ5x-W4x7F3Zt2xc8NSYcCVMrCJBmdQ"",""DRP for 8 products!B:H""),6,0)"),"BigQuery")</f>
        <v>BigQuery</v>
      </c>
      <c r="M528" s="10" t="str">
        <f t="shared" si="3"/>
        <v>Yes</v>
      </c>
    </row>
    <row r="529">
      <c r="A529" s="4" t="str">
        <f>IFERROR(__xludf.DUMMYFUNCTION("vlookup(C529,IMPORTRANGE(""1Kgoo8qyo6zMtf_5B03ksZz228jg0XpZ4_KXsdHQ4Vks"",""14 Sept!A:B""),2,0)"),"DME2810")</f>
        <v>DME2810</v>
      </c>
      <c r="B529" s="5" t="str">
        <f>IFERROR(__xludf.DUMMYFUNCTION("""COMPUTED_VALUE"""),"Rahul Moundekar")</f>
        <v>Rahul Moundekar</v>
      </c>
      <c r="C529" s="5" t="str">
        <f>IFERROR(__xludf.DUMMYFUNCTION("""COMPUTED_VALUE"""),"rahul.moundekar@onixnet.com")</f>
        <v>rahul.moundekar@onixnet.com</v>
      </c>
      <c r="D529" s="4" t="s">
        <v>11</v>
      </c>
      <c r="E529" s="6" t="str">
        <f>IFERROR(__xludf.DUMMYFUNCTION("vlookup($A529,importrange(""1fyGnaViAX9kns28pvsfPvI9925sAI7kxPlM7jpuHVJM"",""Validation!A:Z""),11,0)"),"Corporate Operations")</f>
        <v>Corporate Operations</v>
      </c>
      <c r="F529" s="6" t="str">
        <f>IFERROR(__xludf.DUMMYFUNCTION("vlookup($A529,importrange(""1fyGnaViAX9kns28pvsfPvI9925sAI7kxPlM7jpuHVJM"",""Validation!A:Z""),23,0)"),"Satya Pillai")</f>
        <v>Satya Pillai</v>
      </c>
      <c r="G529" s="6" t="str">
        <f>IFERROR(__xludf.DUMMYFUNCTION("vlookup(A529,importrange(""1fyGnaViAX9kns28pvsfPvI9925sAI7kxPlM7jpuHVJM"",""Validation!A:Z""),22,0)"),"Cluster - Satya")</f>
        <v>Cluster - Satya</v>
      </c>
      <c r="H529" s="4" t="str">
        <f>IFERROR(__xludf.DUMMYFUNCTION("vlookup(C529,importrange(""1kw74ismGU34AsZ5x-W4x7F3Zt2xc8NSYcCVMrCJBmdQ"",""DRP for 8 products!B:C""),2,0)"),"ONIRMQQT0")</f>
        <v>ONIRMQQT0</v>
      </c>
      <c r="I529" s="7">
        <f>IFERROR(__xludf.DUMMYFUNCTION("vlookup(C529,importrange(""1kw74ismGU34AsZ5x-W4x7F3Zt2xc8NSYcCVMrCJBmdQ"",""DRP for 8 products!B:E""),4,0)"),15.0)</f>
        <v>15</v>
      </c>
      <c r="J529" s="8" t="str">
        <f t="shared" si="1"/>
        <v>Tier 4</v>
      </c>
      <c r="K529" s="9" t="str">
        <f t="shared" si="2"/>
        <v>Active</v>
      </c>
      <c r="L529" s="4" t="str">
        <f>IFERROR(__xludf.DUMMYFUNCTION("vlookup(C529,importrange(""1kw74ismGU34AsZ5x-W4x7F3Zt2xc8NSYcCVMrCJBmdQ"",""DRP for 8 products!B:H""),6,0)"),"AlloyDB for PostgreSQL")</f>
        <v>AlloyDB for PostgreSQL</v>
      </c>
      <c r="M529" s="10" t="str">
        <f t="shared" si="3"/>
        <v>Yes</v>
      </c>
    </row>
    <row r="530">
      <c r="A530" s="4" t="str">
        <f>IFERROR(__xludf.DUMMYFUNCTION("vlookup(C530,IMPORTRANGE(""1Kgoo8qyo6zMtf_5B03ksZz228jg0XpZ4_KXsdHQ4Vks"",""14 Sept!A:B""),2,0)"),"DME1399")</f>
        <v>DME1399</v>
      </c>
      <c r="B530" s="5" t="str">
        <f>IFERROR(__xludf.DUMMYFUNCTION("""COMPUTED_VALUE"""),"Anil Kashid")</f>
        <v>Anil Kashid</v>
      </c>
      <c r="C530" s="5" t="str">
        <f>IFERROR(__xludf.DUMMYFUNCTION("""COMPUTED_VALUE"""),"anil.kashid@onixnet.com")</f>
        <v>anil.kashid@onixnet.com</v>
      </c>
      <c r="D530" s="4" t="s">
        <v>11</v>
      </c>
      <c r="E530" s="6" t="str">
        <f>IFERROR(__xludf.DUMMYFUNCTION("vlookup($A530,importrange(""1fyGnaViAX9kns28pvsfPvI9925sAI7kxPlM7jpuHVJM"",""Validation!A:Z""),11,0)"),"Delivery Services")</f>
        <v>Delivery Services</v>
      </c>
      <c r="F530" s="6" t="str">
        <f>IFERROR(__xludf.DUMMYFUNCTION("vlookup($A530,importrange(""1fyGnaViAX9kns28pvsfPvI9925sAI7kxPlM7jpuHVJM"",""Validation!A:Z""),23,0)"),"Anushri Agrawal")</f>
        <v>Anushri Agrawal</v>
      </c>
      <c r="G530" s="6" t="str">
        <f>IFERROR(__xludf.DUMMYFUNCTION("vlookup(A530,importrange(""1fyGnaViAX9kns28pvsfPvI9925sAI7kxPlM7jpuHVJM"",""Validation!A:Z""),22,0)"),"Cluster - Gaurav")</f>
        <v>Cluster - Gaurav</v>
      </c>
      <c r="H530" s="4" t="str">
        <f>IFERROR(__xludf.DUMMYFUNCTION("vlookup(C530,importrange(""1kw74ismGU34AsZ5x-W4x7F3Zt2xc8NSYcCVMrCJBmdQ"",""DRP for 8 products!B:C""),2,0)"),"ONIAKCLQ9")</f>
        <v>ONIAKCLQ9</v>
      </c>
      <c r="I530" s="7">
        <f>IFERROR(__xludf.DUMMYFUNCTION("vlookup(C530,importrange(""1kw74ismGU34AsZ5x-W4x7F3Zt2xc8NSYcCVMrCJBmdQ"",""DRP for 8 products!B:E""),4,0)"),15.0)</f>
        <v>15</v>
      </c>
      <c r="J530" s="8" t="str">
        <f t="shared" si="1"/>
        <v>Tier 4</v>
      </c>
      <c r="K530" s="9" t="str">
        <f t="shared" si="2"/>
        <v>Active</v>
      </c>
      <c r="L530" s="4" t="str">
        <f>IFERROR(__xludf.DUMMYFUNCTION("vlookup(C530,importrange(""1kw74ismGU34AsZ5x-W4x7F3Zt2xc8NSYcCVMrCJBmdQ"",""DRP for 8 products!B:H""),6,0)"),"BigQuery")</f>
        <v>BigQuery</v>
      </c>
      <c r="M530" s="10" t="str">
        <f t="shared" si="3"/>
        <v>Yes</v>
      </c>
    </row>
    <row r="531">
      <c r="A531" s="4" t="str">
        <f>IFERROR(__xludf.DUMMYFUNCTION("vlookup(C531,IMPORTRANGE(""1Kgoo8qyo6zMtf_5B03ksZz228jg0XpZ4_KXsdHQ4Vks"",""14 Sept!A:B""),2,0)"),"DME1616")</f>
        <v>DME1616</v>
      </c>
      <c r="B531" s="5" t="str">
        <f>IFERROR(__xludf.DUMMYFUNCTION("""COMPUTED_VALUE"""),"Deepak Kumar")</f>
        <v>Deepak Kumar</v>
      </c>
      <c r="C531" s="5" t="str">
        <f>IFERROR(__xludf.DUMMYFUNCTION("""COMPUTED_VALUE"""),"deepak.k@onixnet.com")</f>
        <v>deepak.k@onixnet.com</v>
      </c>
      <c r="D531" s="4" t="s">
        <v>11</v>
      </c>
      <c r="E531" s="6" t="str">
        <f>IFERROR(__xludf.DUMMYFUNCTION("vlookup($A531,importrange(""1fyGnaViAX9kns28pvsfPvI9925sAI7kxPlM7jpuHVJM"",""Validation!A:Z""),11,0)"),"Product Engineering")</f>
        <v>Product Engineering</v>
      </c>
      <c r="F531" s="6" t="str">
        <f>IFERROR(__xludf.DUMMYFUNCTION("vlookup($A531,importrange(""1fyGnaViAX9kns28pvsfPvI9925sAI7kxPlM7jpuHVJM"",""Validation!A:Z""),23,0)"),"Pooja Kore")</f>
        <v>Pooja Kore</v>
      </c>
      <c r="G531" s="6" t="str">
        <f>IFERROR(__xludf.DUMMYFUNCTION("vlookup(A531,importrange(""1fyGnaViAX9kns28pvsfPvI9925sAI7kxPlM7jpuHVJM"",""Validation!A:Z""),22,0)"),"Cluster - Mayur")</f>
        <v>Cluster - Mayur</v>
      </c>
      <c r="H531" s="4" t="str">
        <f>IFERROR(__xludf.DUMMYFUNCTION("vlookup(C531,importrange(""1kw74ismGU34AsZ5x-W4x7F3Zt2xc8NSYcCVMrCJBmdQ"",""DRP for 8 products!B:C""),2,0)"),"ONIDKZGU8")</f>
        <v>ONIDKZGU8</v>
      </c>
      <c r="I531" s="7">
        <f>IFERROR(__xludf.DUMMYFUNCTION("vlookup(C531,importrange(""1kw74ismGU34AsZ5x-W4x7F3Zt2xc8NSYcCVMrCJBmdQ"",""DRP for 8 products!B:E""),4,0)"),30.0)</f>
        <v>30</v>
      </c>
      <c r="J531" s="8" t="str">
        <f t="shared" si="1"/>
        <v>Tier 3</v>
      </c>
      <c r="K531" s="9" t="str">
        <f t="shared" si="2"/>
        <v>Active</v>
      </c>
      <c r="L531" s="4" t="str">
        <f>IFERROR(__xludf.DUMMYFUNCTION("vlookup(C531,importrange(""1kw74ismGU34AsZ5x-W4x7F3Zt2xc8NSYcCVMrCJBmdQ"",""DRP for 8 products!B:H""),6,0)"),"BigQuery")</f>
        <v>BigQuery</v>
      </c>
      <c r="M531" s="10" t="str">
        <f t="shared" si="3"/>
        <v>Yes</v>
      </c>
    </row>
    <row r="532">
      <c r="A532" s="4" t="str">
        <f>IFERROR(__xludf.DUMMYFUNCTION("vlookup(C532,IMPORTRANGE(""1Kgoo8qyo6zMtf_5B03ksZz228jg0XpZ4_KXsdHQ4Vks"",""14 Sept!A:B""),2,0)"),"DME2032")</f>
        <v>DME2032</v>
      </c>
      <c r="B532" s="5" t="str">
        <f>IFERROR(__xludf.DUMMYFUNCTION("""COMPUTED_VALUE"""),"Vinaya Gawali")</f>
        <v>Vinaya Gawali</v>
      </c>
      <c r="C532" s="5" t="str">
        <f>IFERROR(__xludf.DUMMYFUNCTION("""COMPUTED_VALUE"""),"vinaya.gawali@onixnet.com")</f>
        <v>vinaya.gawali@onixnet.com</v>
      </c>
      <c r="D532" s="4" t="s">
        <v>11</v>
      </c>
      <c r="E532" s="6" t="str">
        <f>IFERROR(__xludf.DUMMYFUNCTION("vlookup($A532,importrange(""1fyGnaViAX9kns28pvsfPvI9925sAI7kxPlM7jpuHVJM"",""Validation!A:Z""),11,0)"),"Delivery Services")</f>
        <v>Delivery Services</v>
      </c>
      <c r="F532" s="6" t="str">
        <f>IFERROR(__xludf.DUMMYFUNCTION("vlookup($A532,importrange(""1fyGnaViAX9kns28pvsfPvI9925sAI7kxPlM7jpuHVJM"",""Validation!A:Z""),23,0)"),"Brajesh Kumar")</f>
        <v>Brajesh Kumar</v>
      </c>
      <c r="G532" s="6" t="str">
        <f>IFERROR(__xludf.DUMMYFUNCTION("vlookup(A532,importrange(""1fyGnaViAX9kns28pvsfPvI9925sAI7kxPlM7jpuHVJM"",""Validation!A:Z""),22,0)"),"Cluster - Sachin")</f>
        <v>Cluster - Sachin</v>
      </c>
      <c r="H532" s="4" t="str">
        <f>IFERROR(__xludf.DUMMYFUNCTION("vlookup(C532,importrange(""1kw74ismGU34AsZ5x-W4x7F3Zt2xc8NSYcCVMrCJBmdQ"",""DRP for 8 products!B:C""),2,0)"),"ONIVGKJU3")</f>
        <v>ONIVGKJU3</v>
      </c>
      <c r="I532" s="7">
        <f>IFERROR(__xludf.DUMMYFUNCTION("vlookup(C532,importrange(""1kw74ismGU34AsZ5x-W4x7F3Zt2xc8NSYcCVMrCJBmdQ"",""DRP for 8 products!B:E""),4,0)"),14.0)</f>
        <v>14</v>
      </c>
      <c r="J532" s="8" t="str">
        <f t="shared" si="1"/>
        <v>Tier 4</v>
      </c>
      <c r="K532" s="9" t="str">
        <f t="shared" si="2"/>
        <v>Active</v>
      </c>
      <c r="L532" s="4" t="str">
        <f>IFERROR(__xludf.DUMMYFUNCTION("vlookup(C532,importrange(""1kw74ismGU34AsZ5x-W4x7F3Zt2xc8NSYcCVMrCJBmdQ"",""DRP for 8 products!B:H""),6,0)"),"BigQuery")</f>
        <v>BigQuery</v>
      </c>
      <c r="M532" s="10" t="str">
        <f t="shared" si="3"/>
        <v>Yes</v>
      </c>
    </row>
    <row r="533">
      <c r="A533" s="4" t="str">
        <f>IFERROR(__xludf.DUMMYFUNCTION("vlookup(C533,IMPORTRANGE(""1Kgoo8qyo6zMtf_5B03ksZz228jg0XpZ4_KXsdHQ4Vks"",""14 Sept!A:B""),2,0)"),"DME2784")</f>
        <v>DME2784</v>
      </c>
      <c r="B533" s="5" t="str">
        <f>IFERROR(__xludf.DUMMYFUNCTION("""COMPUTED_VALUE"""),"Ayush Poddar")</f>
        <v>Ayush Poddar</v>
      </c>
      <c r="C533" s="5" t="str">
        <f>IFERROR(__xludf.DUMMYFUNCTION("""COMPUTED_VALUE"""),"ayush.poddar@onixnet.com")</f>
        <v>ayush.poddar@onixnet.com</v>
      </c>
      <c r="D533" s="4" t="s">
        <v>11</v>
      </c>
      <c r="E533" s="6" t="str">
        <f>IFERROR(__xludf.DUMMYFUNCTION("vlookup($A533,importrange(""1fyGnaViAX9kns28pvsfPvI9925sAI7kxPlM7jpuHVJM"",""Validation!A:Z""),11,0)"),"Delivery Services")</f>
        <v>Delivery Services</v>
      </c>
      <c r="F533" s="6" t="str">
        <f>IFERROR(__xludf.DUMMYFUNCTION("vlookup($A533,importrange(""1fyGnaViAX9kns28pvsfPvI9925sAI7kxPlM7jpuHVJM"",""Validation!A:Z""),23,0)"),"Poonam Sharma")</f>
        <v>Poonam Sharma</v>
      </c>
      <c r="G533" s="6" t="str">
        <f>IFERROR(__xludf.DUMMYFUNCTION("vlookup(A533,importrange(""1fyGnaViAX9kns28pvsfPvI9925sAI7kxPlM7jpuHVJM"",""Validation!A:Z""),22,0)"),"Cluster - Sachin")</f>
        <v>Cluster - Sachin</v>
      </c>
      <c r="H533" s="4" t="str">
        <f>IFERROR(__xludf.DUMMYFUNCTION("vlookup(C533,importrange(""1kw74ismGU34AsZ5x-W4x7F3Zt2xc8NSYcCVMrCJBmdQ"",""DRP for 8 products!B:C""),2,0)"),"ONIAPGGG6")</f>
        <v>ONIAPGGG6</v>
      </c>
      <c r="I533" s="7">
        <f>IFERROR(__xludf.DUMMYFUNCTION("vlookup(C533,importrange(""1kw74ismGU34AsZ5x-W4x7F3Zt2xc8NSYcCVMrCJBmdQ"",""DRP for 8 products!B:E""),4,0)"),25.0)</f>
        <v>25</v>
      </c>
      <c r="J533" s="8" t="str">
        <f t="shared" si="1"/>
        <v>Tier 3</v>
      </c>
      <c r="K533" s="9" t="str">
        <f t="shared" si="2"/>
        <v>Active</v>
      </c>
      <c r="L533" s="4" t="str">
        <f>IFERROR(__xludf.DUMMYFUNCTION("vlookup(C533,importrange(""1kw74ismGU34AsZ5x-W4x7F3Zt2xc8NSYcCVMrCJBmdQ"",""DRP for 8 products!B:H""),6,0)"),"BigQuery")</f>
        <v>BigQuery</v>
      </c>
      <c r="M533" s="10" t="str">
        <f t="shared" si="3"/>
        <v>Yes</v>
      </c>
    </row>
    <row r="534">
      <c r="A534" s="4" t="str">
        <f>IFERROR(__xludf.DUMMYFUNCTION("vlookup(C534,IMPORTRANGE(""1Kgoo8qyo6zMtf_5B03ksZz228jg0XpZ4_KXsdHQ4Vks"",""14 Sept!A:B""),2,0)"),"DME0842")</f>
        <v>DME0842</v>
      </c>
      <c r="B534" s="5" t="str">
        <f>IFERROR(__xludf.DUMMYFUNCTION("""COMPUTED_VALUE"""),"Parth Chauhan")</f>
        <v>Parth Chauhan</v>
      </c>
      <c r="C534" s="5" t="str">
        <f>IFERROR(__xludf.DUMMYFUNCTION("""COMPUTED_VALUE"""),"parth.chauhan@onixnet.com")</f>
        <v>parth.chauhan@onixnet.com</v>
      </c>
      <c r="D534" s="4" t="s">
        <v>11</v>
      </c>
      <c r="E534" s="6" t="str">
        <f>IFERROR(__xludf.DUMMYFUNCTION("vlookup($A534,importrange(""1fyGnaViAX9kns28pvsfPvI9925sAI7kxPlM7jpuHVJM"",""Validation!A:Z""),11,0)"),"Delivery Services")</f>
        <v>Delivery Services</v>
      </c>
      <c r="F534" s="6" t="str">
        <f>IFERROR(__xludf.DUMMYFUNCTION("vlookup($A534,importrange(""1fyGnaViAX9kns28pvsfPvI9925sAI7kxPlM7jpuHVJM"",""Validation!A:Z""),23,0)"),"Javed Ansari")</f>
        <v>Javed Ansari</v>
      </c>
      <c r="G534" s="6" t="str">
        <f>IFERROR(__xludf.DUMMYFUNCTION("vlookup(A534,importrange(""1fyGnaViAX9kns28pvsfPvI9925sAI7kxPlM7jpuHVJM"",""Validation!A:Z""),22,0)"),"Cluster - Gaurav")</f>
        <v>Cluster - Gaurav</v>
      </c>
      <c r="H534" s="4" t="str">
        <f>IFERROR(__xludf.DUMMYFUNCTION("vlookup(C534,importrange(""1kw74ismGU34AsZ5x-W4x7F3Zt2xc8NSYcCVMrCJBmdQ"",""DRP for 8 products!B:C""),2,0)"),"ONIPCSPV3")</f>
        <v>ONIPCSPV3</v>
      </c>
      <c r="I534" s="7">
        <f>IFERROR(__xludf.DUMMYFUNCTION("vlookup(C534,importrange(""1kw74ismGU34AsZ5x-W4x7F3Zt2xc8NSYcCVMrCJBmdQ"",""DRP for 8 products!B:E""),4,0)"),10.0)</f>
        <v>10</v>
      </c>
      <c r="J534" s="8" t="str">
        <f t="shared" si="1"/>
        <v>Tier 4</v>
      </c>
      <c r="K534" s="9" t="str">
        <f t="shared" si="2"/>
        <v>Active</v>
      </c>
      <c r="L534" s="4" t="str">
        <f>IFERROR(__xludf.DUMMYFUNCTION("vlookup(C534,importrange(""1kw74ismGU34AsZ5x-W4x7F3Zt2xc8NSYcCVMrCJBmdQ"",""DRP for 8 products!B:H""),6,0)"),"BigQuery")</f>
        <v>BigQuery</v>
      </c>
      <c r="M534" s="10" t="str">
        <f t="shared" si="3"/>
        <v>Yes</v>
      </c>
    </row>
    <row r="535">
      <c r="A535" s="4" t="str">
        <f>IFERROR(__xludf.DUMMYFUNCTION("vlookup(C535,IMPORTRANGE(""1Kgoo8qyo6zMtf_5B03ksZz228jg0XpZ4_KXsdHQ4Vks"",""14 Sept!A:B""),2,0)"),"DME2978")</f>
        <v>DME2978</v>
      </c>
      <c r="B535" s="5" t="str">
        <f>IFERROR(__xludf.DUMMYFUNCTION("""COMPUTED_VALUE"""),"Rahul Kashyap")</f>
        <v>Rahul Kashyap</v>
      </c>
      <c r="C535" s="5" t="str">
        <f>IFERROR(__xludf.DUMMYFUNCTION("""COMPUTED_VALUE"""),"rahul.kashyap@onixnet.com")</f>
        <v>rahul.kashyap@onixnet.com</v>
      </c>
      <c r="D535" s="4" t="s">
        <v>11</v>
      </c>
      <c r="E535" s="6" t="str">
        <f>IFERROR(__xludf.DUMMYFUNCTION("vlookup($A535,importrange(""1fyGnaViAX9kns28pvsfPvI9925sAI7kxPlM7jpuHVJM"",""Validation!A:Z""),11,0)"),"Delivery Services")</f>
        <v>Delivery Services</v>
      </c>
      <c r="F535" s="6" t="str">
        <f>IFERROR(__xludf.DUMMYFUNCTION("vlookup($A535,importrange(""1fyGnaViAX9kns28pvsfPvI9925sAI7kxPlM7jpuHVJM"",""Validation!A:Z""),23,0)"),"Vishal Khare")</f>
        <v>Vishal Khare</v>
      </c>
      <c r="G535" s="6" t="str">
        <f>IFERROR(__xludf.DUMMYFUNCTION("vlookup(A535,importrange(""1fyGnaViAX9kns28pvsfPvI9925sAI7kxPlM7jpuHVJM"",""Validation!A:Z""),22,0)"),"Cluster - Sagar")</f>
        <v>Cluster - Sagar</v>
      </c>
      <c r="H535" s="4" t="str">
        <f>IFERROR(__xludf.DUMMYFUNCTION("vlookup(C535,importrange(""1kw74ismGU34AsZ5x-W4x7F3Zt2xc8NSYcCVMrCJBmdQ"",""DRP for 8 products!B:C""),2,0)"),"ONIRKPDB5")</f>
        <v>ONIRKPDB5</v>
      </c>
      <c r="I535" s="7">
        <f>IFERROR(__xludf.DUMMYFUNCTION("vlookup(C535,importrange(""1kw74ismGU34AsZ5x-W4x7F3Zt2xc8NSYcCVMrCJBmdQ"",""DRP for 8 products!B:E""),4,0)"),15.0)</f>
        <v>15</v>
      </c>
      <c r="J535" s="8" t="str">
        <f t="shared" si="1"/>
        <v>Tier 4</v>
      </c>
      <c r="K535" s="9" t="str">
        <f t="shared" si="2"/>
        <v>Active</v>
      </c>
      <c r="L535" s="4" t="str">
        <f>IFERROR(__xludf.DUMMYFUNCTION("vlookup(C535,importrange(""1kw74ismGU34AsZ5x-W4x7F3Zt2xc8NSYcCVMrCJBmdQ"",""DRP for 8 products!B:H""),6,0)"),"AlloyDB for PostgreSQL")</f>
        <v>AlloyDB for PostgreSQL</v>
      </c>
      <c r="M535" s="10" t="str">
        <f t="shared" si="3"/>
        <v>Yes</v>
      </c>
    </row>
    <row r="536">
      <c r="A536" s="4" t="str">
        <f>IFERROR(__xludf.DUMMYFUNCTION("vlookup(C536,IMPORTRANGE(""1Kgoo8qyo6zMtf_5B03ksZz228jg0XpZ4_KXsdHQ4Vks"",""14 Sept!A:B""),2,0)"),"DME3236")</f>
        <v>DME3236</v>
      </c>
      <c r="B536" s="5" t="str">
        <f>IFERROR(__xludf.DUMMYFUNCTION("""COMPUTED_VALUE"""),"Vaibhav Shukla")</f>
        <v>Vaibhav Shukla</v>
      </c>
      <c r="C536" s="5" t="str">
        <f>IFERROR(__xludf.DUMMYFUNCTION("""COMPUTED_VALUE"""),"vaibhav.shukla@onixnet.com")</f>
        <v>vaibhav.shukla@onixnet.com</v>
      </c>
      <c r="D536" s="4" t="s">
        <v>11</v>
      </c>
      <c r="E536" s="6" t="str">
        <f>IFERROR(__xludf.DUMMYFUNCTION("vlookup($A536,importrange(""1fyGnaViAX9kns28pvsfPvI9925sAI7kxPlM7jpuHVJM"",""Validation!A:Z""),11,0)"),"Delivery Services")</f>
        <v>Delivery Services</v>
      </c>
      <c r="F536" s="6" t="str">
        <f>IFERROR(__xludf.DUMMYFUNCTION("vlookup($A536,importrange(""1fyGnaViAX9kns28pvsfPvI9925sAI7kxPlM7jpuHVJM"",""Validation!A:Z""),23,0)"),"Indrajit Omprakash Bhagat")</f>
        <v>Indrajit Omprakash Bhagat</v>
      </c>
      <c r="G536" s="6" t="str">
        <f>IFERROR(__xludf.DUMMYFUNCTION("vlookup(A536,importrange(""1fyGnaViAX9kns28pvsfPvI9925sAI7kxPlM7jpuHVJM"",""Validation!A:Z""),22,0)"),"Cluster - Varun")</f>
        <v>Cluster - Varun</v>
      </c>
      <c r="H536" s="4" t="str">
        <f>IFERROR(__xludf.DUMMYFUNCTION("vlookup(C536,importrange(""1kw74ismGU34AsZ5x-W4x7F3Zt2xc8NSYcCVMrCJBmdQ"",""DRP for 8 products!B:C""),2,0)"),"ONIVSVBV6")</f>
        <v>ONIVSVBV6</v>
      </c>
      <c r="I536" s="7">
        <f>IFERROR(__xludf.DUMMYFUNCTION("vlookup(C536,importrange(""1kw74ismGU34AsZ5x-W4x7F3Zt2xc8NSYcCVMrCJBmdQ"",""DRP for 8 products!B:E""),4,0)"),38.0)</f>
        <v>38</v>
      </c>
      <c r="J536" s="8" t="str">
        <f t="shared" si="1"/>
        <v>Tier 2</v>
      </c>
      <c r="K536" s="9" t="str">
        <f t="shared" si="2"/>
        <v>Active</v>
      </c>
      <c r="L536" s="4" t="str">
        <f>IFERROR(__xludf.DUMMYFUNCTION("vlookup(C536,importrange(""1kw74ismGU34AsZ5x-W4x7F3Zt2xc8NSYcCVMrCJBmdQ"",""DRP for 8 products!B:H""),6,0)"),"BigQuery")</f>
        <v>BigQuery</v>
      </c>
      <c r="M536" s="10" t="str">
        <f t="shared" si="3"/>
        <v>Yes</v>
      </c>
    </row>
    <row r="537">
      <c r="A537" s="4" t="str">
        <f>IFERROR(__xludf.DUMMYFUNCTION("vlookup(C537,IMPORTRANGE(""1Kgoo8qyo6zMtf_5B03ksZz228jg0XpZ4_KXsdHQ4Vks"",""14 Sept!A:B""),2,0)"),"DME2244")</f>
        <v>DME2244</v>
      </c>
      <c r="B537" s="5" t="str">
        <f>IFERROR(__xludf.DUMMYFUNCTION("""COMPUTED_VALUE"""),"Shreya Choudhary")</f>
        <v>Shreya Choudhary</v>
      </c>
      <c r="C537" s="5" t="str">
        <f>IFERROR(__xludf.DUMMYFUNCTION("""COMPUTED_VALUE"""),"shreya.choudhary@onixnet.com")</f>
        <v>shreya.choudhary@onixnet.com</v>
      </c>
      <c r="D537" s="4" t="s">
        <v>11</v>
      </c>
      <c r="E537" s="6" t="str">
        <f>IFERROR(__xludf.DUMMYFUNCTION("vlookup($A537,importrange(""1fyGnaViAX9kns28pvsfPvI9925sAI7kxPlM7jpuHVJM"",""Validation!A:Z""),11,0)"),"Delivery Services")</f>
        <v>Delivery Services</v>
      </c>
      <c r="F537" s="6" t="str">
        <f>IFERROR(__xludf.DUMMYFUNCTION("vlookup($A537,importrange(""1fyGnaViAX9kns28pvsfPvI9925sAI7kxPlM7jpuHVJM"",""Validation!A:Z""),23,0)"),"Sneha Bhatambrekar")</f>
        <v>Sneha Bhatambrekar</v>
      </c>
      <c r="G537" s="6" t="str">
        <f>IFERROR(__xludf.DUMMYFUNCTION("vlookup(A537,importrange(""1fyGnaViAX9kns28pvsfPvI9925sAI7kxPlM7jpuHVJM"",""Validation!A:Z""),22,0)"),"Cluster - Sandeep")</f>
        <v>Cluster - Sandeep</v>
      </c>
      <c r="H537" s="4" t="str">
        <f>IFERROR(__xludf.DUMMYFUNCTION("vlookup(C537,importrange(""1kw74ismGU34AsZ5x-W4x7F3Zt2xc8NSYcCVMrCJBmdQ"",""DRP for 8 products!B:C""),2,0)"),"ONISCHCT3")</f>
        <v>ONISCHCT3</v>
      </c>
      <c r="I537" s="7">
        <f>IFERROR(__xludf.DUMMYFUNCTION("vlookup(C537,importrange(""1kw74ismGU34AsZ5x-W4x7F3Zt2xc8NSYcCVMrCJBmdQ"",""DRP for 8 products!B:E""),4,0)"),10.0)</f>
        <v>10</v>
      </c>
      <c r="J537" s="8" t="str">
        <f t="shared" si="1"/>
        <v>Tier 4</v>
      </c>
      <c r="K537" s="9" t="str">
        <f t="shared" si="2"/>
        <v>Active</v>
      </c>
      <c r="L537" s="4" t="str">
        <f>IFERROR(__xludf.DUMMYFUNCTION("vlookup(C537,importrange(""1kw74ismGU34AsZ5x-W4x7F3Zt2xc8NSYcCVMrCJBmdQ"",""DRP for 8 products!B:H""),6,0)"),"AlloyDB for PostgreSQL")</f>
        <v>AlloyDB for PostgreSQL</v>
      </c>
      <c r="M537" s="10" t="str">
        <f t="shared" si="3"/>
        <v>Yes</v>
      </c>
    </row>
    <row r="538">
      <c r="A538" s="4" t="str">
        <f>IFERROR(__xludf.DUMMYFUNCTION("vlookup(C538,IMPORTRANGE(""1Kgoo8qyo6zMtf_5B03ksZz228jg0XpZ4_KXsdHQ4Vks"",""14 Sept!A:B""),2,0)"),"DME3197")</f>
        <v>DME3197</v>
      </c>
      <c r="B538" s="5" t="str">
        <f>IFERROR(__xludf.DUMMYFUNCTION("""COMPUTED_VALUE"""),"Vishesh Shetty")</f>
        <v>Vishesh Shetty</v>
      </c>
      <c r="C538" s="5" t="str">
        <f>IFERROR(__xludf.DUMMYFUNCTION("""COMPUTED_VALUE"""),"vishesh.shetty@onixnet.com")</f>
        <v>vishesh.shetty@onixnet.com</v>
      </c>
      <c r="D538" s="4" t="s">
        <v>11</v>
      </c>
      <c r="E538" s="6" t="str">
        <f>IFERROR(__xludf.DUMMYFUNCTION("vlookup($A538,importrange(""1fyGnaViAX9kns28pvsfPvI9925sAI7kxPlM7jpuHVJM"",""Validation!A:Z""),11,0)"),"Delivery Services")</f>
        <v>Delivery Services</v>
      </c>
      <c r="F538" s="6" t="str">
        <f>IFERROR(__xludf.DUMMYFUNCTION("vlookup($A538,importrange(""1fyGnaViAX9kns28pvsfPvI9925sAI7kxPlM7jpuHVJM"",""Validation!A:Z""),23,0)"),"Sneha Bhatambrekar")</f>
        <v>Sneha Bhatambrekar</v>
      </c>
      <c r="G538" s="6" t="str">
        <f>IFERROR(__xludf.DUMMYFUNCTION("vlookup(A538,importrange(""1fyGnaViAX9kns28pvsfPvI9925sAI7kxPlM7jpuHVJM"",""Validation!A:Z""),22,0)"),"Cluster - Sandeep")</f>
        <v>Cluster - Sandeep</v>
      </c>
      <c r="H538" s="4" t="str">
        <f>IFERROR(__xludf.DUMMYFUNCTION("vlookup(C538,importrange(""1kw74ismGU34AsZ5x-W4x7F3Zt2xc8NSYcCVMrCJBmdQ"",""DRP for 8 products!B:C""),2,0)"),"ONIVSWVO0")</f>
        <v>ONIVSWVO0</v>
      </c>
      <c r="I538" s="7">
        <f>IFERROR(__xludf.DUMMYFUNCTION("vlookup(C538,importrange(""1kw74ismGU34AsZ5x-W4x7F3Zt2xc8NSYcCVMrCJBmdQ"",""DRP for 8 products!B:E""),4,0)"),5.0)</f>
        <v>5</v>
      </c>
      <c r="J538" s="8" t="str">
        <f t="shared" si="1"/>
        <v>Tier 4</v>
      </c>
      <c r="K538" s="9" t="str">
        <f t="shared" si="2"/>
        <v>Active</v>
      </c>
      <c r="L538" s="4" t="str">
        <f>IFERROR(__xludf.DUMMYFUNCTION("vlookup(C538,importrange(""1kw74ismGU34AsZ5x-W4x7F3Zt2xc8NSYcCVMrCJBmdQ"",""DRP for 8 products!B:H""),6,0)"),"BigQuery")</f>
        <v>BigQuery</v>
      </c>
      <c r="M538" s="10" t="str">
        <f t="shared" si="3"/>
        <v>Yes</v>
      </c>
    </row>
    <row r="539">
      <c r="A539" s="4" t="str">
        <f>IFERROR(__xludf.DUMMYFUNCTION("vlookup(C539,IMPORTRANGE(""1Kgoo8qyo6zMtf_5B03ksZz228jg0XpZ4_KXsdHQ4Vks"",""14 Sept!A:B""),2,0)"),"DME1966")</f>
        <v>DME1966</v>
      </c>
      <c r="B539" s="5" t="str">
        <f>IFERROR(__xludf.DUMMYFUNCTION("""COMPUTED_VALUE"""),"Tanuja Bhusal")</f>
        <v>Tanuja Bhusal</v>
      </c>
      <c r="C539" s="5" t="str">
        <f>IFERROR(__xludf.DUMMYFUNCTION("""COMPUTED_VALUE"""),"tanuja.bhusal@onixnet.com")</f>
        <v>tanuja.bhusal@onixnet.com</v>
      </c>
      <c r="D539" s="4" t="s">
        <v>11</v>
      </c>
      <c r="E539" s="6" t="str">
        <f>IFERROR(__xludf.DUMMYFUNCTION("vlookup($A539,importrange(""1fyGnaViAX9kns28pvsfPvI9925sAI7kxPlM7jpuHVJM"",""Validation!A:Z""),11,0)"),"Product Engineering")</f>
        <v>Product Engineering</v>
      </c>
      <c r="F539" s="6" t="str">
        <f>IFERROR(__xludf.DUMMYFUNCTION("vlookup($A539,importrange(""1fyGnaViAX9kns28pvsfPvI9925sAI7kxPlM7jpuHVJM"",""Validation!A:Z""),23,0)"),"Harshit Soni")</f>
        <v>Harshit Soni</v>
      </c>
      <c r="G539" s="6" t="str">
        <f>IFERROR(__xludf.DUMMYFUNCTION("vlookup(A539,importrange(""1fyGnaViAX9kns28pvsfPvI9925sAI7kxPlM7jpuHVJM"",""Validation!A:Z""),22,0)"),"Cluster - Mayur")</f>
        <v>Cluster - Mayur</v>
      </c>
      <c r="H539" s="4" t="str">
        <f>IFERROR(__xludf.DUMMYFUNCTION("vlookup(C539,importrange(""1kw74ismGU34AsZ5x-W4x7F3Zt2xc8NSYcCVMrCJBmdQ"",""DRP for 8 products!B:C""),2,0)"),"ONITBRFC4")</f>
        <v>ONITBRFC4</v>
      </c>
      <c r="I539" s="7">
        <f>IFERROR(__xludf.DUMMYFUNCTION("vlookup(C539,importrange(""1kw74ismGU34AsZ5x-W4x7F3Zt2xc8NSYcCVMrCJBmdQ"",""DRP for 8 products!B:E""),4,0)"),10.0)</f>
        <v>10</v>
      </c>
      <c r="J539" s="8" t="str">
        <f t="shared" si="1"/>
        <v>Tier 4</v>
      </c>
      <c r="K539" s="9" t="str">
        <f t="shared" si="2"/>
        <v>Active</v>
      </c>
      <c r="L539" s="4" t="str">
        <f>IFERROR(__xludf.DUMMYFUNCTION("vlookup(C539,importrange(""1kw74ismGU34AsZ5x-W4x7F3Zt2xc8NSYcCVMrCJBmdQ"",""DRP for 8 products!B:H""),6,0)"),"AlloyDB for PostgreSQL")</f>
        <v>AlloyDB for PostgreSQL</v>
      </c>
      <c r="M539" s="10" t="str">
        <f t="shared" si="3"/>
        <v>Yes</v>
      </c>
    </row>
    <row r="540">
      <c r="A540" s="4" t="str">
        <f>IFERROR(__xludf.DUMMYFUNCTION("vlookup(C540,IMPORTRANGE(""1Kgoo8qyo6zMtf_5B03ksZz228jg0XpZ4_KXsdHQ4Vks"",""14 Sept!A:B""),2,0)"),"DME3062")</f>
        <v>DME3062</v>
      </c>
      <c r="B540" s="5" t="str">
        <f>IFERROR(__xludf.DUMMYFUNCTION("""COMPUTED_VALUE"""),"Vineet Verma")</f>
        <v>Vineet Verma</v>
      </c>
      <c r="C540" s="5" t="str">
        <f>IFERROR(__xludf.DUMMYFUNCTION("""COMPUTED_VALUE"""),"vineet.verma@onixnet.com")</f>
        <v>vineet.verma@onixnet.com</v>
      </c>
      <c r="D540" s="4" t="s">
        <v>11</v>
      </c>
      <c r="E540" s="6" t="str">
        <f>IFERROR(__xludf.DUMMYFUNCTION("vlookup($A540,importrange(""1fyGnaViAX9kns28pvsfPvI9925sAI7kxPlM7jpuHVJM"",""Validation!A:Z""),11,0)"),"Delivery Services")</f>
        <v>Delivery Services</v>
      </c>
      <c r="F540" s="6" t="str">
        <f>IFERROR(__xludf.DUMMYFUNCTION("vlookup($A540,importrange(""1fyGnaViAX9kns28pvsfPvI9925sAI7kxPlM7jpuHVJM"",""Validation!A:Z""),23,0)"),"Manoj Patil")</f>
        <v>Manoj Patil</v>
      </c>
      <c r="G540" s="6" t="str">
        <f>IFERROR(__xludf.DUMMYFUNCTION("vlookup(A540,importrange(""1fyGnaViAX9kns28pvsfPvI9925sAI7kxPlM7jpuHVJM"",""Validation!A:Z""),22,0)"),"Cluster - Shreepad")</f>
        <v>Cluster - Shreepad</v>
      </c>
      <c r="H540" s="4" t="str">
        <f>IFERROR(__xludf.DUMMYFUNCTION("vlookup(C540,importrange(""1kw74ismGU34AsZ5x-W4x7F3Zt2xc8NSYcCVMrCJBmdQ"",""DRP for 8 products!B:C""),2,0)"),"ONIVVZJA5")</f>
        <v>ONIVVZJA5</v>
      </c>
      <c r="I540" s="7">
        <f>IFERROR(__xludf.DUMMYFUNCTION("vlookup(C540,importrange(""1kw74ismGU34AsZ5x-W4x7F3Zt2xc8NSYcCVMrCJBmdQ"",""DRP for 8 products!B:E""),4,0)"),56.0)</f>
        <v>56</v>
      </c>
      <c r="J540" s="8" t="str">
        <f t="shared" si="1"/>
        <v>Tier 1</v>
      </c>
      <c r="K540" s="9" t="str">
        <f t="shared" si="2"/>
        <v>Active</v>
      </c>
      <c r="L540" s="4" t="str">
        <f>IFERROR(__xludf.DUMMYFUNCTION("vlookup(C540,importrange(""1kw74ismGU34AsZ5x-W4x7F3Zt2xc8NSYcCVMrCJBmdQ"",""DRP for 8 products!B:H""),6,0)"),"BigQuery")</f>
        <v>BigQuery</v>
      </c>
      <c r="M540" s="10" t="str">
        <f t="shared" si="3"/>
        <v>Yes</v>
      </c>
    </row>
    <row r="541">
      <c r="A541" s="4" t="str">
        <f>IFERROR(__xludf.DUMMYFUNCTION("vlookup(C541,IMPORTRANGE(""1Kgoo8qyo6zMtf_5B03ksZz228jg0XpZ4_KXsdHQ4Vks"",""14 Sept!A:B""),2,0)"),"DME2939")</f>
        <v>DME2939</v>
      </c>
      <c r="B541" s="5" t="str">
        <f>IFERROR(__xludf.DUMMYFUNCTION("""COMPUTED_VALUE"""),"Punitkumar More")</f>
        <v>Punitkumar More</v>
      </c>
      <c r="C541" s="5" t="str">
        <f>IFERROR(__xludf.DUMMYFUNCTION("""COMPUTED_VALUE"""),"punitkumar.more@onixnet.com")</f>
        <v>punitkumar.more@onixnet.com</v>
      </c>
      <c r="D541" s="4" t="s">
        <v>11</v>
      </c>
      <c r="E541" s="6" t="str">
        <f>IFERROR(__xludf.DUMMYFUNCTION("vlookup($A541,importrange(""1fyGnaViAX9kns28pvsfPvI9925sAI7kxPlM7jpuHVJM"",""Validation!A:Z""),11,0)"),"Delivery Services")</f>
        <v>Delivery Services</v>
      </c>
      <c r="F541" s="6" t="str">
        <f>IFERROR(__xludf.DUMMYFUNCTION("vlookup($A541,importrange(""1fyGnaViAX9kns28pvsfPvI9925sAI7kxPlM7jpuHVJM"",""Validation!A:Z""),23,0)"),"Laxmi Ambadas Gaddam")</f>
        <v>Laxmi Ambadas Gaddam</v>
      </c>
      <c r="G541" s="6" t="str">
        <f>IFERROR(__xludf.DUMMYFUNCTION("vlookup(A541,importrange(""1fyGnaViAX9kns28pvsfPvI9925sAI7kxPlM7jpuHVJM"",""Validation!A:Z""),22,0)"),"Cluster - Sagar")</f>
        <v>Cluster - Sagar</v>
      </c>
      <c r="H541" s="4" t="str">
        <f>IFERROR(__xludf.DUMMYFUNCTION("vlookup(C541,importrange(""1kw74ismGU34AsZ5x-W4x7F3Zt2xc8NSYcCVMrCJBmdQ"",""DRP for 8 products!B:C""),2,0)"),"ONIPMBOA5")</f>
        <v>ONIPMBOA5</v>
      </c>
      <c r="I541" s="7">
        <f>IFERROR(__xludf.DUMMYFUNCTION("vlookup(C541,importrange(""1kw74ismGU34AsZ5x-W4x7F3Zt2xc8NSYcCVMrCJBmdQ"",""DRP for 8 products!B:E""),4,0)"),29.0)</f>
        <v>29</v>
      </c>
      <c r="J541" s="8" t="str">
        <f t="shared" si="1"/>
        <v>Tier 3</v>
      </c>
      <c r="K541" s="9" t="str">
        <f t="shared" si="2"/>
        <v>Active</v>
      </c>
      <c r="L541" s="4" t="str">
        <f>IFERROR(__xludf.DUMMYFUNCTION("vlookup(C541,importrange(""1kw74ismGU34AsZ5x-W4x7F3Zt2xc8NSYcCVMrCJBmdQ"",""DRP for 8 products!B:H""),6,0)"),"BigQuery")</f>
        <v>BigQuery</v>
      </c>
      <c r="M541" s="10" t="str">
        <f t="shared" si="3"/>
        <v>Yes</v>
      </c>
    </row>
    <row r="542">
      <c r="A542" s="4" t="str">
        <f>IFERROR(__xludf.DUMMYFUNCTION("vlookup(C542,IMPORTRANGE(""1Kgoo8qyo6zMtf_5B03ksZz228jg0XpZ4_KXsdHQ4Vks"",""14 Sept!A:B""),2,0)"),"DME2845")</f>
        <v>DME2845</v>
      </c>
      <c r="B542" s="5" t="str">
        <f>IFERROR(__xludf.DUMMYFUNCTION("""COMPUTED_VALUE"""),"Kartik Sharma")</f>
        <v>Kartik Sharma</v>
      </c>
      <c r="C542" s="5" t="str">
        <f>IFERROR(__xludf.DUMMYFUNCTION("""COMPUTED_VALUE"""),"kartik.sharma@onixnet.com")</f>
        <v>kartik.sharma@onixnet.com</v>
      </c>
      <c r="D542" s="4" t="s">
        <v>11</v>
      </c>
      <c r="E542" s="6" t="str">
        <f>IFERROR(__xludf.DUMMYFUNCTION("vlookup($A542,importrange(""1fyGnaViAX9kns28pvsfPvI9925sAI7kxPlM7jpuHVJM"",""Validation!A:Z""),11,0)"),"Delivery Services")</f>
        <v>Delivery Services</v>
      </c>
      <c r="F542" s="6" t="str">
        <f>IFERROR(__xludf.DUMMYFUNCTION("vlookup($A542,importrange(""1fyGnaViAX9kns28pvsfPvI9925sAI7kxPlM7jpuHVJM"",""Validation!A:Z""),23,0)"),"Devayani Girish Pillai")</f>
        <v>Devayani Girish Pillai</v>
      </c>
      <c r="G542" s="6" t="str">
        <f>IFERROR(__xludf.DUMMYFUNCTION("vlookup(A542,importrange(""1fyGnaViAX9kns28pvsfPvI9925sAI7kxPlM7jpuHVJM"",""Validation!A:Z""),22,0)"),"Cluster - Devayani")</f>
        <v>Cluster - Devayani</v>
      </c>
      <c r="H542" s="4" t="str">
        <f>IFERROR(__xludf.DUMMYFUNCTION("vlookup(C542,importrange(""1kw74ismGU34AsZ5x-W4x7F3Zt2xc8NSYcCVMrCJBmdQ"",""DRP for 8 products!B:C""),2,0)"),"ONIKSAIV2")</f>
        <v>ONIKSAIV2</v>
      </c>
      <c r="I542" s="7">
        <f>IFERROR(__xludf.DUMMYFUNCTION("vlookup(C542,importrange(""1kw74ismGU34AsZ5x-W4x7F3Zt2xc8NSYcCVMrCJBmdQ"",""DRP for 8 products!B:E""),4,0)"),19.0)</f>
        <v>19</v>
      </c>
      <c r="J542" s="8" t="str">
        <f t="shared" si="1"/>
        <v>Tier 4</v>
      </c>
      <c r="K542" s="9" t="str">
        <f t="shared" si="2"/>
        <v>Active</v>
      </c>
      <c r="L542" s="4" t="str">
        <f>IFERROR(__xludf.DUMMYFUNCTION("vlookup(C542,importrange(""1kw74ismGU34AsZ5x-W4x7F3Zt2xc8NSYcCVMrCJBmdQ"",""DRP for 8 products!B:H""),6,0)"),"BigQuery")</f>
        <v>BigQuery</v>
      </c>
      <c r="M542" s="10" t="str">
        <f t="shared" si="3"/>
        <v>Yes</v>
      </c>
    </row>
    <row r="543">
      <c r="A543" s="4" t="str">
        <f>IFERROR(__xludf.DUMMYFUNCTION("vlookup(C543,IMPORTRANGE(""1Kgoo8qyo6zMtf_5B03ksZz228jg0XpZ4_KXsdHQ4Vks"",""14 Sept!A:B""),2,0)"),"DME3382")</f>
        <v>DME3382</v>
      </c>
      <c r="B543" s="5" t="str">
        <f>IFERROR(__xludf.DUMMYFUNCTION("""COMPUTED_VALUE"""),"Rajnandini Patil")</f>
        <v>Rajnandini Patil</v>
      </c>
      <c r="C543" s="5" t="str">
        <f>IFERROR(__xludf.DUMMYFUNCTION("""COMPUTED_VALUE"""),"rajnandini.patil@onixnet.com")</f>
        <v>rajnandini.patil@onixnet.com</v>
      </c>
      <c r="D543" s="4" t="s">
        <v>11</v>
      </c>
      <c r="E543" s="6" t="str">
        <f>IFERROR(__xludf.DUMMYFUNCTION("vlookup($A543,importrange(""1fyGnaViAX9kns28pvsfPvI9925sAI7kxPlM7jpuHVJM"",""Validation!A:Z""),11,0)"),"Delivery Services")</f>
        <v>Delivery Services</v>
      </c>
      <c r="F543" s="6" t="str">
        <f>IFERROR(__xludf.DUMMYFUNCTION("vlookup($A543,importrange(""1fyGnaViAX9kns28pvsfPvI9925sAI7kxPlM7jpuHVJM"",""Validation!A:Z""),23,0)"),"Rashid Anwar")</f>
        <v>Rashid Anwar</v>
      </c>
      <c r="G543" s="6" t="str">
        <f>IFERROR(__xludf.DUMMYFUNCTION("vlookup(A543,importrange(""1fyGnaViAX9kns28pvsfPvI9925sAI7kxPlM7jpuHVJM"",""Validation!A:Z""),22,0)"),"Cluster - Sagar")</f>
        <v>Cluster - Sagar</v>
      </c>
      <c r="H543" s="4" t="str">
        <f>IFERROR(__xludf.DUMMYFUNCTION("vlookup(C543,importrange(""1kw74ismGU34AsZ5x-W4x7F3Zt2xc8NSYcCVMrCJBmdQ"",""DRP for 8 products!B:C""),2,0)"),"ONIRPGIK0")</f>
        <v>ONIRPGIK0</v>
      </c>
      <c r="I543" s="7">
        <f>IFERROR(__xludf.DUMMYFUNCTION("vlookup(C543,importrange(""1kw74ismGU34AsZ5x-W4x7F3Zt2xc8NSYcCVMrCJBmdQ"",""DRP for 8 products!B:E""),4,0)"),16.0)</f>
        <v>16</v>
      </c>
      <c r="J543" s="8" t="str">
        <f t="shared" si="1"/>
        <v>Tier 4</v>
      </c>
      <c r="K543" s="9" t="str">
        <f t="shared" si="2"/>
        <v>Active</v>
      </c>
      <c r="L543" s="4" t="str">
        <f>IFERROR(__xludf.DUMMYFUNCTION("vlookup(C543,importrange(""1kw74ismGU34AsZ5x-W4x7F3Zt2xc8NSYcCVMrCJBmdQ"",""DRP for 8 products!B:H""),6,0)"),"BigQuery")</f>
        <v>BigQuery</v>
      </c>
      <c r="M543" s="10" t="str">
        <f t="shared" si="3"/>
        <v>Yes</v>
      </c>
    </row>
    <row r="544">
      <c r="A544" s="4" t="str">
        <f>IFERROR(__xludf.DUMMYFUNCTION("vlookup(C544,IMPORTRANGE(""1Kgoo8qyo6zMtf_5B03ksZz228jg0XpZ4_KXsdHQ4Vks"",""14 Sept!A:B""),2,0)"),"DME3134")</f>
        <v>DME3134</v>
      </c>
      <c r="B544" s="5" t="str">
        <f>IFERROR(__xludf.DUMMYFUNCTION("""COMPUTED_VALUE"""),"Santu Kumar")</f>
        <v>Santu Kumar</v>
      </c>
      <c r="C544" s="5" t="str">
        <f>IFERROR(__xludf.DUMMYFUNCTION("""COMPUTED_VALUE"""),"santu.kumar@onixnet.com")</f>
        <v>santu.kumar@onixnet.com</v>
      </c>
      <c r="D544" s="4" t="s">
        <v>11</v>
      </c>
      <c r="E544" s="6" t="str">
        <f>IFERROR(__xludf.DUMMYFUNCTION("vlookup($A544,importrange(""1fyGnaViAX9kns28pvsfPvI9925sAI7kxPlM7jpuHVJM"",""Validation!A:Z""),11,0)"),"Delivery Services")</f>
        <v>Delivery Services</v>
      </c>
      <c r="F544" s="6" t="str">
        <f>IFERROR(__xludf.DUMMYFUNCTION("vlookup($A544,importrange(""1fyGnaViAX9kns28pvsfPvI9925sAI7kxPlM7jpuHVJM"",""Validation!A:Z""),23,0)"),"Sneha Bhatambrekar")</f>
        <v>Sneha Bhatambrekar</v>
      </c>
      <c r="G544" s="6" t="str">
        <f>IFERROR(__xludf.DUMMYFUNCTION("vlookup(A544,importrange(""1fyGnaViAX9kns28pvsfPvI9925sAI7kxPlM7jpuHVJM"",""Validation!A:Z""),22,0)"),"Cluster - Sandeep")</f>
        <v>Cluster - Sandeep</v>
      </c>
      <c r="H544" s="4" t="str">
        <f>IFERROR(__xludf.DUMMYFUNCTION("vlookup(C544,importrange(""1kw74ismGU34AsZ5x-W4x7F3Zt2xc8NSYcCVMrCJBmdQ"",""DRP for 8 products!B:C""),2,0)"),"ONISKNYN8")</f>
        <v>ONISKNYN8</v>
      </c>
      <c r="I544" s="7">
        <f>IFERROR(__xludf.DUMMYFUNCTION("vlookup(C544,importrange(""1kw74ismGU34AsZ5x-W4x7F3Zt2xc8NSYcCVMrCJBmdQ"",""DRP for 8 products!B:E""),4,0)"),7.0)</f>
        <v>7</v>
      </c>
      <c r="J544" s="8" t="str">
        <f t="shared" si="1"/>
        <v>Tier 4</v>
      </c>
      <c r="K544" s="9" t="str">
        <f t="shared" si="2"/>
        <v>Active</v>
      </c>
      <c r="L544" s="4" t="str">
        <f>IFERROR(__xludf.DUMMYFUNCTION("vlookup(C544,importrange(""1kw74ismGU34AsZ5x-W4x7F3Zt2xc8NSYcCVMrCJBmdQ"",""DRP for 8 products!B:H""),6,0)"),"BigQuery")</f>
        <v>BigQuery</v>
      </c>
      <c r="M544" s="10" t="str">
        <f t="shared" si="3"/>
        <v>Yes</v>
      </c>
    </row>
    <row r="545">
      <c r="A545" s="4" t="str">
        <f>IFERROR(__xludf.DUMMYFUNCTION("vlookup(C545,IMPORTRANGE(""1Kgoo8qyo6zMtf_5B03ksZz228jg0XpZ4_KXsdHQ4Vks"",""14 Sept!A:B""),2,0)"),"DME1646")</f>
        <v>DME1646</v>
      </c>
      <c r="B545" s="5" t="str">
        <f>IFERROR(__xludf.DUMMYFUNCTION("""COMPUTED_VALUE"""),"snehal Deokar")</f>
        <v>snehal Deokar</v>
      </c>
      <c r="C545" s="5" t="str">
        <f>IFERROR(__xludf.DUMMYFUNCTION("""COMPUTED_VALUE"""),"snehal.deokar@onixnet.com")</f>
        <v>snehal.deokar@onixnet.com</v>
      </c>
      <c r="D545" s="4" t="s">
        <v>11</v>
      </c>
      <c r="E545" s="6" t="str">
        <f>IFERROR(__xludf.DUMMYFUNCTION("vlookup($A545,importrange(""1fyGnaViAX9kns28pvsfPvI9925sAI7kxPlM7jpuHVJM"",""Validation!A:Z""),11,0)"),"Delivery Services")</f>
        <v>Delivery Services</v>
      </c>
      <c r="F545" s="6" t="str">
        <f>IFERROR(__xludf.DUMMYFUNCTION("vlookup($A545,importrange(""1fyGnaViAX9kns28pvsfPvI9925sAI7kxPlM7jpuHVJM"",""Validation!A:Z""),23,0)"),"Vipul Nilapwar")</f>
        <v>Vipul Nilapwar</v>
      </c>
      <c r="G545" s="6" t="str">
        <f>IFERROR(__xludf.DUMMYFUNCTION("vlookup(A545,importrange(""1fyGnaViAX9kns28pvsfPvI9925sAI7kxPlM7jpuHVJM"",""Validation!A:Z""),22,0)"),"Cluster - Sachin")</f>
        <v>Cluster - Sachin</v>
      </c>
      <c r="H545" s="4" t="str">
        <f>IFERROR(__xludf.DUMMYFUNCTION("vlookup(C545,importrange(""1kw74ismGU34AsZ5x-W4x7F3Zt2xc8NSYcCVMrCJBmdQ"",""DRP for 8 products!B:C""),2,0)"),"ONISDCPG3")</f>
        <v>ONISDCPG3</v>
      </c>
      <c r="I545" s="7">
        <f>IFERROR(__xludf.DUMMYFUNCTION("vlookup(C545,importrange(""1kw74ismGU34AsZ5x-W4x7F3Zt2xc8NSYcCVMrCJBmdQ"",""DRP for 8 products!B:E""),4,0)"),29.0)</f>
        <v>29</v>
      </c>
      <c r="J545" s="8" t="str">
        <f t="shared" si="1"/>
        <v>Tier 3</v>
      </c>
      <c r="K545" s="9" t="str">
        <f t="shared" si="2"/>
        <v>Active</v>
      </c>
      <c r="L545" s="4" t="str">
        <f>IFERROR(__xludf.DUMMYFUNCTION("vlookup(C545,importrange(""1kw74ismGU34AsZ5x-W4x7F3Zt2xc8NSYcCVMrCJBmdQ"",""DRP for 8 products!B:H""),6,0)"),"BigQuery")</f>
        <v>BigQuery</v>
      </c>
      <c r="M545" s="10" t="str">
        <f t="shared" si="3"/>
        <v>Yes</v>
      </c>
    </row>
    <row r="546">
      <c r="A546" s="4" t="str">
        <f>IFERROR(__xludf.DUMMYFUNCTION("vlookup(C546,IMPORTRANGE(""1Kgoo8qyo6zMtf_5B03ksZz228jg0XpZ4_KXsdHQ4Vks"",""14 Sept!A:B""),2,0)"),"DME3229")</f>
        <v>DME3229</v>
      </c>
      <c r="B546" s="5" t="str">
        <f>IFERROR(__xludf.DUMMYFUNCTION("""COMPUTED_VALUE"""),"Pulkit Prakash")</f>
        <v>Pulkit Prakash</v>
      </c>
      <c r="C546" s="5" t="str">
        <f>IFERROR(__xludf.DUMMYFUNCTION("""COMPUTED_VALUE"""),"pulkit.prakash@onixnet.com")</f>
        <v>pulkit.prakash@onixnet.com</v>
      </c>
      <c r="D546" s="4" t="s">
        <v>11</v>
      </c>
      <c r="E546" s="6" t="str">
        <f>IFERROR(__xludf.DUMMYFUNCTION("vlookup($A546,importrange(""1fyGnaViAX9kns28pvsfPvI9925sAI7kxPlM7jpuHVJM"",""Validation!A:Z""),11,0)"),"Delivery Services")</f>
        <v>Delivery Services</v>
      </c>
      <c r="F546" s="6" t="str">
        <f>IFERROR(__xludf.DUMMYFUNCTION("vlookup($A546,importrange(""1fyGnaViAX9kns28pvsfPvI9925sAI7kxPlM7jpuHVJM"",""Validation!A:Z""),23,0)"),"Vishal Khare")</f>
        <v>Vishal Khare</v>
      </c>
      <c r="G546" s="6" t="str">
        <f>IFERROR(__xludf.DUMMYFUNCTION("vlookup(A546,importrange(""1fyGnaViAX9kns28pvsfPvI9925sAI7kxPlM7jpuHVJM"",""Validation!A:Z""),22,0)"),"Cluster - Sagar")</f>
        <v>Cluster - Sagar</v>
      </c>
      <c r="H546" s="4" t="str">
        <f>IFERROR(__xludf.DUMMYFUNCTION("vlookup(C546,importrange(""1kw74ismGU34AsZ5x-W4x7F3Zt2xc8NSYcCVMrCJBmdQ"",""DRP for 8 products!B:C""),2,0)"),"ONIPPRHR9")</f>
        <v>ONIPPRHR9</v>
      </c>
      <c r="I546" s="7">
        <f>IFERROR(__xludf.DUMMYFUNCTION("vlookup(C546,importrange(""1kw74ismGU34AsZ5x-W4x7F3Zt2xc8NSYcCVMrCJBmdQ"",""DRP for 8 products!B:E""),4,0)"),5.0)</f>
        <v>5</v>
      </c>
      <c r="J546" s="8" t="str">
        <f t="shared" si="1"/>
        <v>Tier 4</v>
      </c>
      <c r="K546" s="9" t="str">
        <f t="shared" si="2"/>
        <v>Active</v>
      </c>
      <c r="L546" s="4" t="str">
        <f>IFERROR(__xludf.DUMMYFUNCTION("vlookup(C546,importrange(""1kw74ismGU34AsZ5x-W4x7F3Zt2xc8NSYcCVMrCJBmdQ"",""DRP for 8 products!B:H""),6,0)"),"BigQuery")</f>
        <v>BigQuery</v>
      </c>
      <c r="M546" s="10" t="str">
        <f t="shared" si="3"/>
        <v>Yes</v>
      </c>
    </row>
    <row r="547">
      <c r="A547" s="4" t="str">
        <f>IFERROR(__xludf.DUMMYFUNCTION("vlookup(C547,IMPORTRANGE(""1Kgoo8qyo6zMtf_5B03ksZz228jg0XpZ4_KXsdHQ4Vks"",""14 Sept!A:B""),2,0)"),"DME3227")</f>
        <v>DME3227</v>
      </c>
      <c r="B547" s="5" t="str">
        <f>IFERROR(__xludf.DUMMYFUNCTION("""COMPUTED_VALUE"""),"Yogesh Narawade")</f>
        <v>Yogesh Narawade</v>
      </c>
      <c r="C547" s="5" t="str">
        <f>IFERROR(__xludf.DUMMYFUNCTION("""COMPUTED_VALUE"""),"yogesh.narawade@onixnet.com")</f>
        <v>yogesh.narawade@onixnet.com</v>
      </c>
      <c r="D547" s="4" t="s">
        <v>11</v>
      </c>
      <c r="E547" s="6" t="str">
        <f>IFERROR(__xludf.DUMMYFUNCTION("vlookup($A547,importrange(""1fyGnaViAX9kns28pvsfPvI9925sAI7kxPlM7jpuHVJM"",""Validation!A:Z""),11,0)"),"Delivery Services")</f>
        <v>Delivery Services</v>
      </c>
      <c r="F547" s="6" t="str">
        <f>IFERROR(__xludf.DUMMYFUNCTION("vlookup($A547,importrange(""1fyGnaViAX9kns28pvsfPvI9925sAI7kxPlM7jpuHVJM"",""Validation!A:Z""),23,0)"),"Sneha Bhatambrekar")</f>
        <v>Sneha Bhatambrekar</v>
      </c>
      <c r="G547" s="6" t="str">
        <f>IFERROR(__xludf.DUMMYFUNCTION("vlookup(A547,importrange(""1fyGnaViAX9kns28pvsfPvI9925sAI7kxPlM7jpuHVJM"",""Validation!A:Z""),22,0)"),"Cluster - Sandeep")</f>
        <v>Cluster - Sandeep</v>
      </c>
      <c r="H547" s="4" t="str">
        <f>IFERROR(__xludf.DUMMYFUNCTION("vlookup(C547,importrange(""1kw74ismGU34AsZ5x-W4x7F3Zt2xc8NSYcCVMrCJBmdQ"",""DRP for 8 products!B:C""),2,0)"),"ONIYNKKC1")</f>
        <v>ONIYNKKC1</v>
      </c>
      <c r="I547" s="7">
        <f>IFERROR(__xludf.DUMMYFUNCTION("vlookup(C547,importrange(""1kw74ismGU34AsZ5x-W4x7F3Zt2xc8NSYcCVMrCJBmdQ"",""DRP for 8 products!B:E""),4,0)"),21.0)</f>
        <v>21</v>
      </c>
      <c r="J547" s="8" t="str">
        <f t="shared" si="1"/>
        <v>Tier 3</v>
      </c>
      <c r="K547" s="9" t="str">
        <f t="shared" si="2"/>
        <v>Active</v>
      </c>
      <c r="L547" s="4" t="str">
        <f>IFERROR(__xludf.DUMMYFUNCTION("vlookup(C547,importrange(""1kw74ismGU34AsZ5x-W4x7F3Zt2xc8NSYcCVMrCJBmdQ"",""DRP for 8 products!B:H""),6,0)"),"BigQuery")</f>
        <v>BigQuery</v>
      </c>
      <c r="M547" s="10" t="str">
        <f t="shared" si="3"/>
        <v>Yes</v>
      </c>
    </row>
    <row r="548">
      <c r="A548" s="4" t="str">
        <f>IFERROR(__xludf.DUMMYFUNCTION("vlookup(C548,IMPORTRANGE(""1Kgoo8qyo6zMtf_5B03ksZz228jg0XpZ4_KXsdHQ4Vks"",""14 Sept!A:B""),2,0)"),"DME2268")</f>
        <v>DME2268</v>
      </c>
      <c r="B548" s="5" t="str">
        <f>IFERROR(__xludf.DUMMYFUNCTION("""COMPUTED_VALUE"""),"Vaishnavi Paraskar")</f>
        <v>Vaishnavi Paraskar</v>
      </c>
      <c r="C548" s="5" t="str">
        <f>IFERROR(__xludf.DUMMYFUNCTION("""COMPUTED_VALUE"""),"vaishnavi.p@onixnet.com")</f>
        <v>vaishnavi.p@onixnet.com</v>
      </c>
      <c r="D548" s="4" t="s">
        <v>11</v>
      </c>
      <c r="E548" s="6" t="str">
        <f>IFERROR(__xludf.DUMMYFUNCTION("vlookup($A548,importrange(""1fyGnaViAX9kns28pvsfPvI9925sAI7kxPlM7jpuHVJM"",""Validation!A:Z""),11,0)"),"Product Engineering")</f>
        <v>Product Engineering</v>
      </c>
      <c r="F548" s="6" t="str">
        <f>IFERROR(__xludf.DUMMYFUNCTION("vlookup($A548,importrange(""1fyGnaViAX9kns28pvsfPvI9925sAI7kxPlM7jpuHVJM"",""Validation!A:Z""),23,0)"),"Rahul Panwar")</f>
        <v>Rahul Panwar</v>
      </c>
      <c r="G548" s="6" t="str">
        <f>IFERROR(__xludf.DUMMYFUNCTION("vlookup(A548,importrange(""1fyGnaViAX9kns28pvsfPvI9925sAI7kxPlM7jpuHVJM"",""Validation!A:Z""),22,0)"),"Cluster - Mayur")</f>
        <v>Cluster - Mayur</v>
      </c>
      <c r="H548" s="4" t="str">
        <f>IFERROR(__xludf.DUMMYFUNCTION("vlookup(C548,importrange(""1kw74ismGU34AsZ5x-W4x7F3Zt2xc8NSYcCVMrCJBmdQ"",""DRP for 8 products!B:C""),2,0)"),"ONIVPJBW6")</f>
        <v>ONIVPJBW6</v>
      </c>
      <c r="I548" s="7">
        <f>IFERROR(__xludf.DUMMYFUNCTION("vlookup(C548,importrange(""1kw74ismGU34AsZ5x-W4x7F3Zt2xc8NSYcCVMrCJBmdQ"",""DRP for 8 products!B:E""),4,0)"),5.0)</f>
        <v>5</v>
      </c>
      <c r="J548" s="8" t="str">
        <f t="shared" si="1"/>
        <v>Tier 4</v>
      </c>
      <c r="K548" s="9" t="str">
        <f t="shared" si="2"/>
        <v>Active</v>
      </c>
      <c r="L548" s="4" t="str">
        <f>IFERROR(__xludf.DUMMYFUNCTION("vlookup(C548,importrange(""1kw74ismGU34AsZ5x-W4x7F3Zt2xc8NSYcCVMrCJBmdQ"",""DRP for 8 products!B:H""),6,0)"),"BigQuery")</f>
        <v>BigQuery</v>
      </c>
      <c r="M548" s="10" t="str">
        <f t="shared" si="3"/>
        <v>Yes</v>
      </c>
    </row>
    <row r="549">
      <c r="A549" s="4" t="str">
        <f>IFERROR(__xludf.DUMMYFUNCTION("vlookup(C549,IMPORTRANGE(""1Kgoo8qyo6zMtf_5B03ksZz228jg0XpZ4_KXsdHQ4Vks"",""14 Sept!A:B""),2,0)"),"DME2330")</f>
        <v>DME2330</v>
      </c>
      <c r="B549" s="5" t="str">
        <f>IFERROR(__xludf.DUMMYFUNCTION("""COMPUTED_VALUE"""),"Shreepad Dhok")</f>
        <v>Shreepad Dhok</v>
      </c>
      <c r="C549" s="5" t="str">
        <f>IFERROR(__xludf.DUMMYFUNCTION("""COMPUTED_VALUE"""),"shreepad.dhok@onixnet.com")</f>
        <v>shreepad.dhok@onixnet.com</v>
      </c>
      <c r="D549" s="4" t="s">
        <v>11</v>
      </c>
      <c r="E549" s="6" t="str">
        <f>IFERROR(__xludf.DUMMYFUNCTION("vlookup($A549,importrange(""1fyGnaViAX9kns28pvsfPvI9925sAI7kxPlM7jpuHVJM"",""Validation!A:Z""),11,0)"),"Delivery Services")</f>
        <v>Delivery Services</v>
      </c>
      <c r="F549" s="6" t="str">
        <f>IFERROR(__xludf.DUMMYFUNCTION("vlookup($A549,importrange(""1fyGnaViAX9kns28pvsfPvI9925sAI7kxPlM7jpuHVJM"",""Validation!A:Z""),23,0)"),"Gaurav Bharara")</f>
        <v>Gaurav Bharara</v>
      </c>
      <c r="G549" s="6" t="str">
        <f>IFERROR(__xludf.DUMMYFUNCTION("vlookup(A549,importrange(""1fyGnaViAX9kns28pvsfPvI9925sAI7kxPlM7jpuHVJM"",""Validation!A:Z""),22,0)"),"Cluster - Shreepad")</f>
        <v>Cluster - Shreepad</v>
      </c>
      <c r="H549" s="4" t="str">
        <f>IFERROR(__xludf.DUMMYFUNCTION("vlookup(C549,importrange(""1kw74ismGU34AsZ5x-W4x7F3Zt2xc8NSYcCVMrCJBmdQ"",""DRP for 8 products!B:C""),2,0)"),"ONISDNDQ4")</f>
        <v>ONISDNDQ4</v>
      </c>
      <c r="I549" s="7">
        <f>IFERROR(__xludf.DUMMYFUNCTION("vlookup(C549,importrange(""1kw74ismGU34AsZ5x-W4x7F3Zt2xc8NSYcCVMrCJBmdQ"",""DRP for 8 products!B:E""),4,0)"),54.0)</f>
        <v>54</v>
      </c>
      <c r="J549" s="8" t="str">
        <f t="shared" si="1"/>
        <v>Tier 1</v>
      </c>
      <c r="K549" s="9" t="str">
        <f t="shared" si="2"/>
        <v>Active</v>
      </c>
      <c r="L549" s="4" t="str">
        <f>IFERROR(__xludf.DUMMYFUNCTION("vlookup(C549,importrange(""1kw74ismGU34AsZ5x-W4x7F3Zt2xc8NSYcCVMrCJBmdQ"",""DRP for 8 products!B:H""),6,0)"),"BigQuery")</f>
        <v>BigQuery</v>
      </c>
      <c r="M549" s="10" t="str">
        <f t="shared" si="3"/>
        <v>Yes</v>
      </c>
    </row>
    <row r="550">
      <c r="A550" s="4" t="str">
        <f>IFERROR(__xludf.DUMMYFUNCTION("vlookup(C550,IMPORTRANGE(""1Kgoo8qyo6zMtf_5B03ksZz228jg0XpZ4_KXsdHQ4Vks"",""14 Sept!A:B""),2,0)"),"DME3090")</f>
        <v>DME3090</v>
      </c>
      <c r="B550" s="5" t="str">
        <f>IFERROR(__xludf.DUMMYFUNCTION("""COMPUTED_VALUE"""),"Aishwarya Manole")</f>
        <v>Aishwarya Manole</v>
      </c>
      <c r="C550" s="5" t="str">
        <f>IFERROR(__xludf.DUMMYFUNCTION("""COMPUTED_VALUE"""),"aishwarya.manole@onixnet.com")</f>
        <v>aishwarya.manole@onixnet.com</v>
      </c>
      <c r="D550" s="4" t="s">
        <v>11</v>
      </c>
      <c r="E550" s="6" t="str">
        <f>IFERROR(__xludf.DUMMYFUNCTION("vlookup($A550,importrange(""1fyGnaViAX9kns28pvsfPvI9925sAI7kxPlM7jpuHVJM"",""Validation!A:Z""),11,0)"),"Delivery Services")</f>
        <v>Delivery Services</v>
      </c>
      <c r="F550" s="6" t="str">
        <f>IFERROR(__xludf.DUMMYFUNCTION("vlookup($A550,importrange(""1fyGnaViAX9kns28pvsfPvI9925sAI7kxPlM7jpuHVJM"",""Validation!A:Z""),23,0)"),"Sneha Bhatambrekar")</f>
        <v>Sneha Bhatambrekar</v>
      </c>
      <c r="G550" s="6" t="str">
        <f>IFERROR(__xludf.DUMMYFUNCTION("vlookup(A550,importrange(""1fyGnaViAX9kns28pvsfPvI9925sAI7kxPlM7jpuHVJM"",""Validation!A:Z""),22,0)"),"Cluster - Sandeep")</f>
        <v>Cluster - Sandeep</v>
      </c>
      <c r="H550" s="4" t="str">
        <f>IFERROR(__xludf.DUMMYFUNCTION("vlookup(C550,importrange(""1kw74ismGU34AsZ5x-W4x7F3Zt2xc8NSYcCVMrCJBmdQ"",""DRP for 8 products!B:C""),2,0)"),"ONIAMDBM3")</f>
        <v>ONIAMDBM3</v>
      </c>
      <c r="I550" s="7">
        <f>IFERROR(__xludf.DUMMYFUNCTION("vlookup(C550,importrange(""1kw74ismGU34AsZ5x-W4x7F3Zt2xc8NSYcCVMrCJBmdQ"",""DRP for 8 products!B:E""),4,0)"),15.0)</f>
        <v>15</v>
      </c>
      <c r="J550" s="8" t="str">
        <f t="shared" si="1"/>
        <v>Tier 4</v>
      </c>
      <c r="K550" s="9" t="str">
        <f t="shared" si="2"/>
        <v>Active</v>
      </c>
      <c r="L550" s="4" t="str">
        <f>IFERROR(__xludf.DUMMYFUNCTION("vlookup(C550,importrange(""1kw74ismGU34AsZ5x-W4x7F3Zt2xc8NSYcCVMrCJBmdQ"",""DRP for 8 products!B:H""),6,0)"),"BigQuery")</f>
        <v>BigQuery</v>
      </c>
      <c r="M550" s="10" t="str">
        <f t="shared" si="3"/>
        <v>Yes</v>
      </c>
    </row>
    <row r="551">
      <c r="A551" s="4" t="str">
        <f>IFERROR(__xludf.DUMMYFUNCTION("vlookup(C551,IMPORTRANGE(""1Kgoo8qyo6zMtf_5B03ksZz228jg0XpZ4_KXsdHQ4Vks"",""14 Sept!A:B""),2,0)"),"DME3213")</f>
        <v>DME3213</v>
      </c>
      <c r="B551" s="5" t="str">
        <f>IFERROR(__xludf.DUMMYFUNCTION("""COMPUTED_VALUE"""),"Omkar More")</f>
        <v>Omkar More</v>
      </c>
      <c r="C551" s="5" t="str">
        <f>IFERROR(__xludf.DUMMYFUNCTION("""COMPUTED_VALUE"""),"omkar.more@onixnet.com")</f>
        <v>omkar.more@onixnet.com</v>
      </c>
      <c r="D551" s="4" t="s">
        <v>11</v>
      </c>
      <c r="E551" s="6" t="str">
        <f>IFERROR(__xludf.DUMMYFUNCTION("vlookup($A551,importrange(""1fyGnaViAX9kns28pvsfPvI9925sAI7kxPlM7jpuHVJM"",""Validation!A:Z""),11,0)"),"Delivery Services")</f>
        <v>Delivery Services</v>
      </c>
      <c r="F551" s="6" t="str">
        <f>IFERROR(__xludf.DUMMYFUNCTION("vlookup($A551,importrange(""1fyGnaViAX9kns28pvsfPvI9925sAI7kxPlM7jpuHVJM"",""Validation!A:Z""),23,0)"),"Aarti Borhade")</f>
        <v>Aarti Borhade</v>
      </c>
      <c r="G551" s="6" t="str">
        <f>IFERROR(__xludf.DUMMYFUNCTION("vlookup(A551,importrange(""1fyGnaViAX9kns28pvsfPvI9925sAI7kxPlM7jpuHVJM"",""Validation!A:Z""),22,0)"),"Cluster - Sagar")</f>
        <v>Cluster - Sagar</v>
      </c>
      <c r="H551" s="4" t="str">
        <f>IFERROR(__xludf.DUMMYFUNCTION("vlookup(C551,importrange(""1kw74ismGU34AsZ5x-W4x7F3Zt2xc8NSYcCVMrCJBmdQ"",""DRP for 8 products!B:C""),2,0)"),"ONIOMBHF0")</f>
        <v>ONIOMBHF0</v>
      </c>
      <c r="I551" s="7">
        <f>IFERROR(__xludf.DUMMYFUNCTION("vlookup(C551,importrange(""1kw74ismGU34AsZ5x-W4x7F3Zt2xc8NSYcCVMrCJBmdQ"",""DRP for 8 products!B:E""),4,0)"),5.0)</f>
        <v>5</v>
      </c>
      <c r="J551" s="8" t="str">
        <f t="shared" si="1"/>
        <v>Tier 4</v>
      </c>
      <c r="K551" s="9" t="str">
        <f t="shared" si="2"/>
        <v>Active</v>
      </c>
      <c r="L551" s="4" t="str">
        <f>IFERROR(__xludf.DUMMYFUNCTION("vlookup(C551,importrange(""1kw74ismGU34AsZ5x-W4x7F3Zt2xc8NSYcCVMrCJBmdQ"",""DRP for 8 products!B:H""),6,0)"),"Dataflow")</f>
        <v>Dataflow</v>
      </c>
      <c r="M551" s="10" t="str">
        <f t="shared" si="3"/>
        <v>Yes</v>
      </c>
    </row>
    <row r="552">
      <c r="A552" s="4" t="str">
        <f>IFERROR(__xludf.DUMMYFUNCTION("vlookup(C552,IMPORTRANGE(""1Kgoo8qyo6zMtf_5B03ksZz228jg0XpZ4_KXsdHQ4Vks"",""14 Sept!A:B""),2,0)"),"DME3021")</f>
        <v>DME3021</v>
      </c>
      <c r="B552" s="5" t="str">
        <f>IFERROR(__xludf.DUMMYFUNCTION("""COMPUTED_VALUE"""),"Sailakshman Bonthu")</f>
        <v>Sailakshman Bonthu</v>
      </c>
      <c r="C552" s="5" t="str">
        <f>IFERROR(__xludf.DUMMYFUNCTION("""COMPUTED_VALUE"""),"sailakshman.bonthu@onixnet.com")</f>
        <v>sailakshman.bonthu@onixnet.com</v>
      </c>
      <c r="D552" s="4" t="s">
        <v>11</v>
      </c>
      <c r="E552" s="6" t="str">
        <f>IFERROR(__xludf.DUMMYFUNCTION("vlookup($A552,importrange(""1fyGnaViAX9kns28pvsfPvI9925sAI7kxPlM7jpuHVJM"",""Validation!A:Z""),11,0)"),"Delivery Services")</f>
        <v>Delivery Services</v>
      </c>
      <c r="F552" s="6" t="str">
        <f>IFERROR(__xludf.DUMMYFUNCTION("vlookup($A552,importrange(""1fyGnaViAX9kns28pvsfPvI9925sAI7kxPlM7jpuHVJM"",""Validation!A:Z""),23,0)"),"Syam Prasad Gera")</f>
        <v>Syam Prasad Gera</v>
      </c>
      <c r="G552" s="6" t="str">
        <f>IFERROR(__xludf.DUMMYFUNCTION("vlookup(A552,importrange(""1fyGnaViAX9kns28pvsfPvI9925sAI7kxPlM7jpuHVJM"",""Validation!A:Z""),22,0)"),"Cluster - Shreepad")</f>
        <v>Cluster - Shreepad</v>
      </c>
      <c r="H552" s="4" t="str">
        <f>IFERROR(__xludf.DUMMYFUNCTION("vlookup(C552,importrange(""1kw74ismGU34AsZ5x-W4x7F3Zt2xc8NSYcCVMrCJBmdQ"",""DRP for 8 products!B:C""),2,0)"),"ONISBCSA5")</f>
        <v>ONISBCSA5</v>
      </c>
      <c r="I552" s="7">
        <f>IFERROR(__xludf.DUMMYFUNCTION("vlookup(C552,importrange(""1kw74ismGU34AsZ5x-W4x7F3Zt2xc8NSYcCVMrCJBmdQ"",""DRP for 8 products!B:E""),4,0)"),24.0)</f>
        <v>24</v>
      </c>
      <c r="J552" s="8" t="str">
        <f t="shared" si="1"/>
        <v>Tier 3</v>
      </c>
      <c r="K552" s="9" t="str">
        <f t="shared" si="2"/>
        <v>Active</v>
      </c>
      <c r="L552" s="4" t="str">
        <f>IFERROR(__xludf.DUMMYFUNCTION("vlookup(C552,importrange(""1kw74ismGU34AsZ5x-W4x7F3Zt2xc8NSYcCVMrCJBmdQ"",""DRP for 8 products!B:H""),6,0)"),"BigQuery")</f>
        <v>BigQuery</v>
      </c>
      <c r="M552" s="10" t="str">
        <f t="shared" si="3"/>
        <v>Yes</v>
      </c>
    </row>
    <row r="553">
      <c r="A553" s="4" t="str">
        <f>IFERROR(__xludf.DUMMYFUNCTION("vlookup(C553,IMPORTRANGE(""1Kgoo8qyo6zMtf_5B03ksZz228jg0XpZ4_KXsdHQ4Vks"",""14 Sept!A:B""),2,0)"),"DME2391")</f>
        <v>DME2391</v>
      </c>
      <c r="B553" s="5" t="str">
        <f>IFERROR(__xludf.DUMMYFUNCTION("""COMPUTED_VALUE"""),"Bhupesh Chauhan")</f>
        <v>Bhupesh Chauhan</v>
      </c>
      <c r="C553" s="5" t="str">
        <f>IFERROR(__xludf.DUMMYFUNCTION("""COMPUTED_VALUE"""),"bhupesh.chauhan@onixnet.com")</f>
        <v>bhupesh.chauhan@onixnet.com</v>
      </c>
      <c r="D553" s="4" t="s">
        <v>11</v>
      </c>
      <c r="E553" s="6" t="str">
        <f>IFERROR(__xludf.DUMMYFUNCTION("vlookup($A553,importrange(""1fyGnaViAX9kns28pvsfPvI9925sAI7kxPlM7jpuHVJM"",""Validation!A:Z""),11,0)"),"Delivery Services")</f>
        <v>Delivery Services</v>
      </c>
      <c r="F553" s="6" t="str">
        <f>IFERROR(__xludf.DUMMYFUNCTION("vlookup($A553,importrange(""1fyGnaViAX9kns28pvsfPvI9925sAI7kxPlM7jpuHVJM"",""Validation!A:Z""),23,0)"),"Sachin Jakhar")</f>
        <v>Sachin Jakhar</v>
      </c>
      <c r="G553" s="6" t="str">
        <f>IFERROR(__xludf.DUMMYFUNCTION("vlookup(A553,importrange(""1fyGnaViAX9kns28pvsfPvI9925sAI7kxPlM7jpuHVJM"",""Validation!A:Z""),22,0)"),"Cluster - Sachin")</f>
        <v>Cluster - Sachin</v>
      </c>
      <c r="H553" s="4" t="str">
        <f>IFERROR(__xludf.DUMMYFUNCTION("vlookup(C553,importrange(""1kw74ismGU34AsZ5x-W4x7F3Zt2xc8NSYcCVMrCJBmdQ"",""DRP for 8 products!B:C""),2,0)"),"ONIBCYNI9")</f>
        <v>ONIBCYNI9</v>
      </c>
      <c r="I553" s="7">
        <f>IFERROR(__xludf.DUMMYFUNCTION("vlookup(C553,importrange(""1kw74ismGU34AsZ5x-W4x7F3Zt2xc8NSYcCVMrCJBmdQ"",""DRP for 8 products!B:E""),4,0)"),19.0)</f>
        <v>19</v>
      </c>
      <c r="J553" s="8" t="str">
        <f t="shared" si="1"/>
        <v>Tier 4</v>
      </c>
      <c r="K553" s="9" t="str">
        <f t="shared" si="2"/>
        <v>Active</v>
      </c>
      <c r="L553" s="4" t="str">
        <f>IFERROR(__xludf.DUMMYFUNCTION("vlookup(C553,importrange(""1kw74ismGU34AsZ5x-W4x7F3Zt2xc8NSYcCVMrCJBmdQ"",""DRP for 8 products!B:H""),6,0)"),"BigQuery")</f>
        <v>BigQuery</v>
      </c>
      <c r="M553" s="10" t="str">
        <f t="shared" si="3"/>
        <v>Yes</v>
      </c>
    </row>
    <row r="554">
      <c r="A554" s="4" t="str">
        <f>IFERROR(__xludf.DUMMYFUNCTION("vlookup(C554,IMPORTRANGE(""1Kgoo8qyo6zMtf_5B03ksZz228jg0XpZ4_KXsdHQ4Vks"",""14 Sept!A:B""),2,0)"),"DME3065")</f>
        <v>DME3065</v>
      </c>
      <c r="B554" s="5" t="str">
        <f>IFERROR(__xludf.DUMMYFUNCTION("""COMPUTED_VALUE"""),"Bharati Shelar")</f>
        <v>Bharati Shelar</v>
      </c>
      <c r="C554" s="5" t="str">
        <f>IFERROR(__xludf.DUMMYFUNCTION("""COMPUTED_VALUE"""),"bharati.shelar@onixnet.com")</f>
        <v>bharati.shelar@onixnet.com</v>
      </c>
      <c r="D554" s="4" t="s">
        <v>11</v>
      </c>
      <c r="E554" s="6" t="str">
        <f>IFERROR(__xludf.DUMMYFUNCTION("vlookup($A554,importrange(""1fyGnaViAX9kns28pvsfPvI9925sAI7kxPlM7jpuHVJM"",""Validation!A:Z""),11,0)"),"Delivery Services")</f>
        <v>Delivery Services</v>
      </c>
      <c r="F554" s="6" t="str">
        <f>IFERROR(__xludf.DUMMYFUNCTION("vlookup($A554,importrange(""1fyGnaViAX9kns28pvsfPvI9925sAI7kxPlM7jpuHVJM"",""Validation!A:Z""),23,0)"),"Jitender Singh")</f>
        <v>Jitender Singh</v>
      </c>
      <c r="G554" s="6" t="str">
        <f>IFERROR(__xludf.DUMMYFUNCTION("vlookup(A554,importrange(""1fyGnaViAX9kns28pvsfPvI9925sAI7kxPlM7jpuHVJM"",""Validation!A:Z""),22,0)"),"Cluster - Gaurav")</f>
        <v>Cluster - Gaurav</v>
      </c>
      <c r="H554" s="4" t="str">
        <f>IFERROR(__xludf.DUMMYFUNCTION("vlookup(C554,importrange(""1kw74ismGU34AsZ5x-W4x7F3Zt2xc8NSYcCVMrCJBmdQ"",""DRP for 8 products!B:C""),2,0)"),"ONIBSWHV0")</f>
        <v>ONIBSWHV0</v>
      </c>
      <c r="I554" s="7">
        <f>IFERROR(__xludf.DUMMYFUNCTION("vlookup(C554,importrange(""1kw74ismGU34AsZ5x-W4x7F3Zt2xc8NSYcCVMrCJBmdQ"",""DRP for 8 products!B:E""),4,0)"),10.0)</f>
        <v>10</v>
      </c>
      <c r="J554" s="8" t="str">
        <f t="shared" si="1"/>
        <v>Tier 4</v>
      </c>
      <c r="K554" s="9" t="str">
        <f t="shared" si="2"/>
        <v>Active</v>
      </c>
      <c r="L554" s="4" t="str">
        <f>IFERROR(__xludf.DUMMYFUNCTION("vlookup(C554,importrange(""1kw74ismGU34AsZ5x-W4x7F3Zt2xc8NSYcCVMrCJBmdQ"",""DRP for 8 products!B:H""),6,0)"),"BigQuery")</f>
        <v>BigQuery</v>
      </c>
      <c r="M554" s="10" t="str">
        <f t="shared" si="3"/>
        <v>Yes</v>
      </c>
    </row>
    <row r="555">
      <c r="A555" s="4" t="str">
        <f>IFERROR(__xludf.DUMMYFUNCTION("vlookup(C555,IMPORTRANGE(""1Kgoo8qyo6zMtf_5B03ksZz228jg0XpZ4_KXsdHQ4Vks"",""14 Sept!A:B""),2,0)"),"DME3241")</f>
        <v>DME3241</v>
      </c>
      <c r="B555" s="5" t="str">
        <f>IFERROR(__xludf.DUMMYFUNCTION("""COMPUTED_VALUE"""),"Karan Tiwari")</f>
        <v>Karan Tiwari</v>
      </c>
      <c r="C555" s="5" t="str">
        <f>IFERROR(__xludf.DUMMYFUNCTION("""COMPUTED_VALUE"""),"karan.tiwari@onixnet.com")</f>
        <v>karan.tiwari@onixnet.com</v>
      </c>
      <c r="D555" s="4" t="s">
        <v>11</v>
      </c>
      <c r="E555" s="6" t="str">
        <f>IFERROR(__xludf.DUMMYFUNCTION("vlookup($A555,importrange(""1fyGnaViAX9kns28pvsfPvI9925sAI7kxPlM7jpuHVJM"",""Validation!A:Z""),11,0)"),"Delivery Services")</f>
        <v>Delivery Services</v>
      </c>
      <c r="F555" s="6" t="str">
        <f>IFERROR(__xludf.DUMMYFUNCTION("vlookup($A555,importrange(""1fyGnaViAX9kns28pvsfPvI9925sAI7kxPlM7jpuHVJM"",""Validation!A:Z""),23,0)"),"Manoj Patil")</f>
        <v>Manoj Patil</v>
      </c>
      <c r="G555" s="6" t="str">
        <f>IFERROR(__xludf.DUMMYFUNCTION("vlookup(A555,importrange(""1fyGnaViAX9kns28pvsfPvI9925sAI7kxPlM7jpuHVJM"",""Validation!A:Z""),22,0)"),"Cluster - Shreepad")</f>
        <v>Cluster - Shreepad</v>
      </c>
      <c r="H555" s="4" t="str">
        <f>IFERROR(__xludf.DUMMYFUNCTION("vlookup(C555,importrange(""1kw74ismGU34AsZ5x-W4x7F3Zt2xc8NSYcCVMrCJBmdQ"",""DRP for 8 products!B:C""),2,0)"),"ONIKTPSI2")</f>
        <v>ONIKTPSI2</v>
      </c>
      <c r="I555" s="7">
        <f>IFERROR(__xludf.DUMMYFUNCTION("vlookup(C555,importrange(""1kw74ismGU34AsZ5x-W4x7F3Zt2xc8NSYcCVMrCJBmdQ"",""DRP for 8 products!B:E""),4,0)"),9.0)</f>
        <v>9</v>
      </c>
      <c r="J555" s="8" t="str">
        <f t="shared" si="1"/>
        <v>Tier 4</v>
      </c>
      <c r="K555" s="9" t="str">
        <f t="shared" si="2"/>
        <v>Active</v>
      </c>
      <c r="L555" s="4" t="str">
        <f>IFERROR(__xludf.DUMMYFUNCTION("vlookup(C555,importrange(""1kw74ismGU34AsZ5x-W4x7F3Zt2xc8NSYcCVMrCJBmdQ"",""DRP for 8 products!B:H""),6,0)"),"BigQuery")</f>
        <v>BigQuery</v>
      </c>
      <c r="M555" s="10" t="str">
        <f t="shared" si="3"/>
        <v>Yes</v>
      </c>
    </row>
    <row r="556">
      <c r="A556" s="4" t="str">
        <f>IFERROR(__xludf.DUMMYFUNCTION("vlookup(C556,IMPORTRANGE(""1Kgoo8qyo6zMtf_5B03ksZz228jg0XpZ4_KXsdHQ4Vks"",""14 Sept!A:B""),2,0)"),"DMUK0011")</f>
        <v>DMUK0011</v>
      </c>
      <c r="B556" s="5" t="str">
        <f>IFERROR(__xludf.DUMMYFUNCTION("""COMPUTED_VALUE"""),"Katsiaryna Stankevich")</f>
        <v>Katsiaryna Stankevich</v>
      </c>
      <c r="C556" s="5" t="str">
        <f>IFERROR(__xludf.DUMMYFUNCTION("""COMPUTED_VALUE"""),"katsiaryna.stankevich@onixnet.com")</f>
        <v>katsiaryna.stankevich@onixnet.com</v>
      </c>
      <c r="D556" s="4" t="s">
        <v>11</v>
      </c>
      <c r="E556" s="6" t="str">
        <f>IFERROR(__xludf.DUMMYFUNCTION("vlookup($A556,importrange(""1fyGnaViAX9kns28pvsfPvI9925sAI7kxPlM7jpuHVJM"",""Validation!A:Z""),11,0)"),"Delivery Services")</f>
        <v>Delivery Services</v>
      </c>
      <c r="F556" s="6" t="str">
        <f>IFERROR(__xludf.DUMMYFUNCTION("vlookup($A556,importrange(""1fyGnaViAX9kns28pvsfPvI9925sAI7kxPlM7jpuHVJM"",""Validation!A:Z""),23,0)"),"Siddharth Bhandari")</f>
        <v>Siddharth Bhandari</v>
      </c>
      <c r="G556" s="6" t="str">
        <f>IFERROR(__xludf.DUMMYFUNCTION("vlookup(A556,importrange(""1fyGnaViAX9kns28pvsfPvI9925sAI7kxPlM7jpuHVJM"",""Validation!A:Z""),22,0)"),"Portfolio - Siddharth")</f>
        <v>Portfolio - Siddharth</v>
      </c>
      <c r="H556" s="4" t="str">
        <f>IFERROR(__xludf.DUMMYFUNCTION("vlookup(C556,importrange(""1kw74ismGU34AsZ5x-W4x7F3Zt2xc8NSYcCVMrCJBmdQ"",""DRP for 8 products!B:C""),2,0)"),"ONIKSJOW5")</f>
        <v>ONIKSJOW5</v>
      </c>
      <c r="I556" s="7">
        <f>IFERROR(__xludf.DUMMYFUNCTION("vlookup(C556,importrange(""1kw74ismGU34AsZ5x-W4x7F3Zt2xc8NSYcCVMrCJBmdQ"",""DRP for 8 products!B:E""),4,0)"),14.0)</f>
        <v>14</v>
      </c>
      <c r="J556" s="8" t="str">
        <f t="shared" si="1"/>
        <v>Tier 4</v>
      </c>
      <c r="K556" s="9" t="str">
        <f t="shared" si="2"/>
        <v>Active</v>
      </c>
      <c r="L556" s="4" t="str">
        <f>IFERROR(__xludf.DUMMYFUNCTION("vlookup(C556,importrange(""1kw74ismGU34AsZ5x-W4x7F3Zt2xc8NSYcCVMrCJBmdQ"",""DRP for 8 products!B:H""),6,0)"),"BigQuery")</f>
        <v>BigQuery</v>
      </c>
      <c r="M556" s="10" t="str">
        <f t="shared" si="3"/>
        <v>Yes</v>
      </c>
    </row>
    <row r="557">
      <c r="A557" s="4" t="str">
        <f>IFERROR(__xludf.DUMMYFUNCTION("vlookup(C557,IMPORTRANGE(""1Kgoo8qyo6zMtf_5B03ksZz228jg0XpZ4_KXsdHQ4Vks"",""14 Sept!A:B""),2,0)"),"DME3380")</f>
        <v>DME3380</v>
      </c>
      <c r="B557" s="5" t="str">
        <f>IFERROR(__xludf.DUMMYFUNCTION("""COMPUTED_VALUE"""),"Harsh Sawant")</f>
        <v>Harsh Sawant</v>
      </c>
      <c r="C557" s="5" t="str">
        <f>IFERROR(__xludf.DUMMYFUNCTION("""COMPUTED_VALUE"""),"harsh.sawant@onixnet.com")</f>
        <v>harsh.sawant@onixnet.com</v>
      </c>
      <c r="D557" s="4" t="s">
        <v>11</v>
      </c>
      <c r="E557" s="6" t="str">
        <f>IFERROR(__xludf.DUMMYFUNCTION("vlookup($A557,importrange(""1fyGnaViAX9kns28pvsfPvI9925sAI7kxPlM7jpuHVJM"",""Validation!A:Z""),11,0)"),"Delivery Services")</f>
        <v>Delivery Services</v>
      </c>
      <c r="F557" s="6" t="str">
        <f>IFERROR(__xludf.DUMMYFUNCTION("vlookup($A557,importrange(""1fyGnaViAX9kns28pvsfPvI9925sAI7kxPlM7jpuHVJM"",""Validation!A:Z""),23,0)"),"Chetana Hande")</f>
        <v>Chetana Hande</v>
      </c>
      <c r="G557" s="6" t="str">
        <f>IFERROR(__xludf.DUMMYFUNCTION("vlookup(A557,importrange(""1fyGnaViAX9kns28pvsfPvI9925sAI7kxPlM7jpuHVJM"",""Validation!A:Z""),22,0)"),"Cluster - Sagar")</f>
        <v>Cluster - Sagar</v>
      </c>
      <c r="H557" s="4" t="str">
        <f>IFERROR(__xludf.DUMMYFUNCTION("vlookup(C557,importrange(""1kw74ismGU34AsZ5x-W4x7F3Zt2xc8NSYcCVMrCJBmdQ"",""DRP for 8 products!B:C""),2,0)"),"ONIHSSFJ9")</f>
        <v>ONIHSSFJ9</v>
      </c>
      <c r="I557" s="7">
        <f>IFERROR(__xludf.DUMMYFUNCTION("vlookup(C557,importrange(""1kw74ismGU34AsZ5x-W4x7F3Zt2xc8NSYcCVMrCJBmdQ"",""DRP for 8 products!B:E""),4,0)"),36.0)</f>
        <v>36</v>
      </c>
      <c r="J557" s="8" t="str">
        <f t="shared" si="1"/>
        <v>Tier 2</v>
      </c>
      <c r="K557" s="9" t="str">
        <f t="shared" si="2"/>
        <v>Active</v>
      </c>
      <c r="L557" s="4" t="str">
        <f>IFERROR(__xludf.DUMMYFUNCTION("vlookup(C557,importrange(""1kw74ismGU34AsZ5x-W4x7F3Zt2xc8NSYcCVMrCJBmdQ"",""DRP for 8 products!B:H""),6,0)"),"BigQuery")</f>
        <v>BigQuery</v>
      </c>
      <c r="M557" s="10" t="str">
        <f t="shared" si="3"/>
        <v>Yes</v>
      </c>
    </row>
    <row r="558">
      <c r="A558" s="4" t="str">
        <f>IFERROR(__xludf.DUMMYFUNCTION("vlookup(C558,IMPORTRANGE(""1Kgoo8qyo6zMtf_5B03ksZz228jg0XpZ4_KXsdHQ4Vks"",""14 Sept!A:B""),2,0)"),"DME2434")</f>
        <v>DME2434</v>
      </c>
      <c r="B558" s="5" t="str">
        <f>IFERROR(__xludf.DUMMYFUNCTION("""COMPUTED_VALUE"""),"Priyanka Ethape")</f>
        <v>Priyanka Ethape</v>
      </c>
      <c r="C558" s="5" t="str">
        <f>IFERROR(__xludf.DUMMYFUNCTION("""COMPUTED_VALUE"""),"priyanka.ethape@onixnet.com")</f>
        <v>priyanka.ethape@onixnet.com</v>
      </c>
      <c r="D558" s="4" t="s">
        <v>11</v>
      </c>
      <c r="E558" s="6" t="str">
        <f>IFERROR(__xludf.DUMMYFUNCTION("vlookup($A558,importrange(""1fyGnaViAX9kns28pvsfPvI9925sAI7kxPlM7jpuHVJM"",""Validation!A:Z""),11,0)"),"Delivery Services")</f>
        <v>Delivery Services</v>
      </c>
      <c r="F558" s="6" t="str">
        <f>IFERROR(__xludf.DUMMYFUNCTION("vlookup($A558,importrange(""1fyGnaViAX9kns28pvsfPvI9925sAI7kxPlM7jpuHVJM"",""Validation!A:Z""),23,0)"),"Priyanka Jain")</f>
        <v>Priyanka Jain</v>
      </c>
      <c r="G558" s="6" t="str">
        <f>IFERROR(__xludf.DUMMYFUNCTION("vlookup(A558,importrange(""1fyGnaViAX9kns28pvsfPvI9925sAI7kxPlM7jpuHVJM"",""Validation!A:Z""),22,0)"),"Cluster - Sagar")</f>
        <v>Cluster - Sagar</v>
      </c>
      <c r="H558" s="4" t="str">
        <f>IFERROR(__xludf.DUMMYFUNCTION("vlookup(C558,importrange(""1kw74ismGU34AsZ5x-W4x7F3Zt2xc8NSYcCVMrCJBmdQ"",""DRP for 8 products!B:C""),2,0)"),"ONIPENVU4")</f>
        <v>ONIPENVU4</v>
      </c>
      <c r="I558" s="7">
        <f>IFERROR(__xludf.DUMMYFUNCTION("vlookup(C558,importrange(""1kw74ismGU34AsZ5x-W4x7F3Zt2xc8NSYcCVMrCJBmdQ"",""DRP for 8 products!B:E""),4,0)"),42.0)</f>
        <v>42</v>
      </c>
      <c r="J558" s="8" t="str">
        <f t="shared" si="1"/>
        <v>Tier 2</v>
      </c>
      <c r="K558" s="9" t="str">
        <f t="shared" si="2"/>
        <v>Active</v>
      </c>
      <c r="L558" s="4" t="str">
        <f>IFERROR(__xludf.DUMMYFUNCTION("vlookup(C558,importrange(""1kw74ismGU34AsZ5x-W4x7F3Zt2xc8NSYcCVMrCJBmdQ"",""DRP for 8 products!B:H""),6,0)"),"BigQuery")</f>
        <v>BigQuery</v>
      </c>
      <c r="M558" s="10" t="str">
        <f t="shared" si="3"/>
        <v>Yes</v>
      </c>
    </row>
    <row r="559">
      <c r="A559" s="4" t="str">
        <f>IFERROR(__xludf.DUMMYFUNCTION("vlookup(C559,IMPORTRANGE(""1Kgoo8qyo6zMtf_5B03ksZz228jg0XpZ4_KXsdHQ4Vks"",""14 Sept!A:B""),2,0)"),"DME2971")</f>
        <v>DME2971</v>
      </c>
      <c r="B559" s="5" t="str">
        <f>IFERROR(__xludf.DUMMYFUNCTION("""COMPUTED_VALUE"""),"Prathamesh Salunkhe")</f>
        <v>Prathamesh Salunkhe</v>
      </c>
      <c r="C559" s="5" t="str">
        <f>IFERROR(__xludf.DUMMYFUNCTION("""COMPUTED_VALUE"""),"prathamesh.salunkhe@onixnet.com")</f>
        <v>prathamesh.salunkhe@onixnet.com</v>
      </c>
      <c r="D559" s="4" t="s">
        <v>11</v>
      </c>
      <c r="E559" s="6" t="str">
        <f>IFERROR(__xludf.DUMMYFUNCTION("vlookup($A559,importrange(""1fyGnaViAX9kns28pvsfPvI9925sAI7kxPlM7jpuHVJM"",""Validation!A:Z""),11,0)"),"Delivery Services")</f>
        <v>Delivery Services</v>
      </c>
      <c r="F559" s="6" t="str">
        <f>IFERROR(__xludf.DUMMYFUNCTION("vlookup($A559,importrange(""1fyGnaViAX9kns28pvsfPvI9925sAI7kxPlM7jpuHVJM"",""Validation!A:Z""),23,0)"),"Dhananjay Pise")</f>
        <v>Dhananjay Pise</v>
      </c>
      <c r="G559" s="6" t="str">
        <f>IFERROR(__xludf.DUMMYFUNCTION("vlookup(A559,importrange(""1fyGnaViAX9kns28pvsfPvI9925sAI7kxPlM7jpuHVJM"",""Validation!A:Z""),22,0)"),"Cluster - Sachin")</f>
        <v>Cluster - Sachin</v>
      </c>
      <c r="H559" s="4" t="str">
        <f>IFERROR(__xludf.DUMMYFUNCTION("vlookup(C559,importrange(""1kw74ismGU34AsZ5x-W4x7F3Zt2xc8NSYcCVMrCJBmdQ"",""DRP for 8 products!B:C""),2,0)"),"ONIPSDLV3")</f>
        <v>ONIPSDLV3</v>
      </c>
      <c r="I559" s="7">
        <f>IFERROR(__xludf.DUMMYFUNCTION("vlookup(C559,importrange(""1kw74ismGU34AsZ5x-W4x7F3Zt2xc8NSYcCVMrCJBmdQ"",""DRP for 8 products!B:E""),4,0)"),56.0)</f>
        <v>56</v>
      </c>
      <c r="J559" s="8" t="str">
        <f t="shared" si="1"/>
        <v>Tier 1</v>
      </c>
      <c r="K559" s="9" t="str">
        <f t="shared" si="2"/>
        <v>Active</v>
      </c>
      <c r="L559" s="4" t="str">
        <f>IFERROR(__xludf.DUMMYFUNCTION("vlookup(C559,importrange(""1kw74ismGU34AsZ5x-W4x7F3Zt2xc8NSYcCVMrCJBmdQ"",""DRP for 8 products!B:H""),6,0)"),"Looker")</f>
        <v>Looker</v>
      </c>
      <c r="M559" s="10" t="str">
        <f t="shared" si="3"/>
        <v>Yes</v>
      </c>
    </row>
    <row r="560">
      <c r="A560" s="4" t="str">
        <f>IFERROR(__xludf.DUMMYFUNCTION("vlookup(C560,IMPORTRANGE(""1Kgoo8qyo6zMtf_5B03ksZz228jg0XpZ4_KXsdHQ4Vks"",""14 Sept!A:B""),2,0)"),"DME1410")</f>
        <v>DME1410</v>
      </c>
      <c r="B560" s="5" t="str">
        <f>IFERROR(__xludf.DUMMYFUNCTION("""COMPUTED_VALUE"""),"Dinesh Bhamare")</f>
        <v>Dinesh Bhamare</v>
      </c>
      <c r="C560" s="5" t="str">
        <f>IFERROR(__xludf.DUMMYFUNCTION("""COMPUTED_VALUE"""),"dinesh.bhamare@onixnet.com")</f>
        <v>dinesh.bhamare@onixnet.com</v>
      </c>
      <c r="D560" s="4" t="s">
        <v>11</v>
      </c>
      <c r="E560" s="6" t="str">
        <f>IFERROR(__xludf.DUMMYFUNCTION("vlookup($A560,importrange(""1fyGnaViAX9kns28pvsfPvI9925sAI7kxPlM7jpuHVJM"",""Validation!A:Z""),11,0)"),"Professional Services")</f>
        <v>Professional Services</v>
      </c>
      <c r="F560" s="6" t="str">
        <f>IFERROR(__xludf.DUMMYFUNCTION("vlookup($A560,importrange(""1fyGnaViAX9kns28pvsfPvI9925sAI7kxPlM7jpuHVJM"",""Validation!A:Z""),23,0)"),"Shreepad Dhok")</f>
        <v>Shreepad Dhok</v>
      </c>
      <c r="G560" s="6" t="str">
        <f>IFERROR(__xludf.DUMMYFUNCTION("vlookup(A560,importrange(""1fyGnaViAX9kns28pvsfPvI9925sAI7kxPlM7jpuHVJM"",""Validation!A:Z""),22,0)"),"Cluster - Shreepad")</f>
        <v>Cluster - Shreepad</v>
      </c>
      <c r="H560" s="4" t="str">
        <f>IFERROR(__xludf.DUMMYFUNCTION("vlookup(C560,importrange(""1kw74ismGU34AsZ5x-W4x7F3Zt2xc8NSYcCVMrCJBmdQ"",""DRP for 8 products!B:C""),2,0)"),"DATDBCXN9")</f>
        <v>DATDBCXN9</v>
      </c>
      <c r="I560" s="7">
        <f>IFERROR(__xludf.DUMMYFUNCTION("vlookup(C560,importrange(""1kw74ismGU34AsZ5x-W4x7F3Zt2xc8NSYcCVMrCJBmdQ"",""DRP for 8 products!B:E""),4,0)"),64.0)</f>
        <v>64</v>
      </c>
      <c r="J560" s="8" t="str">
        <f t="shared" si="1"/>
        <v>Tier 1</v>
      </c>
      <c r="K560" s="9" t="str">
        <f t="shared" si="2"/>
        <v>Active</v>
      </c>
      <c r="L560" s="4" t="str">
        <f>IFERROR(__xludf.DUMMYFUNCTION("vlookup(C560,importrange(""1kw74ismGU34AsZ5x-W4x7F3Zt2xc8NSYcCVMrCJBmdQ"",""DRP for 8 products!B:H""),6,0)"),"BigQuery")</f>
        <v>BigQuery</v>
      </c>
      <c r="M560" s="10" t="str">
        <f t="shared" si="3"/>
        <v>Yes</v>
      </c>
    </row>
    <row r="561">
      <c r="A561" s="4" t="str">
        <f>IFERROR(__xludf.DUMMYFUNCTION("vlookup(C561,IMPORTRANGE(""1Kgoo8qyo6zMtf_5B03ksZz228jg0XpZ4_KXsdHQ4Vks"",""14 Sept!A:B""),2,0)"),"DME1668")</f>
        <v>DME1668</v>
      </c>
      <c r="B561" s="5" t="str">
        <f>IFERROR(__xludf.DUMMYFUNCTION("""COMPUTED_VALUE"""),"Manoj Patil")</f>
        <v>Manoj Patil</v>
      </c>
      <c r="C561" s="5" t="str">
        <f>IFERROR(__xludf.DUMMYFUNCTION("""COMPUTED_VALUE"""),"manoj.patil@onixnet.com")</f>
        <v>manoj.patil@onixnet.com</v>
      </c>
      <c r="D561" s="4" t="s">
        <v>11</v>
      </c>
      <c r="E561" s="6" t="str">
        <f>IFERROR(__xludf.DUMMYFUNCTION("vlookup($A561,importrange(""1fyGnaViAX9kns28pvsfPvI9925sAI7kxPlM7jpuHVJM"",""Validation!A:Z""),11,0)"),"Delivery Services")</f>
        <v>Delivery Services</v>
      </c>
      <c r="F561" s="6" t="str">
        <f>IFERROR(__xludf.DUMMYFUNCTION("vlookup($A561,importrange(""1fyGnaViAX9kns28pvsfPvI9925sAI7kxPlM7jpuHVJM"",""Validation!A:Z""),23,0)"),"Shreepad Dhok")</f>
        <v>Shreepad Dhok</v>
      </c>
      <c r="G561" s="6" t="str">
        <f>IFERROR(__xludf.DUMMYFUNCTION("vlookup(A561,importrange(""1fyGnaViAX9kns28pvsfPvI9925sAI7kxPlM7jpuHVJM"",""Validation!A:Z""),22,0)"),"Cluster - Shreepad")</f>
        <v>Cluster - Shreepad</v>
      </c>
      <c r="H561" s="4" t="str">
        <f>IFERROR(__xludf.DUMMYFUNCTION("vlookup(C561,importrange(""1kw74ismGU34AsZ5x-W4x7F3Zt2xc8NSYcCVMrCJBmdQ"",""DRP for 8 products!B:C""),2,0)"),"DATMPFQD4")</f>
        <v>DATMPFQD4</v>
      </c>
      <c r="I561" s="7">
        <f>IFERROR(__xludf.DUMMYFUNCTION("vlookup(C561,importrange(""1kw74ismGU34AsZ5x-W4x7F3Zt2xc8NSYcCVMrCJBmdQ"",""DRP for 8 products!B:E""),4,0)"),39.0)</f>
        <v>39</v>
      </c>
      <c r="J561" s="8" t="str">
        <f t="shared" si="1"/>
        <v>Tier 2</v>
      </c>
      <c r="K561" s="9" t="str">
        <f t="shared" si="2"/>
        <v>Active</v>
      </c>
      <c r="L561" s="4" t="str">
        <f>IFERROR(__xludf.DUMMYFUNCTION("vlookup(C561,importrange(""1kw74ismGU34AsZ5x-W4x7F3Zt2xc8NSYcCVMrCJBmdQ"",""DRP for 8 products!B:H""),6,0)"),"BigQuery")</f>
        <v>BigQuery</v>
      </c>
      <c r="M561" s="10" t="str">
        <f t="shared" si="3"/>
        <v>Yes</v>
      </c>
    </row>
    <row r="562">
      <c r="A562" s="4" t="str">
        <f>IFERROR(__xludf.DUMMYFUNCTION("vlookup(C562,IMPORTRANGE(""1Kgoo8qyo6zMtf_5B03ksZz228jg0XpZ4_KXsdHQ4Vks"",""14 Sept!A:B""),2,0)"),"DME1026")</f>
        <v>DME1026</v>
      </c>
      <c r="B562" s="5" t="str">
        <f>IFERROR(__xludf.DUMMYFUNCTION("""COMPUTED_VALUE"""),"Kalpa Sharma")</f>
        <v>Kalpa Sharma</v>
      </c>
      <c r="C562" s="5" t="str">
        <f>IFERROR(__xludf.DUMMYFUNCTION("""COMPUTED_VALUE"""),"kalpa.sharma@onixnet.com")</f>
        <v>kalpa.sharma@onixnet.com</v>
      </c>
      <c r="D562" s="4" t="s">
        <v>11</v>
      </c>
      <c r="E562" s="6" t="str">
        <f>IFERROR(__xludf.DUMMYFUNCTION("vlookup($A562,importrange(""1fyGnaViAX9kns28pvsfPvI9925sAI7kxPlM7jpuHVJM"",""Validation!A:Z""),11,0)"),"Eagle Assessment")</f>
        <v>Eagle Assessment</v>
      </c>
      <c r="F562" s="6" t="str">
        <f>IFERROR(__xludf.DUMMYFUNCTION("vlookup($A562,importrange(""1fyGnaViAX9kns28pvsfPvI9925sAI7kxPlM7jpuHVJM"",""Validation!A:Z""),23,0)"),"Niraj Kumar")</f>
        <v>Niraj Kumar</v>
      </c>
      <c r="G562" s="6" t="str">
        <f>IFERROR(__xludf.DUMMYFUNCTION("vlookup(A562,importrange(""1fyGnaViAX9kns28pvsfPvI9925sAI7kxPlM7jpuHVJM"",""Validation!A:Z""),22,0)"),"Cluster - Niraj")</f>
        <v>Cluster - Niraj</v>
      </c>
      <c r="H562" s="4" t="str">
        <f>IFERROR(__xludf.DUMMYFUNCTION("vlookup(C562,importrange(""1kw74ismGU34AsZ5x-W4x7F3Zt2xc8NSYcCVMrCJBmdQ"",""DRP for 8 products!B:C""),2,0)"),"DATKSEQK7")</f>
        <v>DATKSEQK7</v>
      </c>
      <c r="I562" s="7">
        <f>IFERROR(__xludf.DUMMYFUNCTION("vlookup(C562,importrange(""1kw74ismGU34AsZ5x-W4x7F3Zt2xc8NSYcCVMrCJBmdQ"",""DRP for 8 products!B:E""),4,0)"),5.0)</f>
        <v>5</v>
      </c>
      <c r="J562" s="8" t="str">
        <f t="shared" si="1"/>
        <v>Tier 4</v>
      </c>
      <c r="K562" s="9" t="str">
        <f t="shared" si="2"/>
        <v>Active</v>
      </c>
      <c r="L562" s="4" t="str">
        <f>IFERROR(__xludf.DUMMYFUNCTION("vlookup(C562,importrange(""1kw74ismGU34AsZ5x-W4x7F3Zt2xc8NSYcCVMrCJBmdQ"",""DRP for 8 products!B:H""),6,0)"),"BigQuery")</f>
        <v>BigQuery</v>
      </c>
      <c r="M562" s="10" t="str">
        <f t="shared" si="3"/>
        <v>Yes</v>
      </c>
    </row>
    <row r="563">
      <c r="A563" s="4" t="str">
        <f>IFERROR(__xludf.DUMMYFUNCTION("vlookup(C563,IMPORTRANGE(""1Kgoo8qyo6zMtf_5B03ksZz228jg0XpZ4_KXsdHQ4Vks"",""14 Sept!A:B""),2,0)"),"DME1751")</f>
        <v>DME1751</v>
      </c>
      <c r="B563" s="5" t="str">
        <f>IFERROR(__xludf.DUMMYFUNCTION("""COMPUTED_VALUE"""),"Vaibhav Patil")</f>
        <v>Vaibhav Patil</v>
      </c>
      <c r="C563" s="5" t="str">
        <f>IFERROR(__xludf.DUMMYFUNCTION("""COMPUTED_VALUE"""),"vaibhav.patil@onixnet.com")</f>
        <v>vaibhav.patil@onixnet.com</v>
      </c>
      <c r="D563" s="4" t="s">
        <v>11</v>
      </c>
      <c r="E563" s="6" t="str">
        <f>IFERROR(__xludf.DUMMYFUNCTION("vlookup($A563,importrange(""1fyGnaViAX9kns28pvsfPvI9925sAI7kxPlM7jpuHVJM"",""Validation!A:Z""),11,0)"),"Delivery Services")</f>
        <v>Delivery Services</v>
      </c>
      <c r="F563" s="6" t="str">
        <f>IFERROR(__xludf.DUMMYFUNCTION("vlookup($A563,importrange(""1fyGnaViAX9kns28pvsfPvI9925sAI7kxPlM7jpuHVJM"",""Validation!A:Z""),23,0)"),"Priyanka Jain")</f>
        <v>Priyanka Jain</v>
      </c>
      <c r="G563" s="6" t="str">
        <f>IFERROR(__xludf.DUMMYFUNCTION("vlookup(A563,importrange(""1fyGnaViAX9kns28pvsfPvI9925sAI7kxPlM7jpuHVJM"",""Validation!A:Z""),22,0)"),"Cluster - Sagar")</f>
        <v>Cluster - Sagar</v>
      </c>
      <c r="H563" s="4" t="str">
        <f>IFERROR(__xludf.DUMMYFUNCTION("vlookup(C563,importrange(""1kw74ismGU34AsZ5x-W4x7F3Zt2xc8NSYcCVMrCJBmdQ"",""DRP for 8 products!B:C""),2,0)"),"DATVPQYR2")</f>
        <v>DATVPQYR2</v>
      </c>
      <c r="I563" s="7">
        <f>IFERROR(__xludf.DUMMYFUNCTION("vlookup(C563,importrange(""1kw74ismGU34AsZ5x-W4x7F3Zt2xc8NSYcCVMrCJBmdQ"",""DRP for 8 products!B:E""),4,0)"),27.0)</f>
        <v>27</v>
      </c>
      <c r="J563" s="8" t="str">
        <f t="shared" si="1"/>
        <v>Tier 3</v>
      </c>
      <c r="K563" s="9" t="str">
        <f t="shared" si="2"/>
        <v>Active</v>
      </c>
      <c r="L563" s="4" t="str">
        <f>IFERROR(__xludf.DUMMYFUNCTION("vlookup(C563,importrange(""1kw74ismGU34AsZ5x-W4x7F3Zt2xc8NSYcCVMrCJBmdQ"",""DRP for 8 products!B:H""),6,0)"),"BigQuery")</f>
        <v>BigQuery</v>
      </c>
      <c r="M563" s="10" t="str">
        <f t="shared" si="3"/>
        <v>Yes</v>
      </c>
    </row>
    <row r="564">
      <c r="A564" s="4" t="str">
        <f>IFERROR(__xludf.DUMMYFUNCTION("vlookup(C564,IMPORTRANGE(""1Kgoo8qyo6zMtf_5B03ksZz228jg0XpZ4_KXsdHQ4Vks"",""14 Sept!A:B""),2,0)"),"DME1162")</f>
        <v>DME1162</v>
      </c>
      <c r="B564" s="5" t="str">
        <f>IFERROR(__xludf.DUMMYFUNCTION("""COMPUTED_VALUE"""),"Shashikant Pedate")</f>
        <v>Shashikant Pedate</v>
      </c>
      <c r="C564" s="5" t="str">
        <f>IFERROR(__xludf.DUMMYFUNCTION("""COMPUTED_VALUE"""),"shashikant.pedate@onixnet.com")</f>
        <v>shashikant.pedate@onixnet.com</v>
      </c>
      <c r="D564" s="4" t="s">
        <v>11</v>
      </c>
      <c r="E564" s="6" t="str">
        <f>IFERROR(__xludf.DUMMYFUNCTION("vlookup($A564,importrange(""1fyGnaViAX9kns28pvsfPvI9925sAI7kxPlM7jpuHVJM"",""Validation!A:Z""),11,0)"),"Delivery Services")</f>
        <v>Delivery Services</v>
      </c>
      <c r="F564" s="6" t="str">
        <f>IFERROR(__xludf.DUMMYFUNCTION("vlookup($A564,importrange(""1fyGnaViAX9kns28pvsfPvI9925sAI7kxPlM7jpuHVJM"",""Validation!A:Z""),23,0)"),"Ashwini Kumar")</f>
        <v>Ashwini Kumar</v>
      </c>
      <c r="G564" s="6" t="str">
        <f>IFERROR(__xludf.DUMMYFUNCTION("vlookup(A564,importrange(""1fyGnaViAX9kns28pvsfPvI9925sAI7kxPlM7jpuHVJM"",""Validation!A:Z""),22,0)"),"Cluster - Kanhaiya")</f>
        <v>Cluster - Kanhaiya</v>
      </c>
      <c r="H564" s="4" t="str">
        <f>IFERROR(__xludf.DUMMYFUNCTION("vlookup(C564,importrange(""1kw74ismGU34AsZ5x-W4x7F3Zt2xc8NSYcCVMrCJBmdQ"",""DRP for 8 products!B:C""),2,0)"),"DATSPVEN6")</f>
        <v>DATSPVEN6</v>
      </c>
      <c r="I564" s="7">
        <f>IFERROR(__xludf.DUMMYFUNCTION("vlookup(C564,importrange(""1kw74ismGU34AsZ5x-W4x7F3Zt2xc8NSYcCVMrCJBmdQ"",""DRP for 8 products!B:E""),4,0)"),54.0)</f>
        <v>54</v>
      </c>
      <c r="J564" s="8" t="str">
        <f t="shared" si="1"/>
        <v>Tier 1</v>
      </c>
      <c r="K564" s="9" t="str">
        <f t="shared" si="2"/>
        <v>Active</v>
      </c>
      <c r="L564" s="4" t="str">
        <f>IFERROR(__xludf.DUMMYFUNCTION("vlookup(C564,importrange(""1kw74ismGU34AsZ5x-W4x7F3Zt2xc8NSYcCVMrCJBmdQ"",""DRP for 8 products!B:H""),6,0)"),"BigQuery")</f>
        <v>BigQuery</v>
      </c>
      <c r="M564" s="10" t="str">
        <f t="shared" si="3"/>
        <v>Yes</v>
      </c>
    </row>
    <row r="565">
      <c r="A565" s="4" t="str">
        <f>IFERROR(__xludf.DUMMYFUNCTION("vlookup(C565,IMPORTRANGE(""1Kgoo8qyo6zMtf_5B03ksZz228jg0XpZ4_KXsdHQ4Vks"",""14 Sept!A:B""),2,0)"),"DME0793")</f>
        <v>DME0793</v>
      </c>
      <c r="B565" s="5" t="str">
        <f>IFERROR(__xludf.DUMMYFUNCTION("""COMPUTED_VALUE"""),"Akshay Sarap")</f>
        <v>Akshay Sarap</v>
      </c>
      <c r="C565" s="5" t="str">
        <f>IFERROR(__xludf.DUMMYFUNCTION("""COMPUTED_VALUE"""),"akshay.sarap@onixnet.com")</f>
        <v>akshay.sarap@onixnet.com</v>
      </c>
      <c r="D565" s="4" t="s">
        <v>11</v>
      </c>
      <c r="E565" s="6" t="str">
        <f>IFERROR(__xludf.DUMMYFUNCTION("vlookup($A565,importrange(""1fyGnaViAX9kns28pvsfPvI9925sAI7kxPlM7jpuHVJM"",""Validation!A:Z""),11,0)"),"Professional Services")</f>
        <v>Professional Services</v>
      </c>
      <c r="F565" s="6" t="str">
        <f>IFERROR(__xludf.DUMMYFUNCTION("vlookup($A565,importrange(""1fyGnaViAX9kns28pvsfPvI9925sAI7kxPlM7jpuHVJM"",""Validation!A:Z""),23,0)"),"Ritu Garg")</f>
        <v>Ritu Garg</v>
      </c>
      <c r="G565" s="6" t="str">
        <f>IFERROR(__xludf.DUMMYFUNCTION("vlookup(A565,importrange(""1fyGnaViAX9kns28pvsfPvI9925sAI7kxPlM7jpuHVJM"",""Validation!A:Z""),22,0)"),"Cluster - Kalpa")</f>
        <v>Cluster - Kalpa</v>
      </c>
      <c r="H565" s="4" t="str">
        <f>IFERROR(__xludf.DUMMYFUNCTION("vlookup(C565,importrange(""1kw74ismGU34AsZ5x-W4x7F3Zt2xc8NSYcCVMrCJBmdQ"",""DRP for 8 products!B:C""),2,0)"),"DATASBCT9")</f>
        <v>DATASBCT9</v>
      </c>
      <c r="I565" s="7">
        <f>IFERROR(__xludf.DUMMYFUNCTION("vlookup(C565,importrange(""1kw74ismGU34AsZ5x-W4x7F3Zt2xc8NSYcCVMrCJBmdQ"",""DRP for 8 products!B:E""),4,0)"),27.0)</f>
        <v>27</v>
      </c>
      <c r="J565" s="8" t="str">
        <f t="shared" si="1"/>
        <v>Tier 3</v>
      </c>
      <c r="K565" s="9" t="str">
        <f t="shared" si="2"/>
        <v>Active</v>
      </c>
      <c r="L565" s="4" t="str">
        <f>IFERROR(__xludf.DUMMYFUNCTION("vlookup(C565,importrange(""1kw74ismGU34AsZ5x-W4x7F3Zt2xc8NSYcCVMrCJBmdQ"",""DRP for 8 products!B:H""),6,0)"),"BigQuery")</f>
        <v>BigQuery</v>
      </c>
      <c r="M565" s="10" t="str">
        <f t="shared" si="3"/>
        <v>Yes</v>
      </c>
    </row>
    <row r="566">
      <c r="A566" s="4" t="str">
        <f>IFERROR(__xludf.DUMMYFUNCTION("vlookup(C566,IMPORTRANGE(""1Kgoo8qyo6zMtf_5B03ksZz228jg0XpZ4_KXsdHQ4Vks"",""14 Sept!A:B""),2,0)"),"DME3403")</f>
        <v>DME3403</v>
      </c>
      <c r="B566" s="5" t="str">
        <f>IFERROR(__xludf.DUMMYFUNCTION("""COMPUTED_VALUE"""),"Kunal Bhandari")</f>
        <v>Kunal Bhandari</v>
      </c>
      <c r="C566" s="5" t="str">
        <f>IFERROR(__xludf.DUMMYFUNCTION("""COMPUTED_VALUE"""),"kunal.bhandari@onixnet.com")</f>
        <v>kunal.bhandari@onixnet.com</v>
      </c>
      <c r="D566" s="4" t="s">
        <v>11</v>
      </c>
      <c r="E566" s="6" t="str">
        <f>IFERROR(__xludf.DUMMYFUNCTION("vlookup($A566,importrange(""1fyGnaViAX9kns28pvsfPvI9925sAI7kxPlM7jpuHVJM"",""Validation!A:Z""),11,0)"),"Delivery Services")</f>
        <v>Delivery Services</v>
      </c>
      <c r="F566" s="6" t="str">
        <f>IFERROR(__xludf.DUMMYFUNCTION("vlookup($A566,importrange(""1fyGnaViAX9kns28pvsfPvI9925sAI7kxPlM7jpuHVJM"",""Validation!A:Z""),23,0)"),"Amit Argade")</f>
        <v>Amit Argade</v>
      </c>
      <c r="G566" s="6" t="str">
        <f>IFERROR(__xludf.DUMMYFUNCTION("vlookup(A566,importrange(""1fyGnaViAX9kns28pvsfPvI9925sAI7kxPlM7jpuHVJM"",""Validation!A:Z""),22,0)"),"Cluster - Sagar")</f>
        <v>Cluster - Sagar</v>
      </c>
      <c r="H566" s="4" t="str">
        <f>IFERROR(__xludf.DUMMYFUNCTION("vlookup(C566,importrange(""1kw74ismGU34AsZ5x-W4x7F3Zt2xc8NSYcCVMrCJBmdQ"",""DRP for 8 products!B:C""),2,0)"),"DATKBLWJ3")</f>
        <v>DATKBLWJ3</v>
      </c>
      <c r="I566" s="7">
        <f>IFERROR(__xludf.DUMMYFUNCTION("vlookup(C566,importrange(""1kw74ismGU34AsZ5x-W4x7F3Zt2xc8NSYcCVMrCJBmdQ"",""DRP for 8 products!B:E""),4,0)"),22.0)</f>
        <v>22</v>
      </c>
      <c r="J566" s="8" t="str">
        <f t="shared" si="1"/>
        <v>Tier 3</v>
      </c>
      <c r="K566" s="9" t="str">
        <f t="shared" si="2"/>
        <v>Active</v>
      </c>
      <c r="L566" s="4" t="str">
        <f>IFERROR(__xludf.DUMMYFUNCTION("vlookup(C566,importrange(""1kw74ismGU34AsZ5x-W4x7F3Zt2xc8NSYcCVMrCJBmdQ"",""DRP for 8 products!B:H""),6,0)"),"BigQuery")</f>
        <v>BigQuery</v>
      </c>
      <c r="M566" s="10" t="str">
        <f t="shared" si="3"/>
        <v>Yes</v>
      </c>
    </row>
    <row r="567">
      <c r="A567" s="4" t="str">
        <f>IFERROR(__xludf.DUMMYFUNCTION("vlookup(C567,IMPORTRANGE(""1Kgoo8qyo6zMtf_5B03ksZz228jg0XpZ4_KXsdHQ4Vks"",""14 Sept!A:B""),2,0)"),"DME1409")</f>
        <v>DME1409</v>
      </c>
      <c r="B567" s="5" t="str">
        <f>IFERROR(__xludf.DUMMYFUNCTION("""COMPUTED_VALUE"""),"Nehin Maknojia")</f>
        <v>Nehin Maknojia</v>
      </c>
      <c r="C567" s="5" t="str">
        <f>IFERROR(__xludf.DUMMYFUNCTION("""COMPUTED_VALUE"""),"nehin.maknojia@onixnet.com")</f>
        <v>nehin.maknojia@onixnet.com</v>
      </c>
      <c r="D567" s="4" t="s">
        <v>11</v>
      </c>
      <c r="E567" s="6" t="str">
        <f>IFERROR(__xludf.DUMMYFUNCTION("vlookup($A567,importrange(""1fyGnaViAX9kns28pvsfPvI9925sAI7kxPlM7jpuHVJM"",""Validation!A:Z""),11,0)"),"Delivery Services")</f>
        <v>Delivery Services</v>
      </c>
      <c r="F567" s="6" t="str">
        <f>IFERROR(__xludf.DUMMYFUNCTION("vlookup($A567,importrange(""1fyGnaViAX9kns28pvsfPvI9925sAI7kxPlM7jpuHVJM"",""Validation!A:Z""),23,0)"),"Vedant Bhogawade")</f>
        <v>Vedant Bhogawade</v>
      </c>
      <c r="G567" s="6" t="str">
        <f>IFERROR(__xludf.DUMMYFUNCTION("vlookup(A567,importrange(""1fyGnaViAX9kns28pvsfPvI9925sAI7kxPlM7jpuHVJM"",""Validation!A:Z""),22,0)"),"Cluster - Varun")</f>
        <v>Cluster - Varun</v>
      </c>
      <c r="H567" s="4" t="str">
        <f>IFERROR(__xludf.DUMMYFUNCTION("vlookup(C567,importrange(""1kw74ismGU34AsZ5x-W4x7F3Zt2xc8NSYcCVMrCJBmdQ"",""DRP for 8 products!B:C""),2,0)"),"DATNMSKX1")</f>
        <v>DATNMSKX1</v>
      </c>
      <c r="I567" s="7">
        <f>IFERROR(__xludf.DUMMYFUNCTION("vlookup(C567,importrange(""1kw74ismGU34AsZ5x-W4x7F3Zt2xc8NSYcCVMrCJBmdQ"",""DRP for 8 products!B:E""),4,0)"),54.0)</f>
        <v>54</v>
      </c>
      <c r="J567" s="8" t="str">
        <f t="shared" si="1"/>
        <v>Tier 1</v>
      </c>
      <c r="K567" s="9" t="str">
        <f t="shared" si="2"/>
        <v>Active</v>
      </c>
      <c r="L567" s="4" t="str">
        <f>IFERROR(__xludf.DUMMYFUNCTION("vlookup(C567,importrange(""1kw74ismGU34AsZ5x-W4x7F3Zt2xc8NSYcCVMrCJBmdQ"",""DRP for 8 products!B:H""),6,0)"),"BigQuery")</f>
        <v>BigQuery</v>
      </c>
      <c r="M567" s="10" t="str">
        <f t="shared" si="3"/>
        <v>Yes</v>
      </c>
    </row>
    <row r="568">
      <c r="A568" s="4" t="str">
        <f>IFERROR(__xludf.DUMMYFUNCTION("vlookup(C568,IMPORTRANGE(""1Kgoo8qyo6zMtf_5B03ksZz228jg0XpZ4_KXsdHQ4Vks"",""14 Sept!A:B""),2,0)"),"DME1620")</f>
        <v>DME1620</v>
      </c>
      <c r="B568" s="5" t="str">
        <f>IFERROR(__xludf.DUMMYFUNCTION("""COMPUTED_VALUE"""),"Suleman Shaikh")</f>
        <v>Suleman Shaikh</v>
      </c>
      <c r="C568" s="5" t="str">
        <f>IFERROR(__xludf.DUMMYFUNCTION("""COMPUTED_VALUE"""),"suleman.shaikh@onixnet.com")</f>
        <v>suleman.shaikh@onixnet.com</v>
      </c>
      <c r="D568" s="4" t="s">
        <v>11</v>
      </c>
      <c r="E568" s="6" t="str">
        <f>IFERROR(__xludf.DUMMYFUNCTION("vlookup($A568,importrange(""1fyGnaViAX9kns28pvsfPvI9925sAI7kxPlM7jpuHVJM"",""Validation!A:Z""),11,0)"),"Delivery Services")</f>
        <v>Delivery Services</v>
      </c>
      <c r="F568" s="6" t="str">
        <f>IFERROR(__xludf.DUMMYFUNCTION("vlookup($A568,importrange(""1fyGnaViAX9kns28pvsfPvI9925sAI7kxPlM7jpuHVJM"",""Validation!A:Z""),23,0)"),"Marut Misra")</f>
        <v>Marut Misra</v>
      </c>
      <c r="G568" s="6" t="str">
        <f>IFERROR(__xludf.DUMMYFUNCTION("vlookup(A568,importrange(""1fyGnaViAX9kns28pvsfPvI9925sAI7kxPlM7jpuHVJM"",""Validation!A:Z""),22,0)"),"Cluster - Sachin")</f>
        <v>Cluster - Sachin</v>
      </c>
      <c r="H568" s="4" t="str">
        <f>IFERROR(__xludf.DUMMYFUNCTION("vlookup(C568,importrange(""1kw74ismGU34AsZ5x-W4x7F3Zt2xc8NSYcCVMrCJBmdQ"",""DRP for 8 products!B:C""),2,0)"),"DATSSYQT5")</f>
        <v>DATSSYQT5</v>
      </c>
      <c r="I568" s="7">
        <f>IFERROR(__xludf.DUMMYFUNCTION("vlookup(C568,importrange(""1kw74ismGU34AsZ5x-W4x7F3Zt2xc8NSYcCVMrCJBmdQ"",""DRP for 8 products!B:E""),4,0)"),29.0)</f>
        <v>29</v>
      </c>
      <c r="J568" s="8" t="str">
        <f t="shared" si="1"/>
        <v>Tier 3</v>
      </c>
      <c r="K568" s="9" t="str">
        <f t="shared" si="2"/>
        <v>Active</v>
      </c>
      <c r="L568" s="4" t="str">
        <f>IFERROR(__xludf.DUMMYFUNCTION("vlookup(C568,importrange(""1kw74ismGU34AsZ5x-W4x7F3Zt2xc8NSYcCVMrCJBmdQ"",""DRP for 8 products!B:H""),6,0)"),"BigQuery")</f>
        <v>BigQuery</v>
      </c>
      <c r="M568" s="10" t="str">
        <f t="shared" si="3"/>
        <v>Yes</v>
      </c>
    </row>
    <row r="569">
      <c r="A569" s="4" t="str">
        <f>IFERROR(__xludf.DUMMYFUNCTION("vlookup(C569,IMPORTRANGE(""1Kgoo8qyo6zMtf_5B03ksZz228jg0XpZ4_KXsdHQ4Vks"",""14 Sept!A:B""),2,0)"),"DME1295")</f>
        <v>DME1295</v>
      </c>
      <c r="B569" s="5" t="str">
        <f>IFERROR(__xludf.DUMMYFUNCTION("""COMPUTED_VALUE"""),"JUILI BORIKAR")</f>
        <v>JUILI BORIKAR</v>
      </c>
      <c r="C569" s="5" t="str">
        <f>IFERROR(__xludf.DUMMYFUNCTION("""COMPUTED_VALUE"""),"juili.borikar@onixnet.com")</f>
        <v>juili.borikar@onixnet.com</v>
      </c>
      <c r="D569" s="4" t="s">
        <v>11</v>
      </c>
      <c r="E569" s="6" t="str">
        <f>IFERROR(__xludf.DUMMYFUNCTION("vlookup($A569,importrange(""1fyGnaViAX9kns28pvsfPvI9925sAI7kxPlM7jpuHVJM"",""Validation!A:Z""),11,0)"),"Delivery Services")</f>
        <v>Delivery Services</v>
      </c>
      <c r="F569" s="6" t="str">
        <f>IFERROR(__xludf.DUMMYFUNCTION("vlookup($A569,importrange(""1fyGnaViAX9kns28pvsfPvI9925sAI7kxPlM7jpuHVJM"",""Validation!A:Z""),23,0)"),"Jitender Singh")</f>
        <v>Jitender Singh</v>
      </c>
      <c r="G569" s="6" t="str">
        <f>IFERROR(__xludf.DUMMYFUNCTION("vlookup(A569,importrange(""1fyGnaViAX9kns28pvsfPvI9925sAI7kxPlM7jpuHVJM"",""Validation!A:Z""),22,0)"),"Cluster - Gaurav")</f>
        <v>Cluster - Gaurav</v>
      </c>
      <c r="H569" s="4" t="str">
        <f>IFERROR(__xludf.DUMMYFUNCTION("vlookup(C569,importrange(""1kw74ismGU34AsZ5x-W4x7F3Zt2xc8NSYcCVMrCJBmdQ"",""DRP for 8 products!B:C""),2,0)"),"DATJBBRL2")</f>
        <v>DATJBBRL2</v>
      </c>
      <c r="I569" s="7">
        <f>IFERROR(__xludf.DUMMYFUNCTION("vlookup(C569,importrange(""1kw74ismGU34AsZ5x-W4x7F3Zt2xc8NSYcCVMrCJBmdQ"",""DRP for 8 products!B:E""),4,0)"),14.0)</f>
        <v>14</v>
      </c>
      <c r="J569" s="8" t="str">
        <f t="shared" si="1"/>
        <v>Tier 4</v>
      </c>
      <c r="K569" s="9" t="str">
        <f t="shared" si="2"/>
        <v>Active</v>
      </c>
      <c r="L569" s="4" t="str">
        <f>IFERROR(__xludf.DUMMYFUNCTION("vlookup(C569,importrange(""1kw74ismGU34AsZ5x-W4x7F3Zt2xc8NSYcCVMrCJBmdQ"",""DRP for 8 products!B:H""),6,0)"),"BigQuery")</f>
        <v>BigQuery</v>
      </c>
      <c r="M569" s="10" t="str">
        <f t="shared" si="3"/>
        <v>Yes</v>
      </c>
    </row>
    <row r="570">
      <c r="A570" s="4" t="str">
        <f>IFERROR(__xludf.DUMMYFUNCTION("vlookup(C570,IMPORTRANGE(""1Kgoo8qyo6zMtf_5B03ksZz228jg0XpZ4_KXsdHQ4Vks"",""14 Sept!A:B""),2,0)"),"DME0592")</f>
        <v>DME0592</v>
      </c>
      <c r="B570" s="5" t="str">
        <f>IFERROR(__xludf.DUMMYFUNCTION("""COMPUTED_VALUE"""),"Varunesh Khandelwal")</f>
        <v>Varunesh Khandelwal</v>
      </c>
      <c r="C570" s="5" t="str">
        <f>IFERROR(__xludf.DUMMYFUNCTION("""COMPUTED_VALUE"""),"varunesh.k@onixnet.com")</f>
        <v>varunesh.k@onixnet.com</v>
      </c>
      <c r="D570" s="4" t="s">
        <v>11</v>
      </c>
      <c r="E570" s="6" t="str">
        <f>IFERROR(__xludf.DUMMYFUNCTION("vlookup($A570,importrange(""1fyGnaViAX9kns28pvsfPvI9925sAI7kxPlM7jpuHVJM"",""Validation!A:Z""),11,0)"),"Delivery Services")</f>
        <v>Delivery Services</v>
      </c>
      <c r="F570" s="6" t="str">
        <f>IFERROR(__xludf.DUMMYFUNCTION("vlookup($A570,importrange(""1fyGnaViAX9kns28pvsfPvI9925sAI7kxPlM7jpuHVJM"",""Validation!A:Z""),23,0)"),"Gaurav Bharara")</f>
        <v>Gaurav Bharara</v>
      </c>
      <c r="G570" s="6" t="str">
        <f>IFERROR(__xludf.DUMMYFUNCTION("vlookup(A570,importrange(""1fyGnaViAX9kns28pvsfPvI9925sAI7kxPlM7jpuHVJM"",""Validation!A:Z""),22,0)"),"Cluster - Gaurav")</f>
        <v>Cluster - Gaurav</v>
      </c>
      <c r="H570" s="4" t="str">
        <f>IFERROR(__xludf.DUMMYFUNCTION("vlookup(C570,importrange(""1kw74ismGU34AsZ5x-W4x7F3Zt2xc8NSYcCVMrCJBmdQ"",""DRP for 8 products!B:C""),2,0)"),"DATVKMIJ4")</f>
        <v>DATVKMIJ4</v>
      </c>
      <c r="I570" s="7">
        <f>IFERROR(__xludf.DUMMYFUNCTION("vlookup(C570,importrange(""1kw74ismGU34AsZ5x-W4x7F3Zt2xc8NSYcCVMrCJBmdQ"",""DRP for 8 products!B:E""),4,0)"),64.0)</f>
        <v>64</v>
      </c>
      <c r="J570" s="8" t="str">
        <f t="shared" si="1"/>
        <v>Tier 1</v>
      </c>
      <c r="K570" s="9" t="str">
        <f t="shared" si="2"/>
        <v>Active</v>
      </c>
      <c r="L570" s="4" t="str">
        <f>IFERROR(__xludf.DUMMYFUNCTION("vlookup(C570,importrange(""1kw74ismGU34AsZ5x-W4x7F3Zt2xc8NSYcCVMrCJBmdQ"",""DRP for 8 products!B:H""),6,0)"),"BigQuery")</f>
        <v>BigQuery</v>
      </c>
      <c r="M570" s="10" t="str">
        <f t="shared" si="3"/>
        <v>Yes</v>
      </c>
    </row>
    <row r="571">
      <c r="A571" s="4" t="str">
        <f>IFERROR(__xludf.DUMMYFUNCTION("vlookup(C571,IMPORTRANGE(""1Kgoo8qyo6zMtf_5B03ksZz228jg0XpZ4_KXsdHQ4Vks"",""14 Sept!A:B""),2,0)"),"DME2046")</f>
        <v>DME2046</v>
      </c>
      <c r="B571" s="5" t="str">
        <f>IFERROR(__xludf.DUMMYFUNCTION("""COMPUTED_VALUE"""),"Vaibhav Gole")</f>
        <v>Vaibhav Gole</v>
      </c>
      <c r="C571" s="5" t="str">
        <f>IFERROR(__xludf.DUMMYFUNCTION("""COMPUTED_VALUE"""),"vaibhav.gole@onixnet.com")</f>
        <v>vaibhav.gole@onixnet.com</v>
      </c>
      <c r="D571" s="4" t="s">
        <v>11</v>
      </c>
      <c r="E571" s="6" t="str">
        <f>IFERROR(__xludf.DUMMYFUNCTION("vlookup($A571,importrange(""1fyGnaViAX9kns28pvsfPvI9925sAI7kxPlM7jpuHVJM"",""Validation!A:Z""),11,0)"),"Delivery Services")</f>
        <v>Delivery Services</v>
      </c>
      <c r="F571" s="6" t="str">
        <f>IFERROR(__xludf.DUMMYFUNCTION("vlookup($A571,importrange(""1fyGnaViAX9kns28pvsfPvI9925sAI7kxPlM7jpuHVJM"",""Validation!A:Z""),23,0)"),"Varun Katyal")</f>
        <v>Varun Katyal</v>
      </c>
      <c r="G571" s="6" t="str">
        <f>IFERROR(__xludf.DUMMYFUNCTION("vlookup(A571,importrange(""1fyGnaViAX9kns28pvsfPvI9925sAI7kxPlM7jpuHVJM"",""Validation!A:Z""),22,0)"),"Cluster - Varun")</f>
        <v>Cluster - Varun</v>
      </c>
      <c r="H571" s="4" t="str">
        <f>IFERROR(__xludf.DUMMYFUNCTION("vlookup(C571,importrange(""1kw74ismGU34AsZ5x-W4x7F3Zt2xc8NSYcCVMrCJBmdQ"",""DRP for 8 products!B:C""),2,0)"),"DATVGJRH3")</f>
        <v>DATVGJRH3</v>
      </c>
      <c r="I571" s="7">
        <f>IFERROR(__xludf.DUMMYFUNCTION("vlookup(C571,importrange(""1kw74ismGU34AsZ5x-W4x7F3Zt2xc8NSYcCVMrCJBmdQ"",""DRP for 8 products!B:E""),4,0)"),16.0)</f>
        <v>16</v>
      </c>
      <c r="J571" s="8" t="str">
        <f t="shared" si="1"/>
        <v>Tier 4</v>
      </c>
      <c r="K571" s="9" t="str">
        <f t="shared" si="2"/>
        <v>Active</v>
      </c>
      <c r="L571" s="4" t="str">
        <f>IFERROR(__xludf.DUMMYFUNCTION("vlookup(C571,importrange(""1kw74ismGU34AsZ5x-W4x7F3Zt2xc8NSYcCVMrCJBmdQ"",""DRP for 8 products!B:H""),6,0)"),"BigQuery")</f>
        <v>BigQuery</v>
      </c>
      <c r="M571" s="10" t="str">
        <f t="shared" si="3"/>
        <v>Yes</v>
      </c>
    </row>
    <row r="572">
      <c r="A572" s="4" t="str">
        <f>IFERROR(__xludf.DUMMYFUNCTION("vlookup(C572,IMPORTRANGE(""1Kgoo8qyo6zMtf_5B03ksZz228jg0XpZ4_KXsdHQ4Vks"",""14 Sept!A:B""),2,0)"),"DME1734")</f>
        <v>DME1734</v>
      </c>
      <c r="B572" s="5" t="str">
        <f>IFERROR(__xludf.DUMMYFUNCTION("""COMPUTED_VALUE"""),"Sonal Jadhav")</f>
        <v>Sonal Jadhav</v>
      </c>
      <c r="C572" s="5" t="str">
        <f>IFERROR(__xludf.DUMMYFUNCTION("""COMPUTED_VALUE"""),"sonal.jadhav@onixnet.com")</f>
        <v>sonal.jadhav@onixnet.com</v>
      </c>
      <c r="D572" s="4" t="s">
        <v>11</v>
      </c>
      <c r="E572" s="6" t="str">
        <f>IFERROR(__xludf.DUMMYFUNCTION("vlookup($A572,importrange(""1fyGnaViAX9kns28pvsfPvI9925sAI7kxPlM7jpuHVJM"",""Validation!A:Z""),11,0)"),"Delivery Services")</f>
        <v>Delivery Services</v>
      </c>
      <c r="F572" s="6" t="str">
        <f>IFERROR(__xludf.DUMMYFUNCTION("vlookup($A572,importrange(""1fyGnaViAX9kns28pvsfPvI9925sAI7kxPlM7jpuHVJM"",""Validation!A:Z""),23,0)"),"Jitender Singh")</f>
        <v>Jitender Singh</v>
      </c>
      <c r="G572" s="6" t="str">
        <f>IFERROR(__xludf.DUMMYFUNCTION("vlookup(A572,importrange(""1fyGnaViAX9kns28pvsfPvI9925sAI7kxPlM7jpuHVJM"",""Validation!A:Z""),22,0)"),"Cluster - Gaurav")</f>
        <v>Cluster - Gaurav</v>
      </c>
      <c r="H572" s="4" t="str">
        <f>IFERROR(__xludf.DUMMYFUNCTION("vlookup(C572,importrange(""1kw74ismGU34AsZ5x-W4x7F3Zt2xc8NSYcCVMrCJBmdQ"",""DRP for 8 products!B:C""),2,0)"),"DATSJZLE6")</f>
        <v>DATSJZLE6</v>
      </c>
      <c r="I572" s="7">
        <f>IFERROR(__xludf.DUMMYFUNCTION("vlookup(C572,importrange(""1kw74ismGU34AsZ5x-W4x7F3Zt2xc8NSYcCVMrCJBmdQ"",""DRP for 8 products!B:E""),4,0)"),51.0)</f>
        <v>51</v>
      </c>
      <c r="J572" s="8" t="str">
        <f t="shared" si="1"/>
        <v>Tier 1</v>
      </c>
      <c r="K572" s="9" t="str">
        <f t="shared" si="2"/>
        <v>Active</v>
      </c>
      <c r="L572" s="4" t="str">
        <f>IFERROR(__xludf.DUMMYFUNCTION("vlookup(C572,importrange(""1kw74ismGU34AsZ5x-W4x7F3Zt2xc8NSYcCVMrCJBmdQ"",""DRP for 8 products!B:H""),6,0)"),"BigQuery")</f>
        <v>BigQuery</v>
      </c>
      <c r="M572" s="10" t="str">
        <f t="shared" si="3"/>
        <v>Yes</v>
      </c>
    </row>
    <row r="573">
      <c r="A573" s="4" t="str">
        <f>IFERROR(__xludf.DUMMYFUNCTION("vlookup(C573,IMPORTRANGE(""1Kgoo8qyo6zMtf_5B03ksZz228jg0XpZ4_KXsdHQ4Vks"",""14 Sept!A:B""),2,0)"),"DME1749")</f>
        <v>DME1749</v>
      </c>
      <c r="B573" s="5" t="str">
        <f>IFERROR(__xludf.DUMMYFUNCTION("""COMPUTED_VALUE"""),"sandesh mogal")</f>
        <v>sandesh mogal</v>
      </c>
      <c r="C573" s="5" t="str">
        <f>IFERROR(__xludf.DUMMYFUNCTION("""COMPUTED_VALUE"""),"sandesh.mogal@onixnet.com")</f>
        <v>sandesh.mogal@onixnet.com</v>
      </c>
      <c r="D573" s="4" t="s">
        <v>11</v>
      </c>
      <c r="E573" s="6" t="str">
        <f>IFERROR(__xludf.DUMMYFUNCTION("vlookup($A573,importrange(""1fyGnaViAX9kns28pvsfPvI9925sAI7kxPlM7jpuHVJM"",""Validation!A:Z""),11,0)"),"Delivery Services")</f>
        <v>Delivery Services</v>
      </c>
      <c r="F573" s="6" t="str">
        <f>IFERROR(__xludf.DUMMYFUNCTION("vlookup($A573,importrange(""1fyGnaViAX9kns28pvsfPvI9925sAI7kxPlM7jpuHVJM"",""Validation!A:Z""),23,0)"),"Sneha Bhatambrekar")</f>
        <v>Sneha Bhatambrekar</v>
      </c>
      <c r="G573" s="6" t="str">
        <f>IFERROR(__xludf.DUMMYFUNCTION("vlookup(A573,importrange(""1fyGnaViAX9kns28pvsfPvI9925sAI7kxPlM7jpuHVJM"",""Validation!A:Z""),22,0)"),"Cluster - Sandeep")</f>
        <v>Cluster - Sandeep</v>
      </c>
      <c r="H573" s="4" t="str">
        <f>IFERROR(__xludf.DUMMYFUNCTION("vlookup(C573,importrange(""1kw74ismGU34AsZ5x-W4x7F3Zt2xc8NSYcCVMrCJBmdQ"",""DRP for 8 products!B:C""),2,0)"),"DATSMOUV2")</f>
        <v>DATSMOUV2</v>
      </c>
      <c r="I573" s="7">
        <f>IFERROR(__xludf.DUMMYFUNCTION("vlookup(C573,importrange(""1kw74ismGU34AsZ5x-W4x7F3Zt2xc8NSYcCVMrCJBmdQ"",""DRP for 8 products!B:E""),4,0)"),19.0)</f>
        <v>19</v>
      </c>
      <c r="J573" s="8" t="str">
        <f t="shared" si="1"/>
        <v>Tier 4</v>
      </c>
      <c r="K573" s="9" t="str">
        <f t="shared" si="2"/>
        <v>Active</v>
      </c>
      <c r="L573" s="4" t="str">
        <f>IFERROR(__xludf.DUMMYFUNCTION("vlookup(C573,importrange(""1kw74ismGU34AsZ5x-W4x7F3Zt2xc8NSYcCVMrCJBmdQ"",""DRP for 8 products!B:H""),6,0)"),"BigQuery")</f>
        <v>BigQuery</v>
      </c>
      <c r="M573" s="10" t="str">
        <f t="shared" si="3"/>
        <v>Yes</v>
      </c>
    </row>
    <row r="574">
      <c r="A574" s="4" t="str">
        <f>IFERROR(__xludf.DUMMYFUNCTION("vlookup(C574,IMPORTRANGE(""1Kgoo8qyo6zMtf_5B03ksZz228jg0XpZ4_KXsdHQ4Vks"",""14 Sept!A:B""),2,0)"),"DME1816")</f>
        <v>DME1816</v>
      </c>
      <c r="B574" s="5" t="str">
        <f>IFERROR(__xludf.DUMMYFUNCTION("""COMPUTED_VALUE"""),"Anjali Phulari")</f>
        <v>Anjali Phulari</v>
      </c>
      <c r="C574" s="5" t="str">
        <f>IFERROR(__xludf.DUMMYFUNCTION("""COMPUTED_VALUE"""),"anjali.phulari@onixnet.com")</f>
        <v>anjali.phulari@onixnet.com</v>
      </c>
      <c r="D574" s="4" t="s">
        <v>11</v>
      </c>
      <c r="E574" s="6" t="str">
        <f>IFERROR(__xludf.DUMMYFUNCTION("vlookup($A574,importrange(""1fyGnaViAX9kns28pvsfPvI9925sAI7kxPlM7jpuHVJM"",""Validation!A:Z""),11,0)"),"Delivery Services")</f>
        <v>Delivery Services</v>
      </c>
      <c r="F574" s="6" t="str">
        <f>IFERROR(__xludf.DUMMYFUNCTION("vlookup($A574,importrange(""1fyGnaViAX9kns28pvsfPvI9925sAI7kxPlM7jpuHVJM"",""Validation!A:Z""),23,0)"),"Ashwini Kumar")</f>
        <v>Ashwini Kumar</v>
      </c>
      <c r="G574" s="6" t="str">
        <f>IFERROR(__xludf.DUMMYFUNCTION("vlookup(A574,importrange(""1fyGnaViAX9kns28pvsfPvI9925sAI7kxPlM7jpuHVJM"",""Validation!A:Z""),22,0)"),"Cluster - Kanhaiya")</f>
        <v>Cluster - Kanhaiya</v>
      </c>
      <c r="H574" s="4" t="str">
        <f>IFERROR(__xludf.DUMMYFUNCTION("vlookup(C574,importrange(""1kw74ismGU34AsZ5x-W4x7F3Zt2xc8NSYcCVMrCJBmdQ"",""DRP for 8 products!B:C""),2,0)"),"DATAPVUL0")</f>
        <v>DATAPVUL0</v>
      </c>
      <c r="I574" s="7">
        <f>IFERROR(__xludf.DUMMYFUNCTION("vlookup(C574,importrange(""1kw74ismGU34AsZ5x-W4x7F3Zt2xc8NSYcCVMrCJBmdQ"",""DRP for 8 products!B:E""),4,0)"),24.0)</f>
        <v>24</v>
      </c>
      <c r="J574" s="8" t="str">
        <f t="shared" si="1"/>
        <v>Tier 3</v>
      </c>
      <c r="K574" s="9" t="str">
        <f t="shared" si="2"/>
        <v>Active</v>
      </c>
      <c r="L574" s="4" t="str">
        <f>IFERROR(__xludf.DUMMYFUNCTION("vlookup(C574,importrange(""1kw74ismGU34AsZ5x-W4x7F3Zt2xc8NSYcCVMrCJBmdQ"",""DRP for 8 products!B:H""),6,0)"),"Dataflow")</f>
        <v>Dataflow</v>
      </c>
      <c r="M574" s="10" t="str">
        <f t="shared" si="3"/>
        <v>Yes</v>
      </c>
    </row>
    <row r="575">
      <c r="A575" s="4" t="str">
        <f>IFERROR(__xludf.DUMMYFUNCTION("vlookup(C575,IMPORTRANGE(""1Kgoo8qyo6zMtf_5B03ksZz228jg0XpZ4_KXsdHQ4Vks"",""14 Sept!A:B""),2,0)"),"DME1766")</f>
        <v>DME1766</v>
      </c>
      <c r="B575" s="5" t="str">
        <f>IFERROR(__xludf.DUMMYFUNCTION("""COMPUTED_VALUE"""),"AVINASH SHINARE")</f>
        <v>AVINASH SHINARE</v>
      </c>
      <c r="C575" s="5" t="str">
        <f>IFERROR(__xludf.DUMMYFUNCTION("""COMPUTED_VALUE"""),"avinash.shinare@onixnet.com")</f>
        <v>avinash.shinare@onixnet.com</v>
      </c>
      <c r="D575" s="4" t="s">
        <v>11</v>
      </c>
      <c r="E575" s="6" t="str">
        <f>IFERROR(__xludf.DUMMYFUNCTION("vlookup($A575,importrange(""1fyGnaViAX9kns28pvsfPvI9925sAI7kxPlM7jpuHVJM"",""Validation!A:Z""),11,0)"),"Delivery Services")</f>
        <v>Delivery Services</v>
      </c>
      <c r="F575" s="6" t="str">
        <f>IFERROR(__xludf.DUMMYFUNCTION("vlookup($A575,importrange(""1fyGnaViAX9kns28pvsfPvI9925sAI7kxPlM7jpuHVJM"",""Validation!A:Z""),23,0)"),"Anand Saraf")</f>
        <v>Anand Saraf</v>
      </c>
      <c r="G575" s="6" t="str">
        <f>IFERROR(__xludf.DUMMYFUNCTION("vlookup(A575,importrange(""1fyGnaViAX9kns28pvsfPvI9925sAI7kxPlM7jpuHVJM"",""Validation!A:Z""),22,0)"),"Cluster - Sachin")</f>
        <v>Cluster - Sachin</v>
      </c>
      <c r="H575" s="4" t="str">
        <f>IFERROR(__xludf.DUMMYFUNCTION("vlookup(C575,importrange(""1kw74ismGU34AsZ5x-W4x7F3Zt2xc8NSYcCVMrCJBmdQ"",""DRP for 8 products!B:C""),2,0)"),"DATASQQU1")</f>
        <v>DATASQQU1</v>
      </c>
      <c r="I575" s="7">
        <f>IFERROR(__xludf.DUMMYFUNCTION("vlookup(C575,importrange(""1kw74ismGU34AsZ5x-W4x7F3Zt2xc8NSYcCVMrCJBmdQ"",""DRP for 8 products!B:E""),4,0)"),42.0)</f>
        <v>42</v>
      </c>
      <c r="J575" s="8" t="str">
        <f t="shared" si="1"/>
        <v>Tier 2</v>
      </c>
      <c r="K575" s="9" t="str">
        <f t="shared" si="2"/>
        <v>Active</v>
      </c>
      <c r="L575" s="4" t="str">
        <f>IFERROR(__xludf.DUMMYFUNCTION("vlookup(C575,importrange(""1kw74ismGU34AsZ5x-W4x7F3Zt2xc8NSYcCVMrCJBmdQ"",""DRP for 8 products!B:H""),6,0)"),"BigQuery")</f>
        <v>BigQuery</v>
      </c>
      <c r="M575" s="10" t="str">
        <f t="shared" si="3"/>
        <v>Yes</v>
      </c>
    </row>
    <row r="576">
      <c r="A576" s="4" t="str">
        <f>IFERROR(__xludf.DUMMYFUNCTION("vlookup(C576,IMPORTRANGE(""1Kgoo8qyo6zMtf_5B03ksZz228jg0XpZ4_KXsdHQ4Vks"",""14 Sept!A:B""),2,0)"),"DME0449")</f>
        <v>DME0449</v>
      </c>
      <c r="B576" s="5" t="str">
        <f>IFERROR(__xludf.DUMMYFUNCTION("""COMPUTED_VALUE"""),"Akshay Bhargava")</f>
        <v>Akshay Bhargava</v>
      </c>
      <c r="C576" s="5" t="str">
        <f>IFERROR(__xludf.DUMMYFUNCTION("""COMPUTED_VALUE"""),"akshay.bhargava@onixnet.com")</f>
        <v>akshay.bhargava@onixnet.com</v>
      </c>
      <c r="D576" s="4" t="s">
        <v>11</v>
      </c>
      <c r="E576" s="6" t="str">
        <f>IFERROR(__xludf.DUMMYFUNCTION("vlookup($A576,importrange(""1fyGnaViAX9kns28pvsfPvI9925sAI7kxPlM7jpuHVJM"",""Validation!A:Z""),11,0)"),"Delivery Services")</f>
        <v>Delivery Services</v>
      </c>
      <c r="F576" s="6" t="str">
        <f>IFERROR(__xludf.DUMMYFUNCTION("vlookup($A576,importrange(""1fyGnaViAX9kns28pvsfPvI9925sAI7kxPlM7jpuHVJM"",""Validation!A:Z""),23,0)"),"Kanhaiya Jha")</f>
        <v>Kanhaiya Jha</v>
      </c>
      <c r="G576" s="6" t="str">
        <f>IFERROR(__xludf.DUMMYFUNCTION("vlookup(A576,importrange(""1fyGnaViAX9kns28pvsfPvI9925sAI7kxPlM7jpuHVJM"",""Validation!A:Z""),22,0)"),"Cluster - Kanhaiya")</f>
        <v>Cluster - Kanhaiya</v>
      </c>
      <c r="H576" s="4" t="str">
        <f>IFERROR(__xludf.DUMMYFUNCTION("vlookup(C576,importrange(""1kw74ismGU34AsZ5x-W4x7F3Zt2xc8NSYcCVMrCJBmdQ"",""DRP for 8 products!B:C""),2,0)"),"DATABAVZ7")</f>
        <v>DATABAVZ7</v>
      </c>
      <c r="I576" s="7">
        <f>IFERROR(__xludf.DUMMYFUNCTION("vlookup(C576,importrange(""1kw74ismGU34AsZ5x-W4x7F3Zt2xc8NSYcCVMrCJBmdQ"",""DRP for 8 products!B:E""),4,0)"),55.0)</f>
        <v>55</v>
      </c>
      <c r="J576" s="8" t="str">
        <f t="shared" si="1"/>
        <v>Tier 1</v>
      </c>
      <c r="K576" s="9" t="str">
        <f t="shared" si="2"/>
        <v>Active</v>
      </c>
      <c r="L576" s="4" t="str">
        <f>IFERROR(__xludf.DUMMYFUNCTION("vlookup(C576,importrange(""1kw74ismGU34AsZ5x-W4x7F3Zt2xc8NSYcCVMrCJBmdQ"",""DRP for 8 products!B:H""),6,0)"),"BigQuery")</f>
        <v>BigQuery</v>
      </c>
      <c r="M576" s="10" t="str">
        <f t="shared" si="3"/>
        <v>Yes</v>
      </c>
    </row>
    <row r="577">
      <c r="A577" s="4" t="str">
        <f>IFERROR(__xludf.DUMMYFUNCTION("vlookup(C577,IMPORTRANGE(""1Kgoo8qyo6zMtf_5B03ksZz228jg0XpZ4_KXsdHQ4Vks"",""14 Sept!A:B""),2,0)"),"DME1932")</f>
        <v>DME1932</v>
      </c>
      <c r="B577" s="5" t="str">
        <f>IFERROR(__xludf.DUMMYFUNCTION("""COMPUTED_VALUE"""),"Vishvajit Bhusari")</f>
        <v>Vishvajit Bhusari</v>
      </c>
      <c r="C577" s="5" t="str">
        <f>IFERROR(__xludf.DUMMYFUNCTION("""COMPUTED_VALUE"""),"vishvajit.bhusari@onixnet.com")</f>
        <v>vishvajit.bhusari@onixnet.com</v>
      </c>
      <c r="D577" s="4" t="s">
        <v>11</v>
      </c>
      <c r="E577" s="6" t="str">
        <f>IFERROR(__xludf.DUMMYFUNCTION("vlookup($A577,importrange(""1fyGnaViAX9kns28pvsfPvI9925sAI7kxPlM7jpuHVJM"",""Validation!A:Z""),11,0)"),"Eagle Assessment")</f>
        <v>Eagle Assessment</v>
      </c>
      <c r="F577" s="6" t="str">
        <f>IFERROR(__xludf.DUMMYFUNCTION("vlookup($A577,importrange(""1fyGnaViAX9kns28pvsfPvI9925sAI7kxPlM7jpuHVJM"",""Validation!A:Z""),23,0)"),"Chahat Patni")</f>
        <v>Chahat Patni</v>
      </c>
      <c r="G577" s="6" t="str">
        <f>IFERROR(__xludf.DUMMYFUNCTION("vlookup(A577,importrange(""1fyGnaViAX9kns28pvsfPvI9925sAI7kxPlM7jpuHVJM"",""Validation!A:Z""),22,0)"),"Cluster - Kalpa")</f>
        <v>Cluster - Kalpa</v>
      </c>
      <c r="H577" s="4" t="str">
        <f>IFERROR(__xludf.DUMMYFUNCTION("vlookup(C577,importrange(""1kw74ismGU34AsZ5x-W4x7F3Zt2xc8NSYcCVMrCJBmdQ"",""DRP for 8 products!B:C""),2,0)"),"DATVBGQB8")</f>
        <v>DATVBGQB8</v>
      </c>
      <c r="I577" s="7">
        <f>IFERROR(__xludf.DUMMYFUNCTION("vlookup(C577,importrange(""1kw74ismGU34AsZ5x-W4x7F3Zt2xc8NSYcCVMrCJBmdQ"",""DRP for 8 products!B:E""),4,0)"),54.0)</f>
        <v>54</v>
      </c>
      <c r="J577" s="8" t="str">
        <f t="shared" si="1"/>
        <v>Tier 1</v>
      </c>
      <c r="K577" s="9" t="str">
        <f t="shared" si="2"/>
        <v>Active</v>
      </c>
      <c r="L577" s="4" t="str">
        <f>IFERROR(__xludf.DUMMYFUNCTION("vlookup(C577,importrange(""1kw74ismGU34AsZ5x-W4x7F3Zt2xc8NSYcCVMrCJBmdQ"",""DRP for 8 products!B:H""),6,0)"),"BigQuery")</f>
        <v>BigQuery</v>
      </c>
      <c r="M577" s="10" t="str">
        <f t="shared" si="3"/>
        <v>Yes</v>
      </c>
    </row>
    <row r="578">
      <c r="A578" s="4" t="str">
        <f>IFERROR(__xludf.DUMMYFUNCTION("vlookup(C578,IMPORTRANGE(""1Kgoo8qyo6zMtf_5B03ksZz228jg0XpZ4_KXsdHQ4Vks"",""14 Sept!A:B""),2,0)"),"DME1361")</f>
        <v>DME1361</v>
      </c>
      <c r="B578" s="5" t="str">
        <f>IFERROR(__xludf.DUMMYFUNCTION("""COMPUTED_VALUE"""),"Uzma Takrim")</f>
        <v>Uzma Takrim</v>
      </c>
      <c r="C578" s="5" t="str">
        <f>IFERROR(__xludf.DUMMYFUNCTION("""COMPUTED_VALUE"""),"uzma.takrim@onixnet.com")</f>
        <v>uzma.takrim@onixnet.com</v>
      </c>
      <c r="D578" s="4" t="s">
        <v>11</v>
      </c>
      <c r="E578" s="6" t="str">
        <f>IFERROR(__xludf.DUMMYFUNCTION("vlookup($A578,importrange(""1fyGnaViAX9kns28pvsfPvI9925sAI7kxPlM7jpuHVJM"",""Validation!A:Z""),11,0)"),"Delivery Services")</f>
        <v>Delivery Services</v>
      </c>
      <c r="F578" s="6" t="str">
        <f>IFERROR(__xludf.DUMMYFUNCTION("vlookup($A578,importrange(""1fyGnaViAX9kns28pvsfPvI9925sAI7kxPlM7jpuHVJM"",""Validation!A:Z""),23,0)"),"Javed Ansari")</f>
        <v>Javed Ansari</v>
      </c>
      <c r="G578" s="6" t="str">
        <f>IFERROR(__xludf.DUMMYFUNCTION("vlookup(A578,importrange(""1fyGnaViAX9kns28pvsfPvI9925sAI7kxPlM7jpuHVJM"",""Validation!A:Z""),22,0)"),"Cluster - Gaurav")</f>
        <v>Cluster - Gaurav</v>
      </c>
      <c r="H578" s="4" t="str">
        <f>IFERROR(__xludf.DUMMYFUNCTION("vlookup(C578,importrange(""1kw74ismGU34AsZ5x-W4x7F3Zt2xc8NSYcCVMrCJBmdQ"",""DRP for 8 products!B:C""),2,0)"),"DATUTPWX3")</f>
        <v>DATUTPWX3</v>
      </c>
      <c r="I578" s="7">
        <f>IFERROR(__xludf.DUMMYFUNCTION("vlookup(C578,importrange(""1kw74ismGU34AsZ5x-W4x7F3Zt2xc8NSYcCVMrCJBmdQ"",""DRP for 8 products!B:E""),4,0)"),29.0)</f>
        <v>29</v>
      </c>
      <c r="J578" s="8" t="str">
        <f t="shared" si="1"/>
        <v>Tier 3</v>
      </c>
      <c r="K578" s="9" t="str">
        <f t="shared" si="2"/>
        <v>Active</v>
      </c>
      <c r="L578" s="4" t="str">
        <f>IFERROR(__xludf.DUMMYFUNCTION("vlookup(C578,importrange(""1kw74ismGU34AsZ5x-W4x7F3Zt2xc8NSYcCVMrCJBmdQ"",""DRP for 8 products!B:H""),6,0)"),"BigQuery")</f>
        <v>BigQuery</v>
      </c>
      <c r="M578" s="10" t="str">
        <f t="shared" si="3"/>
        <v>Yes</v>
      </c>
    </row>
    <row r="579">
      <c r="A579" s="4" t="str">
        <f>IFERROR(__xludf.DUMMYFUNCTION("vlookup(C579,IMPORTRANGE(""1Kgoo8qyo6zMtf_5B03ksZz228jg0XpZ4_KXsdHQ4Vks"",""14 Sept!A:B""),2,0)"),"DME0958")</f>
        <v>DME0958</v>
      </c>
      <c r="B579" s="5" t="str">
        <f>IFERROR(__xludf.DUMMYFUNCTION("""COMPUTED_VALUE"""),"Lalit Sakure")</f>
        <v>Lalit Sakure</v>
      </c>
      <c r="C579" s="5" t="str">
        <f>IFERROR(__xludf.DUMMYFUNCTION("""COMPUTED_VALUE"""),"lalit.sakure@onixnet.com")</f>
        <v>lalit.sakure@onixnet.com</v>
      </c>
      <c r="D579" s="4" t="s">
        <v>11</v>
      </c>
      <c r="E579" s="6" t="str">
        <f>IFERROR(__xludf.DUMMYFUNCTION("vlookup($A579,importrange(""1fyGnaViAX9kns28pvsfPvI9925sAI7kxPlM7jpuHVJM"",""Validation!A:Z""),11,0)"),"Delivery Services")</f>
        <v>Delivery Services</v>
      </c>
      <c r="F579" s="6" t="str">
        <f>IFERROR(__xludf.DUMMYFUNCTION("vlookup($A579,importrange(""1fyGnaViAX9kns28pvsfPvI9925sAI7kxPlM7jpuHVJM"",""Validation!A:Z""),23,0)"),"Gaurav Bharara")</f>
        <v>Gaurav Bharara</v>
      </c>
      <c r="G579" s="6" t="str">
        <f>IFERROR(__xludf.DUMMYFUNCTION("vlookup(A579,importrange(""1fyGnaViAX9kns28pvsfPvI9925sAI7kxPlM7jpuHVJM"",""Validation!A:Z""),22,0)"),"Cluster - Gaurav")</f>
        <v>Cluster - Gaurav</v>
      </c>
      <c r="H579" s="4" t="str">
        <f>IFERROR(__xludf.DUMMYFUNCTION("vlookup(C579,importrange(""1kw74ismGU34AsZ5x-W4x7F3Zt2xc8NSYcCVMrCJBmdQ"",""DRP for 8 products!B:C""),2,0)"),"DATLSVIA1")</f>
        <v>DATLSVIA1</v>
      </c>
      <c r="I579" s="7">
        <f>IFERROR(__xludf.DUMMYFUNCTION("vlookup(C579,importrange(""1kw74ismGU34AsZ5x-W4x7F3Zt2xc8NSYcCVMrCJBmdQ"",""DRP for 8 products!B:E""),4,0)"),60.0)</f>
        <v>60</v>
      </c>
      <c r="J579" s="8" t="str">
        <f t="shared" si="1"/>
        <v>Tier 1</v>
      </c>
      <c r="K579" s="9" t="str">
        <f t="shared" si="2"/>
        <v>Active</v>
      </c>
      <c r="L579" s="4" t="str">
        <f>IFERROR(__xludf.DUMMYFUNCTION("vlookup(C579,importrange(""1kw74ismGU34AsZ5x-W4x7F3Zt2xc8NSYcCVMrCJBmdQ"",""DRP for 8 products!B:H""),6,0)"),"BigQuery")</f>
        <v>BigQuery</v>
      </c>
      <c r="M579" s="10" t="str">
        <f t="shared" si="3"/>
        <v>Yes</v>
      </c>
    </row>
    <row r="580">
      <c r="A580" s="4" t="str">
        <f>IFERROR(__xludf.DUMMYFUNCTION("vlookup(C580,IMPORTRANGE(""1Kgoo8qyo6zMtf_5B03ksZz228jg0XpZ4_KXsdHQ4Vks"",""14 Sept!A:B""),2,0)"),"ONIX771")</f>
        <v>ONIX771</v>
      </c>
      <c r="B580" s="5" t="str">
        <f>IFERROR(__xludf.DUMMYFUNCTION("""COMPUTED_VALUE"""),"Bob Cielenski")</f>
        <v>Bob Cielenski</v>
      </c>
      <c r="C580" s="5" t="str">
        <f>IFERROR(__xludf.DUMMYFUNCTION("""COMPUTED_VALUE"""),"bob.cielenski@onixnet.com")</f>
        <v>bob.cielenski@onixnet.com</v>
      </c>
      <c r="D580" s="4" t="s">
        <v>11</v>
      </c>
      <c r="E580" s="6" t="str">
        <f>IFERROR(__xludf.DUMMYFUNCTION("vlookup($A580,importrange(""1fyGnaViAX9kns28pvsfPvI9925sAI7kxPlM7jpuHVJM"",""Validation!A:Z""),11,0)"),"Delivery")</f>
        <v>Delivery</v>
      </c>
      <c r="F580" s="6" t="str">
        <f>IFERROR(__xludf.DUMMYFUNCTION("vlookup($A580,importrange(""1fyGnaViAX9kns28pvsfPvI9925sAI7kxPlM7jpuHVJM"",""Validation!A:Z""),23,0)"),"Patrick Schablitzki")</f>
        <v>Patrick Schablitzki</v>
      </c>
      <c r="G580" s="6" t="str">
        <f>IFERROR(__xludf.DUMMYFUNCTION("vlookup(A580,importrange(""1fyGnaViAX9kns28pvsfPvI9925sAI7kxPlM7jpuHVJM"",""Validation!A:Z""),22,0)"),"Portfolio - Rick")</f>
        <v>Portfolio - Rick</v>
      </c>
      <c r="H580" s="4" t="str">
        <f>IFERROR(__xludf.DUMMYFUNCTION("vlookup(C580,importrange(""1kw74ismGU34AsZ5x-W4x7F3Zt2xc8NSYcCVMrCJBmdQ"",""DRP for 8 products!B:C""),2,0)"),"UJEBCPNR8")</f>
        <v>UJEBCPNR8</v>
      </c>
      <c r="I580" s="7">
        <f>IFERROR(__xludf.DUMMYFUNCTION("vlookup(C580,importrange(""1kw74ismGU34AsZ5x-W4x7F3Zt2xc8NSYcCVMrCJBmdQ"",""DRP for 8 products!B:E""),4,0)"),15.0)</f>
        <v>15</v>
      </c>
      <c r="J580" s="8" t="str">
        <f t="shared" si="1"/>
        <v>Tier 4</v>
      </c>
      <c r="K580" s="9" t="str">
        <f t="shared" si="2"/>
        <v>Active</v>
      </c>
      <c r="L580" s="4" t="str">
        <f>IFERROR(__xludf.DUMMYFUNCTION("vlookup(C580,importrange(""1kw74ismGU34AsZ5x-W4x7F3Zt2xc8NSYcCVMrCJBmdQ"",""DRP for 8 products!B:H""),6,0)"),"Looker")</f>
        <v>Looker</v>
      </c>
      <c r="M580" s="10" t="str">
        <f t="shared" si="3"/>
        <v>Yes</v>
      </c>
    </row>
    <row r="581">
      <c r="A581" s="4" t="str">
        <f>IFERROR(__xludf.DUMMYFUNCTION("vlookup(C581,IMPORTRANGE(""1Kgoo8qyo6zMtf_5B03ksZz228jg0XpZ4_KXsdHQ4Vks"",""14 Sept!A:B""),2,0)"),"ONIX583")</f>
        <v>ONIX583</v>
      </c>
      <c r="B581" s="5" t="str">
        <f>IFERROR(__xludf.DUMMYFUNCTION("""COMPUTED_VALUE"""),"Andres De Castro")</f>
        <v>Andres De Castro</v>
      </c>
      <c r="C581" s="5" t="str">
        <f>IFERROR(__xludf.DUMMYFUNCTION("""COMPUTED_VALUE"""),"andres.chemaly@onixnet.com")</f>
        <v>andres.chemaly@onixnet.com</v>
      </c>
      <c r="D581" s="4" t="s">
        <v>11</v>
      </c>
      <c r="E581" s="6" t="str">
        <f>IFERROR(__xludf.DUMMYFUNCTION("vlookup($A581,importrange(""1fyGnaViAX9kns28pvsfPvI9925sAI7kxPlM7jpuHVJM"",""Validation!A:Z""),11,0)"),"Services")</f>
        <v>Services</v>
      </c>
      <c r="F581" s="6" t="str">
        <f>IFERROR(__xludf.DUMMYFUNCTION("vlookup($A581,importrange(""1fyGnaViAX9kns28pvsfPvI9925sAI7kxPlM7jpuHVJM"",""Validation!A:Z""),23,0)"),"LeePatrick McIntire")</f>
        <v>LeePatrick McIntire</v>
      </c>
      <c r="G581" s="6" t="str">
        <f>IFERROR(__xludf.DUMMYFUNCTION("vlookup(A581,importrange(""1fyGnaViAX9kns28pvsfPvI9925sAI7kxPlM7jpuHVJM"",""Validation!A:Z""),22,0)"),"Portfolio - Thomas (AI)")</f>
        <v>Portfolio - Thomas (AI)</v>
      </c>
      <c r="H581" s="4" t="str">
        <f>IFERROR(__xludf.DUMMYFUNCTION("vlookup(C581,importrange(""1kw74ismGU34AsZ5x-W4x7F3Zt2xc8NSYcCVMrCJBmdQ"",""DRP for 8 products!B:C""),2,0)"),"ONIACBGJ2")</f>
        <v>ONIACBGJ2</v>
      </c>
      <c r="I581" s="7">
        <f>IFERROR(__xludf.DUMMYFUNCTION("vlookup(C581,importrange(""1kw74ismGU34AsZ5x-W4x7F3Zt2xc8NSYcCVMrCJBmdQ"",""DRP for 8 products!B:E""),4,0)"),9.0)</f>
        <v>9</v>
      </c>
      <c r="J581" s="8" t="str">
        <f t="shared" si="1"/>
        <v>Tier 4</v>
      </c>
      <c r="K581" s="9" t="str">
        <f t="shared" si="2"/>
        <v>Active</v>
      </c>
      <c r="L581" s="4" t="str">
        <f>IFERROR(__xludf.DUMMYFUNCTION("vlookup(C581,importrange(""1kw74ismGU34AsZ5x-W4x7F3Zt2xc8NSYcCVMrCJBmdQ"",""DRP for 8 products!B:H""),6,0)"),"Dataflow")</f>
        <v>Dataflow</v>
      </c>
      <c r="M581" s="10" t="str">
        <f t="shared" si="3"/>
        <v>Yes</v>
      </c>
    </row>
    <row r="582">
      <c r="A582" s="4" t="str">
        <f>IFERROR(__xludf.DUMMYFUNCTION("vlookup(C582,IMPORTRANGE(""1Kgoo8qyo6zMtf_5B03ksZz228jg0XpZ4_KXsdHQ4Vks"",""14 Sept!A:B""),2,0)"),"DME2162")</f>
        <v>DME2162</v>
      </c>
      <c r="B582" s="5" t="str">
        <f>IFERROR(__xludf.DUMMYFUNCTION("""COMPUTED_VALUE"""),"Karankumar Agrawal")</f>
        <v>Karankumar Agrawal</v>
      </c>
      <c r="C582" s="5" t="str">
        <f>IFERROR(__xludf.DUMMYFUNCTION("""COMPUTED_VALUE"""),"karankumar.a@onixnet.com")</f>
        <v>karankumar.a@onixnet.com</v>
      </c>
      <c r="D582" s="4" t="s">
        <v>11</v>
      </c>
      <c r="E582" s="6" t="str">
        <f>IFERROR(__xludf.DUMMYFUNCTION("vlookup($A582,importrange(""1fyGnaViAX9kns28pvsfPvI9925sAI7kxPlM7jpuHVJM"",""Validation!A:Z""),11,0)"),"Delivery Services")</f>
        <v>Delivery Services</v>
      </c>
      <c r="F582" s="6" t="str">
        <f>IFERROR(__xludf.DUMMYFUNCTION("vlookup($A582,importrange(""1fyGnaViAX9kns28pvsfPvI9925sAI7kxPlM7jpuHVJM"",""Validation!A:Z""),23,0)"),"Indrajit Omprakash Bhagat")</f>
        <v>Indrajit Omprakash Bhagat</v>
      </c>
      <c r="G582" s="6" t="str">
        <f>IFERROR(__xludf.DUMMYFUNCTION("vlookup(A582,importrange(""1fyGnaViAX9kns28pvsfPvI9925sAI7kxPlM7jpuHVJM"",""Validation!A:Z""),22,0)"),"Cluster - Varun")</f>
        <v>Cluster - Varun</v>
      </c>
      <c r="H582" s="4" t="str">
        <f>IFERROR(__xludf.DUMMYFUNCTION("vlookup(C582,importrange(""1kw74ismGU34AsZ5x-W4x7F3Zt2xc8NSYcCVMrCJBmdQ"",""DRP for 8 products!B:C""),2,0)"),"DATKAJGJ6")</f>
        <v>DATKAJGJ6</v>
      </c>
      <c r="I582" s="7">
        <f>IFERROR(__xludf.DUMMYFUNCTION("vlookup(C582,importrange(""1kw74ismGU34AsZ5x-W4x7F3Zt2xc8NSYcCVMrCJBmdQ"",""DRP for 8 products!B:E""),4,0)"),29.0)</f>
        <v>29</v>
      </c>
      <c r="J582" s="8" t="str">
        <f t="shared" si="1"/>
        <v>Tier 3</v>
      </c>
      <c r="K582" s="9" t="str">
        <f t="shared" si="2"/>
        <v>Active</v>
      </c>
      <c r="L582" s="4" t="str">
        <f>IFERROR(__xludf.DUMMYFUNCTION("vlookup(C582,importrange(""1kw74ismGU34AsZ5x-W4x7F3Zt2xc8NSYcCVMrCJBmdQ"",""DRP for 8 products!B:H""),6,0)"),"BigQuery")</f>
        <v>BigQuery</v>
      </c>
      <c r="M582" s="10" t="str">
        <f t="shared" si="3"/>
        <v>Yes</v>
      </c>
    </row>
    <row r="583">
      <c r="A583" s="4" t="str">
        <f>IFERROR(__xludf.DUMMYFUNCTION("vlookup(C583,IMPORTRANGE(""1Kgoo8qyo6zMtf_5B03ksZz228jg0XpZ4_KXsdHQ4Vks"",""14 Sept!A:B""),2,0)"),"DME0153")</f>
        <v>DME0153</v>
      </c>
      <c r="B583" s="5" t="str">
        <f>IFERROR(__xludf.DUMMYFUNCTION("""COMPUTED_VALUE"""),"Ajay Sudrik")</f>
        <v>Ajay Sudrik</v>
      </c>
      <c r="C583" s="5" t="str">
        <f>IFERROR(__xludf.DUMMYFUNCTION("""COMPUTED_VALUE"""),"ajay.sudrik@onixnet.com")</f>
        <v>ajay.sudrik@onixnet.com</v>
      </c>
      <c r="D583" s="4" t="s">
        <v>11</v>
      </c>
      <c r="E583" s="6" t="str">
        <f>IFERROR(__xludf.DUMMYFUNCTION("vlookup($A583,importrange(""1fyGnaViAX9kns28pvsfPvI9925sAI7kxPlM7jpuHVJM"",""Validation!A:Z""),11,0)"),"Delivery Services")</f>
        <v>Delivery Services</v>
      </c>
      <c r="F583" s="6" t="str">
        <f>IFERROR(__xludf.DUMMYFUNCTION("vlookup($A583,importrange(""1fyGnaViAX9kns28pvsfPvI9925sAI7kxPlM7jpuHVJM"",""Validation!A:Z""),23,0)"),"Varun Katyal")</f>
        <v>Varun Katyal</v>
      </c>
      <c r="G583" s="6" t="str">
        <f>IFERROR(__xludf.DUMMYFUNCTION("vlookup(A583,importrange(""1fyGnaViAX9kns28pvsfPvI9925sAI7kxPlM7jpuHVJM"",""Validation!A:Z""),22,0)"),"Cluster - Varun")</f>
        <v>Cluster - Varun</v>
      </c>
      <c r="H583" s="4" t="str">
        <f>IFERROR(__xludf.DUMMYFUNCTION("vlookup(C583,importrange(""1kw74ismGU34AsZ5x-W4x7F3Zt2xc8NSYcCVMrCJBmdQ"",""DRP for 8 products!B:C""),2,0)"),"DATASNAC8")</f>
        <v>DATASNAC8</v>
      </c>
      <c r="I583" s="7">
        <f>IFERROR(__xludf.DUMMYFUNCTION("vlookup(C583,importrange(""1kw74ismGU34AsZ5x-W4x7F3Zt2xc8NSYcCVMrCJBmdQ"",""DRP for 8 products!B:E""),4,0)"),44.0)</f>
        <v>44</v>
      </c>
      <c r="J583" s="8" t="str">
        <f t="shared" si="1"/>
        <v>Tier 2</v>
      </c>
      <c r="K583" s="9" t="str">
        <f t="shared" si="2"/>
        <v>Active</v>
      </c>
      <c r="L583" s="4" t="str">
        <f>IFERROR(__xludf.DUMMYFUNCTION("vlookup(C583,importrange(""1kw74ismGU34AsZ5x-W4x7F3Zt2xc8NSYcCVMrCJBmdQ"",""DRP for 8 products!B:H""),6,0)"),"BigQuery")</f>
        <v>BigQuery</v>
      </c>
      <c r="M583" s="10" t="str">
        <f t="shared" si="3"/>
        <v>Yes</v>
      </c>
    </row>
    <row r="584">
      <c r="A584" s="4" t="str">
        <f>IFERROR(__xludf.DUMMYFUNCTION("vlookup(C584,IMPORTRANGE(""1Kgoo8qyo6zMtf_5B03ksZz228jg0XpZ4_KXsdHQ4Vks"",""14 Sept!A:B""),2,0)"),"ONIX644")</f>
        <v>ONIX644</v>
      </c>
      <c r="B584" s="5" t="str">
        <f>IFERROR(__xludf.DUMMYFUNCTION("""COMPUTED_VALUE"""),"Hemalatha Krishnan")</f>
        <v>Hemalatha Krishnan</v>
      </c>
      <c r="C584" s="5" t="str">
        <f>IFERROR(__xludf.DUMMYFUNCTION("""COMPUTED_VALUE"""),"hemalatha.k@onixnet.com")</f>
        <v>hemalatha.k@onixnet.com</v>
      </c>
      <c r="D584" s="4" t="s">
        <v>11</v>
      </c>
      <c r="E584" s="6" t="str">
        <f>IFERROR(__xludf.DUMMYFUNCTION("vlookup($A584,importrange(""1fyGnaViAX9kns28pvsfPvI9925sAI7kxPlM7jpuHVJM"",""Validation!A:Z""),11,0)"),"Services")</f>
        <v>Services</v>
      </c>
      <c r="F584" s="6" t="str">
        <f>IFERROR(__xludf.DUMMYFUNCTION("vlookup($A584,importrange(""1fyGnaViAX9kns28pvsfPvI9925sAI7kxPlM7jpuHVJM"",""Validation!A:Z""),23,0)"),"Kanth Nagapudi")</f>
        <v>Kanth Nagapudi</v>
      </c>
      <c r="G584" s="6" t="str">
        <f>IFERROR(__xludf.DUMMYFUNCTION("vlookup(A584,importrange(""1fyGnaViAX9kns28pvsfPvI9925sAI7kxPlM7jpuHVJM"",""Validation!A:Z""),22,0)"),"Portfolio - Kanth")</f>
        <v>Portfolio - Kanth</v>
      </c>
      <c r="H584" s="4" t="str">
        <f>IFERROR(__xludf.DUMMYFUNCTION("vlookup(C584,importrange(""1kw74ismGU34AsZ5x-W4x7F3Zt2xc8NSYcCVMrCJBmdQ"",""DRP for 8 products!B:C""),2,0)"),"DATHKBIY8")</f>
        <v>DATHKBIY8</v>
      </c>
      <c r="I584" s="7">
        <f>IFERROR(__xludf.DUMMYFUNCTION("vlookup(C584,importrange(""1kw74ismGU34AsZ5x-W4x7F3Zt2xc8NSYcCVMrCJBmdQ"",""DRP for 8 products!B:E""),4,0)"),55.0)</f>
        <v>55</v>
      </c>
      <c r="J584" s="8" t="str">
        <f t="shared" si="1"/>
        <v>Tier 1</v>
      </c>
      <c r="K584" s="9" t="str">
        <f t="shared" si="2"/>
        <v>Active</v>
      </c>
      <c r="L584" s="4" t="str">
        <f>IFERROR(__xludf.DUMMYFUNCTION("vlookup(C584,importrange(""1kw74ismGU34AsZ5x-W4x7F3Zt2xc8NSYcCVMrCJBmdQ"",""DRP for 8 products!B:H""),6,0)"),"BigQuery")</f>
        <v>BigQuery</v>
      </c>
      <c r="M584" s="10" t="str">
        <f t="shared" si="3"/>
        <v>Yes</v>
      </c>
    </row>
    <row r="585">
      <c r="A585" s="4" t="str">
        <f>IFERROR(__xludf.DUMMYFUNCTION("vlookup(C585,IMPORTRANGE(""1Kgoo8qyo6zMtf_5B03ksZz228jg0XpZ4_KXsdHQ4Vks"",""14 Sept!A:B""),2,0)"),"ONIX584")</f>
        <v>ONIX584</v>
      </c>
      <c r="B585" s="5" t="str">
        <f>IFERROR(__xludf.DUMMYFUNCTION("""COMPUTED_VALUE"""),"Kyle Clark")</f>
        <v>Kyle Clark</v>
      </c>
      <c r="C585" s="5" t="str">
        <f>IFERROR(__xludf.DUMMYFUNCTION("""COMPUTED_VALUE"""),"kyle.clark@onixnet.com")</f>
        <v>kyle.clark@onixnet.com</v>
      </c>
      <c r="D585" s="4" t="s">
        <v>11</v>
      </c>
      <c r="E585" s="6" t="str">
        <f>IFERROR(__xludf.DUMMYFUNCTION("vlookup($A585,importrange(""1fyGnaViAX9kns28pvsfPvI9925sAI7kxPlM7jpuHVJM"",""Validation!A:Z""),11,0)"),"Services")</f>
        <v>Services</v>
      </c>
      <c r="F585" s="6" t="str">
        <f>IFERROR(__xludf.DUMMYFUNCTION("vlookup($A585,importrange(""1fyGnaViAX9kns28pvsfPvI9925sAI7kxPlM7jpuHVJM"",""Validation!A:Z""),23,0)"),"Thomas Kraus")</f>
        <v>Thomas Kraus</v>
      </c>
      <c r="G585" s="6" t="str">
        <f>IFERROR(__xludf.DUMMYFUNCTION("vlookup(A585,importrange(""1fyGnaViAX9kns28pvsfPvI9925sAI7kxPlM7jpuHVJM"",""Validation!A:Z""),22,0)"),"Portfolio - Rick")</f>
        <v>Portfolio - Rick</v>
      </c>
      <c r="H585" s="4" t="str">
        <f>IFERROR(__xludf.DUMMYFUNCTION("vlookup(C585,importrange(""1kw74ismGU34AsZ5x-W4x7F3Zt2xc8NSYcCVMrCJBmdQ"",""DRP for 8 products!B:C""),2,0)"),"ONIKCFHX2")</f>
        <v>ONIKCFHX2</v>
      </c>
      <c r="I585" s="7">
        <f>IFERROR(__xludf.DUMMYFUNCTION("vlookup(C585,importrange(""1kw74ismGU34AsZ5x-W4x7F3Zt2xc8NSYcCVMrCJBmdQ"",""DRP for 8 products!B:E""),4,0)"),8.0)</f>
        <v>8</v>
      </c>
      <c r="J585" s="8" t="str">
        <f t="shared" si="1"/>
        <v>Tier 4</v>
      </c>
      <c r="K585" s="9" t="str">
        <f t="shared" si="2"/>
        <v>Active</v>
      </c>
      <c r="L585" s="4" t="str">
        <f>IFERROR(__xludf.DUMMYFUNCTION("vlookup(C585,importrange(""1kw74ismGU34AsZ5x-W4x7F3Zt2xc8NSYcCVMrCJBmdQ"",""DRP for 8 products!B:H""),6,0)"),"BigQuery")</f>
        <v>BigQuery</v>
      </c>
      <c r="M585" s="10" t="str">
        <f t="shared" si="3"/>
        <v>Yes</v>
      </c>
    </row>
    <row r="586">
      <c r="A586" s="4" t="str">
        <f>IFERROR(__xludf.DUMMYFUNCTION("vlookup(C586,IMPORTRANGE(""1Kgoo8qyo6zMtf_5B03ksZz228jg0XpZ4_KXsdHQ4Vks"",""14 Sept!A:B""),2,0)"),"ONIX523")</f>
        <v>ONIX523</v>
      </c>
      <c r="B586" s="5" t="str">
        <f>IFERROR(__xludf.DUMMYFUNCTION("""COMPUTED_VALUE"""),"Eric Hole")</f>
        <v>Eric Hole</v>
      </c>
      <c r="C586" s="5" t="str">
        <f>IFERROR(__xludf.DUMMYFUNCTION("""COMPUTED_VALUE"""),"ehole@onixnet.com")</f>
        <v>ehole@onixnet.com</v>
      </c>
      <c r="D586" s="4" t="s">
        <v>11</v>
      </c>
      <c r="E586" s="6" t="str">
        <f>IFERROR(__xludf.DUMMYFUNCTION("vlookup($A586,importrange(""1fyGnaViAX9kns28pvsfPvI9925sAI7kxPlM7jpuHVJM"",""Validation!A:Z""),11,0)"),"Services")</f>
        <v>Services</v>
      </c>
      <c r="F586" s="6" t="str">
        <f>IFERROR(__xludf.DUMMYFUNCTION("vlookup($A586,importrange(""1fyGnaViAX9kns28pvsfPvI9925sAI7kxPlM7jpuHVJM"",""Validation!A:Z""),23,0)"),"Patrick Schablitzki")</f>
        <v>Patrick Schablitzki</v>
      </c>
      <c r="G586" s="6" t="str">
        <f>IFERROR(__xludf.DUMMYFUNCTION("vlookup(A586,importrange(""1fyGnaViAX9kns28pvsfPvI9925sAI7kxPlM7jpuHVJM"",""Validation!A:Z""),22,0)"),"Portfolio - Patrick")</f>
        <v>Portfolio - Patrick</v>
      </c>
      <c r="H586" s="4" t="str">
        <f>IFERROR(__xludf.DUMMYFUNCTION("vlookup(C586,importrange(""1kw74ismGU34AsZ5x-W4x7F3Zt2xc8NSYcCVMrCJBmdQ"",""DRP for 8 products!B:C""),2,0)"),"ONIEHLUZ8")</f>
        <v>ONIEHLUZ8</v>
      </c>
      <c r="I586" s="7">
        <f>IFERROR(__xludf.DUMMYFUNCTION("vlookup(C586,importrange(""1kw74ismGU34AsZ5x-W4x7F3Zt2xc8NSYcCVMrCJBmdQ"",""DRP for 8 products!B:E""),4,0)"),14.0)</f>
        <v>14</v>
      </c>
      <c r="J586" s="8" t="str">
        <f t="shared" si="1"/>
        <v>Tier 4</v>
      </c>
      <c r="K586" s="9" t="str">
        <f t="shared" si="2"/>
        <v>Active</v>
      </c>
      <c r="L586" s="4" t="str">
        <f>IFERROR(__xludf.DUMMYFUNCTION("vlookup(C586,importrange(""1kw74ismGU34AsZ5x-W4x7F3Zt2xc8NSYcCVMrCJBmdQ"",""DRP for 8 products!B:H""),6,0)"),"BigQuery")</f>
        <v>BigQuery</v>
      </c>
      <c r="M586" s="10" t="str">
        <f t="shared" si="3"/>
        <v>Yes</v>
      </c>
    </row>
    <row r="587">
      <c r="A587" s="4" t="str">
        <f>IFERROR(__xludf.DUMMYFUNCTION("vlookup(C587,IMPORTRANGE(""1Kgoo8qyo6zMtf_5B03ksZz228jg0XpZ4_KXsdHQ4Vks"",""14 Sept!A:B""),2,0)"),"ONIX572")</f>
        <v>ONIX572</v>
      </c>
      <c r="B587" s="5" t="str">
        <f>IFERROR(__xludf.DUMMYFUNCTION("""COMPUTED_VALUE"""),"John McDonald")</f>
        <v>John McDonald</v>
      </c>
      <c r="C587" s="5" t="str">
        <f>IFERROR(__xludf.DUMMYFUNCTION("""COMPUTED_VALUE"""),"scott.mcdonald@onixnet.com")</f>
        <v>scott.mcdonald@onixnet.com</v>
      </c>
      <c r="D587" s="4" t="s">
        <v>11</v>
      </c>
      <c r="E587" s="6" t="str">
        <f>IFERROR(__xludf.DUMMYFUNCTION("vlookup($A587,importrange(""1fyGnaViAX9kns28pvsfPvI9925sAI7kxPlM7jpuHVJM"",""Validation!A:Z""),11,0)"),"Services")</f>
        <v>Services</v>
      </c>
      <c r="F587" s="6" t="str">
        <f>IFERROR(__xludf.DUMMYFUNCTION("vlookup($A587,importrange(""1fyGnaViAX9kns28pvsfPvI9925sAI7kxPlM7jpuHVJM"",""Validation!A:Z""),23,0)"),"Scott Fleming")</f>
        <v>Scott Fleming</v>
      </c>
      <c r="G587" s="6" t="str">
        <f>IFERROR(__xludf.DUMMYFUNCTION("vlookup(A587,importrange(""1fyGnaViAX9kns28pvsfPvI9925sAI7kxPlM7jpuHVJM"",""Validation!A:Z""),22,0)"),"Portfolio - Thomas (AI)")</f>
        <v>Portfolio - Thomas (AI)</v>
      </c>
      <c r="H587" s="4" t="str">
        <f>IFERROR(__xludf.DUMMYFUNCTION("vlookup(C587,importrange(""1kw74ismGU34AsZ5x-W4x7F3Zt2xc8NSYcCVMrCJBmdQ"",""DRP for 8 products!B:C""),2,0)"),"ONIJMPVC4")</f>
        <v>ONIJMPVC4</v>
      </c>
      <c r="I587" s="7">
        <f>IFERROR(__xludf.DUMMYFUNCTION("vlookup(C587,importrange(""1kw74ismGU34AsZ5x-W4x7F3Zt2xc8NSYcCVMrCJBmdQ"",""DRP for 8 products!B:E""),4,0)"),24.0)</f>
        <v>24</v>
      </c>
      <c r="J587" s="8" t="str">
        <f t="shared" si="1"/>
        <v>Tier 3</v>
      </c>
      <c r="K587" s="9" t="str">
        <f t="shared" si="2"/>
        <v>Active</v>
      </c>
      <c r="L587" s="4" t="str">
        <f>IFERROR(__xludf.DUMMYFUNCTION("vlookup(C587,importrange(""1kw74ismGU34AsZ5x-W4x7F3Zt2xc8NSYcCVMrCJBmdQ"",""DRP for 8 products!B:H""),6,0)"),"BigQuery")</f>
        <v>BigQuery</v>
      </c>
      <c r="M587" s="10" t="str">
        <f t="shared" si="3"/>
        <v>Yes</v>
      </c>
    </row>
    <row r="588">
      <c r="A588" s="4" t="str">
        <f>IFERROR(__xludf.DUMMYFUNCTION("vlookup(C588,IMPORTRANGE(""1Kgoo8qyo6zMtf_5B03ksZz228jg0XpZ4_KXsdHQ4Vks"",""14 Sept!A:B""),2,0)"),"ONIX789")</f>
        <v>ONIX789</v>
      </c>
      <c r="B588" s="5" t="str">
        <f>IFERROR(__xludf.DUMMYFUNCTION("""COMPUTED_VALUE"""),"Amy Weber")</f>
        <v>Amy Weber</v>
      </c>
      <c r="C588" s="5" t="str">
        <f>IFERROR(__xludf.DUMMYFUNCTION("""COMPUTED_VALUE"""),"amy.weber@onixnet.com")</f>
        <v>amy.weber@onixnet.com</v>
      </c>
      <c r="D588" s="4" t="s">
        <v>11</v>
      </c>
      <c r="E588" s="6" t="str">
        <f>IFERROR(__xludf.DUMMYFUNCTION("vlookup($A588,importrange(""1fyGnaViAX9kns28pvsfPvI9925sAI7kxPlM7jpuHVJM"",""Validation!A:Z""),11,0)"),"Delivery")</f>
        <v>Delivery</v>
      </c>
      <c r="F588" s="6" t="str">
        <f>IFERROR(__xludf.DUMMYFUNCTION("vlookup($A588,importrange(""1fyGnaViAX9kns28pvsfPvI9925sAI7kxPlM7jpuHVJM"",""Validation!A:Z""),23,0)"),"Bob Cielenski")</f>
        <v>Bob Cielenski</v>
      </c>
      <c r="G588" s="6" t="str">
        <f>IFERROR(__xludf.DUMMYFUNCTION("vlookup(A588,importrange(""1fyGnaViAX9kns28pvsfPvI9925sAI7kxPlM7jpuHVJM"",""Validation!A:Z""),22,0)"),"Portfolio - Rick")</f>
        <v>Portfolio - Rick</v>
      </c>
      <c r="H588" s="4" t="str">
        <f>IFERROR(__xludf.DUMMYFUNCTION("vlookup(C588,importrange(""1kw74ismGU34AsZ5x-W4x7F3Zt2xc8NSYcCVMrCJBmdQ"",""DRP for 8 products!B:C""),2,0)"),"UJEAWQMC3")</f>
        <v>UJEAWQMC3</v>
      </c>
      <c r="I588" s="7">
        <f>IFERROR(__xludf.DUMMYFUNCTION("vlookup(C588,importrange(""1kw74ismGU34AsZ5x-W4x7F3Zt2xc8NSYcCVMrCJBmdQ"",""DRP for 8 products!B:E""),4,0)"),10.0)</f>
        <v>10</v>
      </c>
      <c r="J588" s="8" t="str">
        <f t="shared" si="1"/>
        <v>Tier 4</v>
      </c>
      <c r="K588" s="9" t="str">
        <f t="shared" si="2"/>
        <v>Active</v>
      </c>
      <c r="L588" s="4" t="str">
        <f>IFERROR(__xludf.DUMMYFUNCTION("vlookup(C588,importrange(""1kw74ismGU34AsZ5x-W4x7F3Zt2xc8NSYcCVMrCJBmdQ"",""DRP for 8 products!B:H""),6,0)"),"Looker")</f>
        <v>Looker</v>
      </c>
      <c r="M588" s="10" t="str">
        <f t="shared" si="3"/>
        <v>Yes</v>
      </c>
    </row>
    <row r="589">
      <c r="A589" s="4" t="str">
        <f>IFERROR(__xludf.DUMMYFUNCTION("vlookup(C589,IMPORTRANGE(""1Kgoo8qyo6zMtf_5B03ksZz228jg0XpZ4_KXsdHQ4Vks"",""14 Sept!A:B""),2,0)"),"DME0518")</f>
        <v>DME0518</v>
      </c>
      <c r="B589" s="5" t="str">
        <f>IFERROR(__xludf.DUMMYFUNCTION("""COMPUTED_VALUE"""),"Akash Choudhari")</f>
        <v>Akash Choudhari</v>
      </c>
      <c r="C589" s="5" t="str">
        <f>IFERROR(__xludf.DUMMYFUNCTION("""COMPUTED_VALUE"""),"akash.choudhari@onixnet.com")</f>
        <v>akash.choudhari@onixnet.com</v>
      </c>
      <c r="D589" s="4" t="s">
        <v>11</v>
      </c>
      <c r="E589" s="6" t="str">
        <f>IFERROR(__xludf.DUMMYFUNCTION("vlookup($A589,importrange(""1fyGnaViAX9kns28pvsfPvI9925sAI7kxPlM7jpuHVJM"",""Validation!A:Z""),11,0)"),"Delivery Services")</f>
        <v>Delivery Services</v>
      </c>
      <c r="F589" s="6" t="str">
        <f>IFERROR(__xludf.DUMMYFUNCTION("vlookup($A589,importrange(""1fyGnaViAX9kns28pvsfPvI9925sAI7kxPlM7jpuHVJM"",""Validation!A:Z""),23,0)"),"Arabi Mohammed")</f>
        <v>Arabi Mohammed</v>
      </c>
      <c r="G589" s="6" t="str">
        <f>IFERROR(__xludf.DUMMYFUNCTION("vlookup(A589,importrange(""1fyGnaViAX9kns28pvsfPvI9925sAI7kxPlM7jpuHVJM"",""Validation!A:Z""),22,0)"),"Cluster - Sandeep")</f>
        <v>Cluster - Sandeep</v>
      </c>
      <c r="H589" s="4" t="str">
        <f>IFERROR(__xludf.DUMMYFUNCTION("vlookup(C589,importrange(""1kw74ismGU34AsZ5x-W4x7F3Zt2xc8NSYcCVMrCJBmdQ"",""DRP for 8 products!B:C""),2,0)"),"DATACZCI3")</f>
        <v>DATACZCI3</v>
      </c>
      <c r="I589" s="7">
        <f>IFERROR(__xludf.DUMMYFUNCTION("vlookup(C589,importrange(""1kw74ismGU34AsZ5x-W4x7F3Zt2xc8NSYcCVMrCJBmdQ"",""DRP for 8 products!B:E""),4,0)"),14.0)</f>
        <v>14</v>
      </c>
      <c r="J589" s="8" t="str">
        <f t="shared" si="1"/>
        <v>Tier 4</v>
      </c>
      <c r="K589" s="9" t="str">
        <f t="shared" si="2"/>
        <v>Active</v>
      </c>
      <c r="L589" s="4" t="str">
        <f>IFERROR(__xludf.DUMMYFUNCTION("vlookup(C589,importrange(""1kw74ismGU34AsZ5x-W4x7F3Zt2xc8NSYcCVMrCJBmdQ"",""DRP for 8 products!B:H""),6,0)"),"BigQuery")</f>
        <v>BigQuery</v>
      </c>
      <c r="M589" s="10" t="str">
        <f t="shared" si="3"/>
        <v>Yes</v>
      </c>
    </row>
    <row r="590">
      <c r="A590" s="4" t="str">
        <f>IFERROR(__xludf.DUMMYFUNCTION("vlookup(C590,IMPORTRANGE(""1Kgoo8qyo6zMtf_5B03ksZz228jg0XpZ4_KXsdHQ4Vks"",""14 Sept!A:B""),2,0)"),"ONIX782")</f>
        <v>ONIX782</v>
      </c>
      <c r="B590" s="5" t="str">
        <f>IFERROR(__xludf.DUMMYFUNCTION("""COMPUTED_VALUE"""),"Javier Pina")</f>
        <v>Javier Pina</v>
      </c>
      <c r="C590" s="5" t="str">
        <f>IFERROR(__xludf.DUMMYFUNCTION("""COMPUTED_VALUE"""),"javier.pina@onixnet.com")</f>
        <v>javier.pina@onixnet.com</v>
      </c>
      <c r="D590" s="4" t="s">
        <v>11</v>
      </c>
      <c r="E590" s="6" t="str">
        <f>IFERROR(__xludf.DUMMYFUNCTION("vlookup($A590,importrange(""1fyGnaViAX9kns28pvsfPvI9925sAI7kxPlM7jpuHVJM"",""Validation!A:Z""),11,0)"),"Delivery")</f>
        <v>Delivery</v>
      </c>
      <c r="F590" s="6" t="str">
        <f>IFERROR(__xludf.DUMMYFUNCTION("vlookup($A590,importrange(""1fyGnaViAX9kns28pvsfPvI9925sAI7kxPlM7jpuHVJM"",""Validation!A:Z""),23,0)"),"Philip Cummings")</f>
        <v>Philip Cummings</v>
      </c>
      <c r="G590" s="6" t="str">
        <f>IFERROR(__xludf.DUMMYFUNCTION("vlookup(A590,importrange(""1fyGnaViAX9kns28pvsfPvI9925sAI7kxPlM7jpuHVJM"",""Validation!A:Z""),22,0)"),"Portfolio - Rick")</f>
        <v>Portfolio - Rick</v>
      </c>
      <c r="H590" s="4" t="str">
        <f>IFERROR(__xludf.DUMMYFUNCTION("vlookup(C590,importrange(""1kw74ismGU34AsZ5x-W4x7F3Zt2xc8NSYcCVMrCJBmdQ"",""DRP for 8 products!B:C""),2,0)"),"UJEJPTOB8")</f>
        <v>UJEJPTOB8</v>
      </c>
      <c r="I590" s="7">
        <f>IFERROR(__xludf.DUMMYFUNCTION("vlookup(C590,importrange(""1kw74ismGU34AsZ5x-W4x7F3Zt2xc8NSYcCVMrCJBmdQ"",""DRP for 8 products!B:E""),4,0)"),8.0)</f>
        <v>8</v>
      </c>
      <c r="J590" s="8" t="str">
        <f t="shared" si="1"/>
        <v>Tier 4</v>
      </c>
      <c r="K590" s="9" t="str">
        <f t="shared" si="2"/>
        <v>Active</v>
      </c>
      <c r="L590" s="4" t="str">
        <f>IFERROR(__xludf.DUMMYFUNCTION("vlookup(C590,importrange(""1kw74ismGU34AsZ5x-W4x7F3Zt2xc8NSYcCVMrCJBmdQ"",""DRP for 8 products!B:H""),6,0)"),"BigQuery")</f>
        <v>BigQuery</v>
      </c>
      <c r="M590" s="10" t="str">
        <f t="shared" si="3"/>
        <v>Yes</v>
      </c>
    </row>
    <row r="591">
      <c r="A591" s="4" t="str">
        <f>IFERROR(__xludf.DUMMYFUNCTION("vlookup(C591,IMPORTRANGE(""1Kgoo8qyo6zMtf_5B03ksZz228jg0XpZ4_KXsdHQ4Vks"",""14 Sept!A:B""),2,0)"),"ONIX588")</f>
        <v>ONIX588</v>
      </c>
      <c r="B591" s="5" t="str">
        <f>IFERROR(__xludf.DUMMYFUNCTION("""COMPUTED_VALUE"""),"Nafe McNafee")</f>
        <v>Nafe McNafee</v>
      </c>
      <c r="C591" s="5" t="str">
        <f>IFERROR(__xludf.DUMMYFUNCTION("""COMPUTED_VALUE"""),"nafe.mcnafee@onixnet.com")</f>
        <v>nafe.mcnafee@onixnet.com</v>
      </c>
      <c r="D591" s="4" t="s">
        <v>11</v>
      </c>
      <c r="E591" s="6" t="str">
        <f>IFERROR(__xludf.DUMMYFUNCTION("vlookup($A591,importrange(""1fyGnaViAX9kns28pvsfPvI9925sAI7kxPlM7jpuHVJM"",""Validation!A:Z""),11,0)"),"Services")</f>
        <v>Services</v>
      </c>
      <c r="F591" s="6" t="str">
        <f>IFERROR(__xludf.DUMMYFUNCTION("vlookup($A591,importrange(""1fyGnaViAX9kns28pvsfPvI9925sAI7kxPlM7jpuHVJM"",""Validation!A:Z""),23,0)"),"Kyle Clark")</f>
        <v>Kyle Clark</v>
      </c>
      <c r="G591" s="6" t="str">
        <f>IFERROR(__xludf.DUMMYFUNCTION("vlookup(A591,importrange(""1fyGnaViAX9kns28pvsfPvI9925sAI7kxPlM7jpuHVJM"",""Validation!A:Z""),22,0)"),"Portfolio - Rick")</f>
        <v>Portfolio - Rick</v>
      </c>
      <c r="H591" s="4" t="str">
        <f>IFERROR(__xludf.DUMMYFUNCTION("vlookup(C591,importrange(""1kw74ismGU34AsZ5x-W4x7F3Zt2xc8NSYcCVMrCJBmdQ"",""DRP for 8 products!B:C""),2,0)"),"ONINMRQL4")</f>
        <v>ONINMRQL4</v>
      </c>
      <c r="I591" s="7">
        <f>IFERROR(__xludf.DUMMYFUNCTION("vlookup(C591,importrange(""1kw74ismGU34AsZ5x-W4x7F3Zt2xc8NSYcCVMrCJBmdQ"",""DRP for 8 products!B:E""),4,0)"),9.0)</f>
        <v>9</v>
      </c>
      <c r="J591" s="8" t="str">
        <f t="shared" si="1"/>
        <v>Tier 4</v>
      </c>
      <c r="K591" s="9" t="str">
        <f t="shared" si="2"/>
        <v>Active</v>
      </c>
      <c r="L591" s="4" t="str">
        <f>IFERROR(__xludf.DUMMYFUNCTION("vlookup(C591,importrange(""1kw74ismGU34AsZ5x-W4x7F3Zt2xc8NSYcCVMrCJBmdQ"",""DRP for 8 products!B:H""),6,0)"),"Looker")</f>
        <v>Looker</v>
      </c>
      <c r="M591" s="10" t="str">
        <f t="shared" si="3"/>
        <v>Yes</v>
      </c>
    </row>
    <row r="592">
      <c r="A592" s="4" t="str">
        <f>IFERROR(__xludf.DUMMYFUNCTION("vlookup(C592,IMPORTRANGE(""1Kgoo8qyo6zMtf_5B03ksZz228jg0XpZ4_KXsdHQ4Vks"",""14 Sept!A:B""),2,0)"),"ONIX663")</f>
        <v>ONIX663</v>
      </c>
      <c r="B592" s="5" t="str">
        <f>IFERROR(__xludf.DUMMYFUNCTION("""COMPUTED_VALUE"""),"Manasa")</f>
        <v>Manasa</v>
      </c>
      <c r="C592" s="5" t="str">
        <f>IFERROR(__xludf.DUMMYFUNCTION("""COMPUTED_VALUE"""),"manasa.padukone@onixnet.com")</f>
        <v>manasa.padukone@onixnet.com</v>
      </c>
      <c r="D592" s="4" t="s">
        <v>11</v>
      </c>
      <c r="E592" s="6" t="str">
        <f>IFERROR(__xludf.DUMMYFUNCTION("vlookup($A592,importrange(""1fyGnaViAX9kns28pvsfPvI9925sAI7kxPlM7jpuHVJM"",""Validation!A:Z""),11,0)"),"Services")</f>
        <v>Services</v>
      </c>
      <c r="F592" s="6" t="str">
        <f>IFERROR(__xludf.DUMMYFUNCTION("vlookup($A592,importrange(""1fyGnaViAX9kns28pvsfPvI9925sAI7kxPlM7jpuHVJM"",""Validation!A:Z""),23,0)"),"Philip Cummings")</f>
        <v>Philip Cummings</v>
      </c>
      <c r="G592" s="6" t="str">
        <f>IFERROR(__xludf.DUMMYFUNCTION("vlookup(A592,importrange(""1fyGnaViAX9kns28pvsfPvI9925sAI7kxPlM7jpuHVJM"",""Validation!A:Z""),22,0)"),"Portfolio - Rick")</f>
        <v>Portfolio - Rick</v>
      </c>
      <c r="H592" s="4" t="str">
        <f>IFERROR(__xludf.DUMMYFUNCTION("vlookup(C592,importrange(""1kw74ismGU34AsZ5x-W4x7F3Zt2xc8NSYcCVMrCJBmdQ"",""DRP for 8 products!B:C""),2,0)"),"ONIMAEEJ4")</f>
        <v>ONIMAEEJ4</v>
      </c>
      <c r="I592" s="7">
        <f>IFERROR(__xludf.DUMMYFUNCTION("vlookup(C592,importrange(""1kw74ismGU34AsZ5x-W4x7F3Zt2xc8NSYcCVMrCJBmdQ"",""DRP for 8 products!B:E""),4,0)"),14.0)</f>
        <v>14</v>
      </c>
      <c r="J592" s="8" t="str">
        <f t="shared" si="1"/>
        <v>Tier 4</v>
      </c>
      <c r="K592" s="9" t="str">
        <f t="shared" si="2"/>
        <v>Active</v>
      </c>
      <c r="L592" s="4" t="str">
        <f>IFERROR(__xludf.DUMMYFUNCTION("vlookup(C592,importrange(""1kw74ismGU34AsZ5x-W4x7F3Zt2xc8NSYcCVMrCJBmdQ"",""DRP for 8 products!B:H""),6,0)"),"BigQuery")</f>
        <v>BigQuery</v>
      </c>
      <c r="M592" s="10" t="str">
        <f t="shared" si="3"/>
        <v>Yes</v>
      </c>
    </row>
    <row r="593">
      <c r="A593" s="4" t="str">
        <f>IFERROR(__xludf.DUMMYFUNCTION("vlookup(C593,IMPORTRANGE(""1Kgoo8qyo6zMtf_5B03ksZz228jg0XpZ4_KXsdHQ4Vks"",""14 Sept!A:B""),2,0)"),"ONIX870")</f>
        <v>ONIX870</v>
      </c>
      <c r="B593" s="5" t="str">
        <f>IFERROR(__xludf.DUMMYFUNCTION("""COMPUTED_VALUE"""),"Gaurav Aggarwal")</f>
        <v>Gaurav Aggarwal</v>
      </c>
      <c r="C593" s="5" t="str">
        <f>IFERROR(__xludf.DUMMYFUNCTION("""COMPUTED_VALUE"""),"gaurav.agarwaal@onixnet.com")</f>
        <v>gaurav.agarwaal@onixnet.com</v>
      </c>
      <c r="D593" s="4" t="s">
        <v>11</v>
      </c>
      <c r="E593" s="6" t="str">
        <f>IFERROR(__xludf.DUMMYFUNCTION("vlookup($A593,importrange(""1fyGnaViAX9kns28pvsfPvI9925sAI7kxPlM7jpuHVJM"",""Validation!A:Z""),11,0)"),"Solution Management")</f>
        <v>Solution Management</v>
      </c>
      <c r="F593" s="6" t="str">
        <f>IFERROR(__xludf.DUMMYFUNCTION("vlookup($A593,importrange(""1fyGnaViAX9kns28pvsfPvI9925sAI7kxPlM7jpuHVJM"",""Validation!A:Z""),23,0)"),"Patrick Schablitzki")</f>
        <v>Patrick Schablitzki</v>
      </c>
      <c r="G593" s="6" t="str">
        <f>IFERROR(__xludf.DUMMYFUNCTION("vlookup(A593,importrange(""1fyGnaViAX9kns28pvsfPvI9925sAI7kxPlM7jpuHVJM"",""Validation!A:Z""),22,0)"),"Portfolio - Patrick")</f>
        <v>Portfolio - Patrick</v>
      </c>
      <c r="H593" s="4" t="str">
        <f>IFERROR(__xludf.DUMMYFUNCTION("vlookup(C593,importrange(""1kw74ismGU34AsZ5x-W4x7F3Zt2xc8NSYcCVMrCJBmdQ"",""DRP for 8 products!B:C""),2,0)"),"ONIGAENN4")</f>
        <v>ONIGAENN4</v>
      </c>
      <c r="I593" s="7">
        <f>IFERROR(__xludf.DUMMYFUNCTION("vlookup(C593,importrange(""1kw74ismGU34AsZ5x-W4x7F3Zt2xc8NSYcCVMrCJBmdQ"",""DRP for 8 products!B:E""),4,0)"),14.0)</f>
        <v>14</v>
      </c>
      <c r="J593" s="8" t="str">
        <f t="shared" si="1"/>
        <v>Tier 4</v>
      </c>
      <c r="K593" s="9" t="str">
        <f t="shared" si="2"/>
        <v>Active</v>
      </c>
      <c r="L593" s="4" t="str">
        <f>IFERROR(__xludf.DUMMYFUNCTION("vlookup(C593,importrange(""1kw74ismGU34AsZ5x-W4x7F3Zt2xc8NSYcCVMrCJBmdQ"",""DRP for 8 products!B:H""),6,0)"),"AlloyDB for PostgreSQL")</f>
        <v>AlloyDB for PostgreSQL</v>
      </c>
      <c r="M593" s="10" t="str">
        <f t="shared" si="3"/>
        <v>Yes</v>
      </c>
    </row>
    <row r="594">
      <c r="A594" s="4" t="str">
        <f>IFERROR(__xludf.DUMMYFUNCTION("vlookup(C594,IMPORTRANGE(""1Kgoo8qyo6zMtf_5B03ksZz228jg0XpZ4_KXsdHQ4Vks"",""14 Sept!A:B""),2,0)"),"DME0534")</f>
        <v>DME0534</v>
      </c>
      <c r="B594" s="5" t="str">
        <f>IFERROR(__xludf.DUMMYFUNCTION("""COMPUTED_VALUE"""),"Ravi Shankar")</f>
        <v>Ravi Shankar</v>
      </c>
      <c r="C594" s="5" t="str">
        <f>IFERROR(__xludf.DUMMYFUNCTION("""COMPUTED_VALUE"""),"ravi.shankar@onixnet.com")</f>
        <v>ravi.shankar@onixnet.com</v>
      </c>
      <c r="D594" s="4" t="s">
        <v>11</v>
      </c>
      <c r="E594" s="6" t="str">
        <f>IFERROR(__xludf.DUMMYFUNCTION("vlookup($A594,importrange(""1fyGnaViAX9kns28pvsfPvI9925sAI7kxPlM7jpuHVJM"",""Validation!A:Z""),11,0)"),"Delivery Services")</f>
        <v>Delivery Services</v>
      </c>
      <c r="F594" s="6" t="str">
        <f>IFERROR(__xludf.DUMMYFUNCTION("vlookup($A594,importrange(""1fyGnaViAX9kns28pvsfPvI9925sAI7kxPlM7jpuHVJM"",""Validation!A:Z""),23,0)"),"Sagar Surana")</f>
        <v>Sagar Surana</v>
      </c>
      <c r="G594" s="6" t="str">
        <f>IFERROR(__xludf.DUMMYFUNCTION("vlookup(A594,importrange(""1fyGnaViAX9kns28pvsfPvI9925sAI7kxPlM7jpuHVJM"",""Validation!A:Z""),22,0)"),"Cluster - Sagar")</f>
        <v>Cluster - Sagar</v>
      </c>
      <c r="H594" s="4" t="str">
        <f>IFERROR(__xludf.DUMMYFUNCTION("vlookup(C594,importrange(""1kw74ismGU34AsZ5x-W4x7F3Zt2xc8NSYcCVMrCJBmdQ"",""DRP for 8 products!B:C""),2,0)"),"ONIRSJOW2")</f>
        <v>ONIRSJOW2</v>
      </c>
      <c r="I594" s="7">
        <f>IFERROR(__xludf.DUMMYFUNCTION("vlookup(C594,importrange(""1kw74ismGU34AsZ5x-W4x7F3Zt2xc8NSYcCVMrCJBmdQ"",""DRP for 8 products!B:E""),4,0)"),55.0)</f>
        <v>55</v>
      </c>
      <c r="J594" s="8" t="str">
        <f t="shared" si="1"/>
        <v>Tier 1</v>
      </c>
      <c r="K594" s="9" t="str">
        <f t="shared" si="2"/>
        <v>Active</v>
      </c>
      <c r="L594" s="4" t="str">
        <f>IFERROR(__xludf.DUMMYFUNCTION("vlookup(C594,importrange(""1kw74ismGU34AsZ5x-W4x7F3Zt2xc8NSYcCVMrCJBmdQ"",""DRP for 8 products!B:H""),6,0)"),"BigQuery")</f>
        <v>BigQuery</v>
      </c>
      <c r="M594" s="10" t="str">
        <f t="shared" si="3"/>
        <v>Yes</v>
      </c>
    </row>
    <row r="595">
      <c r="A595" s="4" t="str">
        <f>IFERROR(__xludf.DUMMYFUNCTION("vlookup(C595,IMPORTRANGE(""1Kgoo8qyo6zMtf_5B03ksZz228jg0XpZ4_KXsdHQ4Vks"",""14 Sept!A:B""),2,0)"),"DME1914")</f>
        <v>DME1914</v>
      </c>
      <c r="B595" s="5" t="str">
        <f>IFERROR(__xludf.DUMMYFUNCTION("""COMPUTED_VALUE"""),"Gaurav Rajpal")</f>
        <v>Gaurav Rajpal</v>
      </c>
      <c r="C595" s="5" t="str">
        <f>IFERROR(__xludf.DUMMYFUNCTION("""COMPUTED_VALUE"""),"gaurav.rajpal@onixnet.com")</f>
        <v>gaurav.rajpal@onixnet.com</v>
      </c>
      <c r="D595" s="4" t="s">
        <v>11</v>
      </c>
      <c r="E595" s="6" t="str">
        <f>IFERROR(__xludf.DUMMYFUNCTION("vlookup($A595,importrange(""1fyGnaViAX9kns28pvsfPvI9925sAI7kxPlM7jpuHVJM"",""Validation!A:Z""),11,0)"),"Delivery Services")</f>
        <v>Delivery Services</v>
      </c>
      <c r="F595" s="6" t="str">
        <f>IFERROR(__xludf.DUMMYFUNCTION("vlookup($A595,importrange(""1fyGnaViAX9kns28pvsfPvI9925sAI7kxPlM7jpuHVJM"",""Validation!A:Z""),23,0)"),"Amit Argade")</f>
        <v>Amit Argade</v>
      </c>
      <c r="G595" s="6" t="str">
        <f>IFERROR(__xludf.DUMMYFUNCTION("vlookup(A595,importrange(""1fyGnaViAX9kns28pvsfPvI9925sAI7kxPlM7jpuHVJM"",""Validation!A:Z""),22,0)"),"Cluster - Sagar")</f>
        <v>Cluster - Sagar</v>
      </c>
      <c r="H595" s="4" t="str">
        <f>IFERROR(__xludf.DUMMYFUNCTION("vlookup(C595,importrange(""1kw74ismGU34AsZ5x-W4x7F3Zt2xc8NSYcCVMrCJBmdQ"",""DRP for 8 products!B:C""),2,0)"),"ONIGRHVN5")</f>
        <v>ONIGRHVN5</v>
      </c>
      <c r="I595" s="7">
        <f>IFERROR(__xludf.DUMMYFUNCTION("vlookup(C595,importrange(""1kw74ismGU34AsZ5x-W4x7F3Zt2xc8NSYcCVMrCJBmdQ"",""DRP for 8 products!B:E""),4,0)"),44.0)</f>
        <v>44</v>
      </c>
      <c r="J595" s="8" t="str">
        <f t="shared" si="1"/>
        <v>Tier 2</v>
      </c>
      <c r="K595" s="9" t="str">
        <f t="shared" si="2"/>
        <v>Active</v>
      </c>
      <c r="L595" s="4" t="str">
        <f>IFERROR(__xludf.DUMMYFUNCTION("vlookup(C595,importrange(""1kw74ismGU34AsZ5x-W4x7F3Zt2xc8NSYcCVMrCJBmdQ"",""DRP for 8 products!B:H""),6,0)"),"BigQuery")</f>
        <v>BigQuery</v>
      </c>
      <c r="M595" s="10" t="str">
        <f t="shared" si="3"/>
        <v>Yes</v>
      </c>
    </row>
    <row r="596">
      <c r="A596" s="4" t="str">
        <f>IFERROR(__xludf.DUMMYFUNCTION("vlookup(C596,IMPORTRANGE(""1Kgoo8qyo6zMtf_5B03ksZz228jg0XpZ4_KXsdHQ4Vks"",""14 Sept!A:B""),2,0)"),"DME1247")</f>
        <v>DME1247</v>
      </c>
      <c r="B596" s="5" t="str">
        <f>IFERROR(__xludf.DUMMYFUNCTION("""COMPUTED_VALUE"""),"Deepu Dasari")</f>
        <v>Deepu Dasari</v>
      </c>
      <c r="C596" s="5" t="str">
        <f>IFERROR(__xludf.DUMMYFUNCTION("""COMPUTED_VALUE"""),"deepu.dasari@onixnet.com")</f>
        <v>deepu.dasari@onixnet.com</v>
      </c>
      <c r="D596" s="4" t="s">
        <v>11</v>
      </c>
      <c r="E596" s="6" t="str">
        <f>IFERROR(__xludf.DUMMYFUNCTION("vlookup($A596,importrange(""1fyGnaViAX9kns28pvsfPvI9925sAI7kxPlM7jpuHVJM"",""Validation!A:Z""),11,0)"),"Delivery Services")</f>
        <v>Delivery Services</v>
      </c>
      <c r="F596" s="6" t="str">
        <f>IFERROR(__xludf.DUMMYFUNCTION("vlookup($A596,importrange(""1fyGnaViAX9kns28pvsfPvI9925sAI7kxPlM7jpuHVJM"",""Validation!A:Z""),23,0)"),"Vishal Khare")</f>
        <v>Vishal Khare</v>
      </c>
      <c r="G596" s="6" t="str">
        <f>IFERROR(__xludf.DUMMYFUNCTION("vlookup(A596,importrange(""1fyGnaViAX9kns28pvsfPvI9925sAI7kxPlM7jpuHVJM"",""Validation!A:Z""),22,0)"),"Cluster - Sagar")</f>
        <v>Cluster - Sagar</v>
      </c>
      <c r="H596" s="4" t="str">
        <f>IFERROR(__xludf.DUMMYFUNCTION("vlookup(C596,importrange(""1kw74ismGU34AsZ5x-W4x7F3Zt2xc8NSYcCVMrCJBmdQ"",""DRP for 8 products!B:C""),2,0)"),"ONIDDWEL2")</f>
        <v>ONIDDWEL2</v>
      </c>
      <c r="I596" s="7">
        <f>IFERROR(__xludf.DUMMYFUNCTION("vlookup(C596,importrange(""1kw74ismGU34AsZ5x-W4x7F3Zt2xc8NSYcCVMrCJBmdQ"",""DRP for 8 products!B:E""),4,0)"),59.0)</f>
        <v>59</v>
      </c>
      <c r="J596" s="8" t="str">
        <f t="shared" si="1"/>
        <v>Tier 1</v>
      </c>
      <c r="K596" s="9" t="str">
        <f t="shared" si="2"/>
        <v>Active</v>
      </c>
      <c r="L596" s="4" t="str">
        <f>IFERROR(__xludf.DUMMYFUNCTION("vlookup(C596,importrange(""1kw74ismGU34AsZ5x-W4x7F3Zt2xc8NSYcCVMrCJBmdQ"",""DRP for 8 products!B:H""),6,0)"),"BigQuery")</f>
        <v>BigQuery</v>
      </c>
      <c r="M596" s="10" t="str">
        <f t="shared" si="3"/>
        <v>Yes</v>
      </c>
    </row>
    <row r="597">
      <c r="A597" s="4" t="str">
        <f>IFERROR(__xludf.DUMMYFUNCTION("vlookup(C597,IMPORTRANGE(""1Kgoo8qyo6zMtf_5B03ksZz228jg0XpZ4_KXsdHQ4Vks"",""14 Sept!A:B""),2,0)"),"DME1470")</f>
        <v>DME1470</v>
      </c>
      <c r="B597" s="5" t="str">
        <f>IFERROR(__xludf.DUMMYFUNCTION("""COMPUTED_VALUE"""),"NAMAN JAIN")</f>
        <v>NAMAN JAIN</v>
      </c>
      <c r="C597" s="5" t="str">
        <f>IFERROR(__xludf.DUMMYFUNCTION("""COMPUTED_VALUE"""),"naman.jain@onixnet.com")</f>
        <v>naman.jain@onixnet.com</v>
      </c>
      <c r="D597" s="4" t="s">
        <v>11</v>
      </c>
      <c r="E597" s="6" t="str">
        <f>IFERROR(__xludf.DUMMYFUNCTION("vlookup($A597,importrange(""1fyGnaViAX9kns28pvsfPvI9925sAI7kxPlM7jpuHVJM"",""Validation!A:Z""),11,0)"),"Delivery Services")</f>
        <v>Delivery Services</v>
      </c>
      <c r="F597" s="6" t="str">
        <f>IFERROR(__xludf.DUMMYFUNCTION("vlookup($A597,importrange(""1fyGnaViAX9kns28pvsfPvI9925sAI7kxPlM7jpuHVJM"",""Validation!A:Z""),23,0)"),"Prasad Pramod Kulkarni")</f>
        <v>Prasad Pramod Kulkarni</v>
      </c>
      <c r="G597" s="6" t="str">
        <f>IFERROR(__xludf.DUMMYFUNCTION("vlookup(A597,importrange(""1fyGnaViAX9kns28pvsfPvI9925sAI7kxPlM7jpuHVJM"",""Validation!A:Z""),22,0)"),"Cluster - Sagar")</f>
        <v>Cluster - Sagar</v>
      </c>
      <c r="H597" s="4" t="str">
        <f>IFERROR(__xludf.DUMMYFUNCTION("vlookup(C597,importrange(""1kw74ismGU34AsZ5x-W4x7F3Zt2xc8NSYcCVMrCJBmdQ"",""DRP for 8 products!B:C""),2,0)"),"ONINJYAH3")</f>
        <v>ONINJYAH3</v>
      </c>
      <c r="I597" s="7">
        <f>IFERROR(__xludf.DUMMYFUNCTION("vlookup(C597,importrange(""1kw74ismGU34AsZ5x-W4x7F3Zt2xc8NSYcCVMrCJBmdQ"",""DRP for 8 products!B:E""),4,0)"),54.0)</f>
        <v>54</v>
      </c>
      <c r="J597" s="8" t="str">
        <f t="shared" si="1"/>
        <v>Tier 1</v>
      </c>
      <c r="K597" s="9" t="str">
        <f t="shared" si="2"/>
        <v>Active</v>
      </c>
      <c r="L597" s="4" t="str">
        <f>IFERROR(__xludf.DUMMYFUNCTION("vlookup(C597,importrange(""1kw74ismGU34AsZ5x-W4x7F3Zt2xc8NSYcCVMrCJBmdQ"",""DRP for 8 products!B:H""),6,0)"),"BigQuery")</f>
        <v>BigQuery</v>
      </c>
      <c r="M597" s="10" t="str">
        <f t="shared" si="3"/>
        <v>Yes</v>
      </c>
    </row>
    <row r="598">
      <c r="A598" s="4" t="str">
        <f>IFERROR(__xludf.DUMMYFUNCTION("vlookup(C598,IMPORTRANGE(""1Kgoo8qyo6zMtf_5B03ksZz228jg0XpZ4_KXsdHQ4Vks"",""14 Sept!A:B""),2,0)"),"DME1706")</f>
        <v>DME1706</v>
      </c>
      <c r="B598" s="5" t="str">
        <f>IFERROR(__xludf.DUMMYFUNCTION("""COMPUTED_VALUE"""),"Shivani Gaikar")</f>
        <v>Shivani Gaikar</v>
      </c>
      <c r="C598" s="5" t="str">
        <f>IFERROR(__xludf.DUMMYFUNCTION("""COMPUTED_VALUE"""),"shivani.gaikar@onixnet.com")</f>
        <v>shivani.gaikar@onixnet.com</v>
      </c>
      <c r="D598" s="4" t="s">
        <v>11</v>
      </c>
      <c r="E598" s="6" t="str">
        <f>IFERROR(__xludf.DUMMYFUNCTION("vlookup($A598,importrange(""1fyGnaViAX9kns28pvsfPvI9925sAI7kxPlM7jpuHVJM"",""Validation!A:Z""),11,0)"),"Delivery Services")</f>
        <v>Delivery Services</v>
      </c>
      <c r="F598" s="6" t="str">
        <f>IFERROR(__xludf.DUMMYFUNCTION("vlookup($A598,importrange(""1fyGnaViAX9kns28pvsfPvI9925sAI7kxPlM7jpuHVJM"",""Validation!A:Z""),23,0)"),"Sunny Mathur")</f>
        <v>Sunny Mathur</v>
      </c>
      <c r="G598" s="6" t="str">
        <f>IFERROR(__xludf.DUMMYFUNCTION("vlookup(A598,importrange(""1fyGnaViAX9kns28pvsfPvI9925sAI7kxPlM7jpuHVJM"",""Validation!A:Z""),22,0)"),"Cluster - Sagar")</f>
        <v>Cluster - Sagar</v>
      </c>
      <c r="H598" s="4" t="str">
        <f>IFERROR(__xludf.DUMMYFUNCTION("vlookup(C598,importrange(""1kw74ismGU34AsZ5x-W4x7F3Zt2xc8NSYcCVMrCJBmdQ"",""DRP for 8 products!B:C""),2,0)"),"ONISGNQS2")</f>
        <v>ONISGNQS2</v>
      </c>
      <c r="I598" s="7">
        <f>IFERROR(__xludf.DUMMYFUNCTION("vlookup(C598,importrange(""1kw74ismGU34AsZ5x-W4x7F3Zt2xc8NSYcCVMrCJBmdQ"",""DRP for 8 products!B:E""),4,0)"),54.0)</f>
        <v>54</v>
      </c>
      <c r="J598" s="8" t="str">
        <f t="shared" si="1"/>
        <v>Tier 1</v>
      </c>
      <c r="K598" s="9" t="str">
        <f t="shared" si="2"/>
        <v>Active</v>
      </c>
      <c r="L598" s="4" t="str">
        <f>IFERROR(__xludf.DUMMYFUNCTION("vlookup(C598,importrange(""1kw74ismGU34AsZ5x-W4x7F3Zt2xc8NSYcCVMrCJBmdQ"",""DRP for 8 products!B:H""),6,0)"),"BigQuery")</f>
        <v>BigQuery</v>
      </c>
      <c r="M598" s="10" t="str">
        <f t="shared" si="3"/>
        <v>Yes</v>
      </c>
    </row>
    <row r="599">
      <c r="A599" s="4" t="str">
        <f>IFERROR(__xludf.DUMMYFUNCTION("vlookup(C599,IMPORTRANGE(""1Kgoo8qyo6zMtf_5B03ksZz228jg0XpZ4_KXsdHQ4Vks"",""14 Sept!A:B""),2,0)"),"DME2452")</f>
        <v>DME2452</v>
      </c>
      <c r="B599" s="5" t="str">
        <f>IFERROR(__xludf.DUMMYFUNCTION("""COMPUTED_VALUE"""),"krishna sawase")</f>
        <v>krishna sawase</v>
      </c>
      <c r="C599" s="5" t="str">
        <f>IFERROR(__xludf.DUMMYFUNCTION("""COMPUTED_VALUE"""),"krishna.sawase@onixnet.com")</f>
        <v>krishna.sawase@onixnet.com</v>
      </c>
      <c r="D599" s="4" t="s">
        <v>11</v>
      </c>
      <c r="E599" s="6" t="str">
        <f>IFERROR(__xludf.DUMMYFUNCTION("vlookup($A599,importrange(""1fyGnaViAX9kns28pvsfPvI9925sAI7kxPlM7jpuHVJM"",""Validation!A:Z""),11,0)"),"Delivery Services")</f>
        <v>Delivery Services</v>
      </c>
      <c r="F599" s="6" t="str">
        <f>IFERROR(__xludf.DUMMYFUNCTION("vlookup($A599,importrange(""1fyGnaViAX9kns28pvsfPvI9925sAI7kxPlM7jpuHVJM"",""Validation!A:Z""),23,0)"),"Shreyas Meshram")</f>
        <v>Shreyas Meshram</v>
      </c>
      <c r="G599" s="6" t="str">
        <f>IFERROR(__xludf.DUMMYFUNCTION("vlookup(A599,importrange(""1fyGnaViAX9kns28pvsfPvI9925sAI7kxPlM7jpuHVJM"",""Validation!A:Z""),22,0)"),"Cluster - Gaurav")</f>
        <v>Cluster - Gaurav</v>
      </c>
      <c r="H599" s="4" t="str">
        <f>IFERROR(__xludf.DUMMYFUNCTION("vlookup(C599,importrange(""1kw74ismGU34AsZ5x-W4x7F3Zt2xc8NSYcCVMrCJBmdQ"",""DRP for 8 products!B:C""),2,0)"),"ONIKSXKD8")</f>
        <v>ONIKSXKD8</v>
      </c>
      <c r="I599" s="7">
        <f>IFERROR(__xludf.DUMMYFUNCTION("vlookup(C599,importrange(""1kw74ismGU34AsZ5x-W4x7F3Zt2xc8NSYcCVMrCJBmdQ"",""DRP for 8 products!B:E""),4,0)"),32.0)</f>
        <v>32</v>
      </c>
      <c r="J599" s="8" t="str">
        <f t="shared" si="1"/>
        <v>Tier 3</v>
      </c>
      <c r="K599" s="9" t="str">
        <f t="shared" si="2"/>
        <v>Active</v>
      </c>
      <c r="L599" s="4" t="str">
        <f>IFERROR(__xludf.DUMMYFUNCTION("vlookup(C599,importrange(""1kw74ismGU34AsZ5x-W4x7F3Zt2xc8NSYcCVMrCJBmdQ"",""DRP for 8 products!B:H""),6,0)"),"BigQuery")</f>
        <v>BigQuery</v>
      </c>
      <c r="M599" s="10" t="str">
        <f t="shared" si="3"/>
        <v>Yes</v>
      </c>
    </row>
    <row r="600">
      <c r="A600" s="4" t="str">
        <f>IFERROR(__xludf.DUMMYFUNCTION("vlookup(C600,IMPORTRANGE(""1Kgoo8qyo6zMtf_5B03ksZz228jg0XpZ4_KXsdHQ4Vks"",""14 Sept!A:B""),2,0)"),"DME3285")</f>
        <v>DME3285</v>
      </c>
      <c r="B600" s="5" t="str">
        <f>IFERROR(__xludf.DUMMYFUNCTION("""COMPUTED_VALUE"""),"Sourabh Gaikwad")</f>
        <v>Sourabh Gaikwad</v>
      </c>
      <c r="C600" s="5" t="str">
        <f>IFERROR(__xludf.DUMMYFUNCTION("""COMPUTED_VALUE"""),"sourabh.gaikwad@onixnet.com")</f>
        <v>sourabh.gaikwad@onixnet.com</v>
      </c>
      <c r="D600" s="4" t="s">
        <v>11</v>
      </c>
      <c r="E600" s="6" t="str">
        <f>IFERROR(__xludf.DUMMYFUNCTION("vlookup($A600,importrange(""1fyGnaViAX9kns28pvsfPvI9925sAI7kxPlM7jpuHVJM"",""Validation!A:Z""),11,0)"),"Delivery Services")</f>
        <v>Delivery Services</v>
      </c>
      <c r="F600" s="6" t="str">
        <f>IFERROR(__xludf.DUMMYFUNCTION("vlookup($A600,importrange(""1fyGnaViAX9kns28pvsfPvI9925sAI7kxPlM7jpuHVJM"",""Validation!A:Z""),23,0)"),"Aditya Kumar Agarwal")</f>
        <v>Aditya Kumar Agarwal</v>
      </c>
      <c r="G600" s="6" t="str">
        <f>IFERROR(__xludf.DUMMYFUNCTION("vlookup(A600,importrange(""1fyGnaViAX9kns28pvsfPvI9925sAI7kxPlM7jpuHVJM"",""Validation!A:Z""),22,0)"),"Cluster - Sagar")</f>
        <v>Cluster - Sagar</v>
      </c>
      <c r="H600" s="4" t="str">
        <f>IFERROR(__xludf.DUMMYFUNCTION("vlookup(C600,importrange(""1kw74ismGU34AsZ5x-W4x7F3Zt2xc8NSYcCVMrCJBmdQ"",""DRP for 8 products!B:C""),2,0)"),"ONISGLGQ9")</f>
        <v>ONISGLGQ9</v>
      </c>
      <c r="I600" s="7">
        <f>IFERROR(__xludf.DUMMYFUNCTION("vlookup(C600,importrange(""1kw74ismGU34AsZ5x-W4x7F3Zt2xc8NSYcCVMrCJBmdQ"",""DRP for 8 products!B:E""),4,0)"),24.0)</f>
        <v>24</v>
      </c>
      <c r="J600" s="8" t="str">
        <f t="shared" si="1"/>
        <v>Tier 3</v>
      </c>
      <c r="K600" s="9" t="str">
        <f t="shared" si="2"/>
        <v>Active</v>
      </c>
      <c r="L600" s="4" t="str">
        <f>IFERROR(__xludf.DUMMYFUNCTION("vlookup(C600,importrange(""1kw74ismGU34AsZ5x-W4x7F3Zt2xc8NSYcCVMrCJBmdQ"",""DRP for 8 products!B:H""),6,0)"),"BigQuery")</f>
        <v>BigQuery</v>
      </c>
      <c r="M600" s="10" t="str">
        <f t="shared" si="3"/>
        <v>Yes</v>
      </c>
    </row>
    <row r="601">
      <c r="A601" s="4" t="str">
        <f>IFERROR(__xludf.DUMMYFUNCTION("vlookup(C601,IMPORTRANGE(""1Kgoo8qyo6zMtf_5B03ksZz228jg0XpZ4_KXsdHQ4Vks"",""14 Sept!A:B""),2,0)"),"DME1519")</f>
        <v>DME1519</v>
      </c>
      <c r="B601" s="5" t="str">
        <f>IFERROR(__xludf.DUMMYFUNCTION("""COMPUTED_VALUE"""),"Kadeer basha Sayyad")</f>
        <v>Kadeer basha Sayyad</v>
      </c>
      <c r="C601" s="5" t="str">
        <f>IFERROR(__xludf.DUMMYFUNCTION("""COMPUTED_VALUE"""),"kadeer.sayyad@onixnet.com")</f>
        <v>kadeer.sayyad@onixnet.com</v>
      </c>
      <c r="D601" s="4" t="s">
        <v>11</v>
      </c>
      <c r="E601" s="6" t="str">
        <f>IFERROR(__xludf.DUMMYFUNCTION("vlookup($A601,importrange(""1fyGnaViAX9kns28pvsfPvI9925sAI7kxPlM7jpuHVJM"",""Validation!A:Z""),11,0)"),"Delivery Services")</f>
        <v>Delivery Services</v>
      </c>
      <c r="F601" s="6" t="str">
        <f>IFERROR(__xludf.DUMMYFUNCTION("vlookup($A601,importrange(""1fyGnaViAX9kns28pvsfPvI9925sAI7kxPlM7jpuHVJM"",""Validation!A:Z""),23,0)"),"Ravindra Pujari")</f>
        <v>Ravindra Pujari</v>
      </c>
      <c r="G601" s="6" t="str">
        <f>IFERROR(__xludf.DUMMYFUNCTION("vlookup(A601,importrange(""1fyGnaViAX9kns28pvsfPvI9925sAI7kxPlM7jpuHVJM"",""Validation!A:Z""),22,0)"),"Cluster - Sachin")</f>
        <v>Cluster - Sachin</v>
      </c>
      <c r="H601" s="4" t="str">
        <f>IFERROR(__xludf.DUMMYFUNCTION("vlookup(C601,importrange(""1kw74ismGU34AsZ5x-W4x7F3Zt2xc8NSYcCVMrCJBmdQ"",""DRP for 8 products!B:C""),2,0)"),"ONIKSTDB3")</f>
        <v>ONIKSTDB3</v>
      </c>
      <c r="I601" s="7">
        <f>IFERROR(__xludf.DUMMYFUNCTION("vlookup(C601,importrange(""1kw74ismGU34AsZ5x-W4x7F3Zt2xc8NSYcCVMrCJBmdQ"",""DRP for 8 products!B:E""),4,0)"),25.0)</f>
        <v>25</v>
      </c>
      <c r="J601" s="8" t="str">
        <f t="shared" si="1"/>
        <v>Tier 3</v>
      </c>
      <c r="K601" s="9" t="str">
        <f t="shared" si="2"/>
        <v>Active</v>
      </c>
      <c r="L601" s="4" t="str">
        <f>IFERROR(__xludf.DUMMYFUNCTION("vlookup(C601,importrange(""1kw74ismGU34AsZ5x-W4x7F3Zt2xc8NSYcCVMrCJBmdQ"",""DRP for 8 products!B:H""),6,0)"),"BigQuery")</f>
        <v>BigQuery</v>
      </c>
      <c r="M601" s="10" t="str">
        <f t="shared" si="3"/>
        <v>Yes</v>
      </c>
    </row>
    <row r="602">
      <c r="A602" s="4" t="str">
        <f>IFERROR(__xludf.DUMMYFUNCTION("vlookup(C602,IMPORTRANGE(""1Kgoo8qyo6zMtf_5B03ksZz228jg0XpZ4_KXsdHQ4Vks"",""14 Sept!A:B""),2,0)"),"DME1840")</f>
        <v>DME1840</v>
      </c>
      <c r="B602" s="5" t="str">
        <f>IFERROR(__xludf.DUMMYFUNCTION("""COMPUTED_VALUE"""),"Dhananjay Pise")</f>
        <v>Dhananjay Pise</v>
      </c>
      <c r="C602" s="5" t="str">
        <f>IFERROR(__xludf.DUMMYFUNCTION("""COMPUTED_VALUE"""),"dhananjay.pise@onixnet.com")</f>
        <v>dhananjay.pise@onixnet.com</v>
      </c>
      <c r="D602" s="4" t="s">
        <v>11</v>
      </c>
      <c r="E602" s="6" t="str">
        <f>IFERROR(__xludf.DUMMYFUNCTION("vlookup($A602,importrange(""1fyGnaViAX9kns28pvsfPvI9925sAI7kxPlM7jpuHVJM"",""Validation!A:Z""),11,0)"),"Delivery Services")</f>
        <v>Delivery Services</v>
      </c>
      <c r="F602" s="6" t="str">
        <f>IFERROR(__xludf.DUMMYFUNCTION("vlookup($A602,importrange(""1fyGnaViAX9kns28pvsfPvI9925sAI7kxPlM7jpuHVJM"",""Validation!A:Z""),23,0)"),"Sheela Sawant")</f>
        <v>Sheela Sawant</v>
      </c>
      <c r="G602" s="6" t="str">
        <f>IFERROR(__xludf.DUMMYFUNCTION("vlookup(A602,importrange(""1fyGnaViAX9kns28pvsfPvI9925sAI7kxPlM7jpuHVJM"",""Validation!A:Z""),22,0)"),"Cluster - Sagar")</f>
        <v>Cluster - Sagar</v>
      </c>
      <c r="H602" s="4" t="str">
        <f>IFERROR(__xludf.DUMMYFUNCTION("vlookup(C602,importrange(""1kw74ismGU34AsZ5x-W4x7F3Zt2xc8NSYcCVMrCJBmdQ"",""DRP for 8 products!B:C""),2,0)"),"ONIDPHTC8")</f>
        <v>ONIDPHTC8</v>
      </c>
      <c r="I602" s="7">
        <f>IFERROR(__xludf.DUMMYFUNCTION("vlookup(C602,importrange(""1kw74ismGU34AsZ5x-W4x7F3Zt2xc8NSYcCVMrCJBmdQ"",""DRP for 8 products!B:E""),4,0)"),39.0)</f>
        <v>39</v>
      </c>
      <c r="J602" s="8" t="str">
        <f t="shared" si="1"/>
        <v>Tier 2</v>
      </c>
      <c r="K602" s="9" t="str">
        <f t="shared" si="2"/>
        <v>Active</v>
      </c>
      <c r="L602" s="4" t="str">
        <f>IFERROR(__xludf.DUMMYFUNCTION("vlookup(C602,importrange(""1kw74ismGU34AsZ5x-W4x7F3Zt2xc8NSYcCVMrCJBmdQ"",""DRP for 8 products!B:H""),6,0)"),"BigQuery")</f>
        <v>BigQuery</v>
      </c>
      <c r="M602" s="10" t="str">
        <f t="shared" si="3"/>
        <v>Yes</v>
      </c>
    </row>
    <row r="603">
      <c r="A603" s="4" t="str">
        <f>IFERROR(__xludf.DUMMYFUNCTION("vlookup(C603,IMPORTRANGE(""1Kgoo8qyo6zMtf_5B03ksZz228jg0XpZ4_KXsdHQ4Vks"",""14 Sept!A:B""),2,0)"),"DME1636")</f>
        <v>DME1636</v>
      </c>
      <c r="B603" s="5" t="str">
        <f>IFERROR(__xludf.DUMMYFUNCTION("""COMPUTED_VALUE"""),"Vishal Khare")</f>
        <v>Vishal Khare</v>
      </c>
      <c r="C603" s="5" t="str">
        <f>IFERROR(__xludf.DUMMYFUNCTION("""COMPUTED_VALUE"""),"vishal.khare@onixnet.com")</f>
        <v>vishal.khare@onixnet.com</v>
      </c>
      <c r="D603" s="4" t="s">
        <v>11</v>
      </c>
      <c r="E603" s="6" t="str">
        <f>IFERROR(__xludf.DUMMYFUNCTION("vlookup($A603,importrange(""1fyGnaViAX9kns28pvsfPvI9925sAI7kxPlM7jpuHVJM"",""Validation!A:Z""),11,0)"),"Delivery Services")</f>
        <v>Delivery Services</v>
      </c>
      <c r="F603" s="6" t="str">
        <f>IFERROR(__xludf.DUMMYFUNCTION("vlookup($A603,importrange(""1fyGnaViAX9kns28pvsfPvI9925sAI7kxPlM7jpuHVJM"",""Validation!A:Z""),23,0)"),"Rahul Chandak")</f>
        <v>Rahul Chandak</v>
      </c>
      <c r="G603" s="6" t="str">
        <f>IFERROR(__xludf.DUMMYFUNCTION("vlookup(A603,importrange(""1fyGnaViAX9kns28pvsfPvI9925sAI7kxPlM7jpuHVJM"",""Validation!A:Z""),22,0)"),"Cluster - Sagar")</f>
        <v>Cluster - Sagar</v>
      </c>
      <c r="H603" s="4" t="str">
        <f>IFERROR(__xludf.DUMMYFUNCTION("vlookup(C603,importrange(""1kw74ismGU34AsZ5x-W4x7F3Zt2xc8NSYcCVMrCJBmdQ"",""DRP for 8 products!B:C""),2,0)"),"ONIVKHNN9")</f>
        <v>ONIVKHNN9</v>
      </c>
      <c r="I603" s="7">
        <f>IFERROR(__xludf.DUMMYFUNCTION("vlookup(C603,importrange(""1kw74ismGU34AsZ5x-W4x7F3Zt2xc8NSYcCVMrCJBmdQ"",""DRP for 8 products!B:E""),4,0)"),54.0)</f>
        <v>54</v>
      </c>
      <c r="J603" s="8" t="str">
        <f t="shared" si="1"/>
        <v>Tier 1</v>
      </c>
      <c r="K603" s="9" t="str">
        <f t="shared" si="2"/>
        <v>Active</v>
      </c>
      <c r="L603" s="4" t="str">
        <f>IFERROR(__xludf.DUMMYFUNCTION("vlookup(C603,importrange(""1kw74ismGU34AsZ5x-W4x7F3Zt2xc8NSYcCVMrCJBmdQ"",""DRP for 8 products!B:H""),6,0)"),"BigQuery")</f>
        <v>BigQuery</v>
      </c>
      <c r="M603" s="10" t="str">
        <f t="shared" si="3"/>
        <v>Yes</v>
      </c>
    </row>
    <row r="604">
      <c r="A604" s="4" t="str">
        <f>IFERROR(__xludf.DUMMYFUNCTION("vlookup(C604,IMPORTRANGE(""1Kgoo8qyo6zMtf_5B03ksZz228jg0XpZ4_KXsdHQ4Vks"",""14 Sept!A:B""),2,0)"),"DME2008")</f>
        <v>DME2008</v>
      </c>
      <c r="B604" s="5" t="str">
        <f>IFERROR(__xludf.DUMMYFUNCTION("""COMPUTED_VALUE"""),"Aniket Patil")</f>
        <v>Aniket Patil</v>
      </c>
      <c r="C604" s="5" t="str">
        <f>IFERROR(__xludf.DUMMYFUNCTION("""COMPUTED_VALUE"""),"aniket.patil@onixnet.com")</f>
        <v>aniket.patil@onixnet.com</v>
      </c>
      <c r="D604" s="4" t="s">
        <v>11</v>
      </c>
      <c r="E604" s="6" t="str">
        <f>IFERROR(__xludf.DUMMYFUNCTION("vlookup($A604,importrange(""1fyGnaViAX9kns28pvsfPvI9925sAI7kxPlM7jpuHVJM"",""Validation!A:Z""),11,0)"),"Delivery Services")</f>
        <v>Delivery Services</v>
      </c>
      <c r="F604" s="6" t="str">
        <f>IFERROR(__xludf.DUMMYFUNCTION("vlookup($A604,importrange(""1fyGnaViAX9kns28pvsfPvI9925sAI7kxPlM7jpuHVJM"",""Validation!A:Z""),23,0)"),"Mohit Shivramwar")</f>
        <v>Mohit Shivramwar</v>
      </c>
      <c r="G604" s="6" t="str">
        <f>IFERROR(__xludf.DUMMYFUNCTION("vlookup(A604,importrange(""1fyGnaViAX9kns28pvsfPvI9925sAI7kxPlM7jpuHVJM"",""Validation!A:Z""),22,0)"),"Cluster - Sagar")</f>
        <v>Cluster - Sagar</v>
      </c>
      <c r="H604" s="4" t="str">
        <f>IFERROR(__xludf.DUMMYFUNCTION("vlookup(C604,importrange(""1kw74ismGU34AsZ5x-W4x7F3Zt2xc8NSYcCVMrCJBmdQ"",""DRP for 8 products!B:C""),2,0)"),"ONIAPSAO2")</f>
        <v>ONIAPSAO2</v>
      </c>
      <c r="I604" s="7">
        <f>IFERROR(__xludf.DUMMYFUNCTION("vlookup(C604,importrange(""1kw74ismGU34AsZ5x-W4x7F3Zt2xc8NSYcCVMrCJBmdQ"",""DRP for 8 products!B:E""),4,0)"),0.0)</f>
        <v>0</v>
      </c>
      <c r="J604" s="8" t="str">
        <f t="shared" si="1"/>
        <v>Tier 4</v>
      </c>
      <c r="K604" s="9" t="str">
        <f t="shared" si="2"/>
        <v>ID Created DRP score 0</v>
      </c>
      <c r="L604" s="4" t="str">
        <f>IFERROR(__xludf.DUMMYFUNCTION("vlookup(C604,importrange(""1kw74ismGU34AsZ5x-W4x7F3Zt2xc8NSYcCVMrCJBmdQ"",""DRP for 8 products!B:H""),6,0)"),"")</f>
        <v/>
      </c>
      <c r="M604" s="10" t="str">
        <f t="shared" si="3"/>
        <v>No</v>
      </c>
    </row>
    <row r="605">
      <c r="A605" s="4" t="str">
        <f>IFERROR(__xludf.DUMMYFUNCTION("vlookup(C605,IMPORTRANGE(""1Kgoo8qyo6zMtf_5B03ksZz228jg0XpZ4_KXsdHQ4Vks"",""14 Sept!A:B""),2,0)"),"DME1951")</f>
        <v>DME1951</v>
      </c>
      <c r="B605" s="5" t="str">
        <f>IFERROR(__xludf.DUMMYFUNCTION("""COMPUTED_VALUE"""),"ABHILASH SHINDE")</f>
        <v>ABHILASH SHINDE</v>
      </c>
      <c r="C605" s="5" t="str">
        <f>IFERROR(__xludf.DUMMYFUNCTION("""COMPUTED_VALUE"""),"abhilash.shinde@onixnet.com")</f>
        <v>abhilash.shinde@onixnet.com</v>
      </c>
      <c r="D605" s="4" t="s">
        <v>11</v>
      </c>
      <c r="E605" s="6" t="str">
        <f>IFERROR(__xludf.DUMMYFUNCTION("vlookup($A605,importrange(""1fyGnaViAX9kns28pvsfPvI9925sAI7kxPlM7jpuHVJM"",""Validation!A:Z""),11,0)"),"Delivery Services")</f>
        <v>Delivery Services</v>
      </c>
      <c r="F605" s="6" t="str">
        <f>IFERROR(__xludf.DUMMYFUNCTION("vlookup($A605,importrange(""1fyGnaViAX9kns28pvsfPvI9925sAI7kxPlM7jpuHVJM"",""Validation!A:Z""),23,0)"),"Rabindra Nayak")</f>
        <v>Rabindra Nayak</v>
      </c>
      <c r="G605" s="6" t="str">
        <f>IFERROR(__xludf.DUMMYFUNCTION("vlookup(A605,importrange(""1fyGnaViAX9kns28pvsfPvI9925sAI7kxPlM7jpuHVJM"",""Validation!A:Z""),22,0)"),"Cluster - Sagar")</f>
        <v>Cluster - Sagar</v>
      </c>
      <c r="H605" s="4" t="str">
        <f>IFERROR(__xludf.DUMMYFUNCTION("vlookup(C605,importrange(""1kw74ismGU34AsZ5x-W4x7F3Zt2xc8NSYcCVMrCJBmdQ"",""DRP for 8 products!B:C""),2,0)"),"ONIASDQA3")</f>
        <v>ONIASDQA3</v>
      </c>
      <c r="I605" s="7">
        <f>IFERROR(__xludf.DUMMYFUNCTION("vlookup(C605,importrange(""1kw74ismGU34AsZ5x-W4x7F3Zt2xc8NSYcCVMrCJBmdQ"",""DRP for 8 products!B:E""),4,0)"),34.0)</f>
        <v>34</v>
      </c>
      <c r="J605" s="8" t="str">
        <f t="shared" si="1"/>
        <v>Tier 3</v>
      </c>
      <c r="K605" s="9" t="str">
        <f t="shared" si="2"/>
        <v>Active</v>
      </c>
      <c r="L605" s="4" t="str">
        <f>IFERROR(__xludf.DUMMYFUNCTION("vlookup(C605,importrange(""1kw74ismGU34AsZ5x-W4x7F3Zt2xc8NSYcCVMrCJBmdQ"",""DRP for 8 products!B:H""),6,0)"),"BigQuery")</f>
        <v>BigQuery</v>
      </c>
      <c r="M605" s="10" t="str">
        <f t="shared" si="3"/>
        <v>Yes</v>
      </c>
    </row>
    <row r="606">
      <c r="A606" s="4" t="str">
        <f>IFERROR(__xludf.DUMMYFUNCTION("vlookup(C606,IMPORTRANGE(""1Kgoo8qyo6zMtf_5B03ksZz228jg0XpZ4_KXsdHQ4Vks"",""14 Sept!A:B""),2,0)"),"DME2646")</f>
        <v>DME2646</v>
      </c>
      <c r="B606" s="5" t="str">
        <f>IFERROR(__xludf.DUMMYFUNCTION("""COMPUTED_VALUE"""),"Tushar Jagtap")</f>
        <v>Tushar Jagtap</v>
      </c>
      <c r="C606" s="5" t="str">
        <f>IFERROR(__xludf.DUMMYFUNCTION("""COMPUTED_VALUE"""),"tushar.jagtap@onixnet.com")</f>
        <v>tushar.jagtap@onixnet.com</v>
      </c>
      <c r="D606" s="4" t="s">
        <v>11</v>
      </c>
      <c r="E606" s="6" t="str">
        <f>IFERROR(__xludf.DUMMYFUNCTION("vlookup($A606,importrange(""1fyGnaViAX9kns28pvsfPvI9925sAI7kxPlM7jpuHVJM"",""Validation!A:Z""),11,0)"),"Delivery Services")</f>
        <v>Delivery Services</v>
      </c>
      <c r="F606" s="6" t="str">
        <f>IFERROR(__xludf.DUMMYFUNCTION("vlookup($A606,importrange(""1fyGnaViAX9kns28pvsfPvI9925sAI7kxPlM7jpuHVJM"",""Validation!A:Z""),23,0)"),"Sneha Bhatambrekar")</f>
        <v>Sneha Bhatambrekar</v>
      </c>
      <c r="G606" s="6" t="str">
        <f>IFERROR(__xludf.DUMMYFUNCTION("vlookup(A606,importrange(""1fyGnaViAX9kns28pvsfPvI9925sAI7kxPlM7jpuHVJM"",""Validation!A:Z""),22,0)"),"Cluster - Sandeep")</f>
        <v>Cluster - Sandeep</v>
      </c>
      <c r="H606" s="4" t="str">
        <f>IFERROR(__xludf.DUMMYFUNCTION("vlookup(C606,importrange(""1kw74ismGU34AsZ5x-W4x7F3Zt2xc8NSYcCVMrCJBmdQ"",""DRP for 8 products!B:C""),2,0)"),"ONITJPCI7")</f>
        <v>ONITJPCI7</v>
      </c>
      <c r="I606" s="7">
        <f>IFERROR(__xludf.DUMMYFUNCTION("vlookup(C606,importrange(""1kw74ismGU34AsZ5x-W4x7F3Zt2xc8NSYcCVMrCJBmdQ"",""DRP for 8 products!B:E""),4,0)"),17.0)</f>
        <v>17</v>
      </c>
      <c r="J606" s="8" t="str">
        <f t="shared" si="1"/>
        <v>Tier 4</v>
      </c>
      <c r="K606" s="9" t="str">
        <f t="shared" si="2"/>
        <v>Active</v>
      </c>
      <c r="L606" s="4" t="str">
        <f>IFERROR(__xludf.DUMMYFUNCTION("vlookup(C606,importrange(""1kw74ismGU34AsZ5x-W4x7F3Zt2xc8NSYcCVMrCJBmdQ"",""DRP for 8 products!B:H""),6,0)"),"BigQuery")</f>
        <v>BigQuery</v>
      </c>
      <c r="M606" s="10" t="str">
        <f t="shared" si="3"/>
        <v>Yes</v>
      </c>
    </row>
    <row r="607">
      <c r="A607" s="4" t="str">
        <f>IFERROR(__xludf.DUMMYFUNCTION("vlookup(C607,IMPORTRANGE(""1Kgoo8qyo6zMtf_5B03ksZz228jg0XpZ4_KXsdHQ4Vks"",""14 Sept!A:B""),2,0)"),"ONIX838")</f>
        <v>ONIX838</v>
      </c>
      <c r="B607" s="5" t="str">
        <f>IFERROR(__xludf.DUMMYFUNCTION("""COMPUTED_VALUE"""),"Sagar Shete")</f>
        <v>Sagar Shete</v>
      </c>
      <c r="C607" s="5" t="str">
        <f>IFERROR(__xludf.DUMMYFUNCTION("""COMPUTED_VALUE"""),"sagar.shete@onixnet.com")</f>
        <v>sagar.shete@onixnet.com</v>
      </c>
      <c r="D607" s="4" t="s">
        <v>11</v>
      </c>
      <c r="E607" s="6" t="str">
        <f>IFERROR(__xludf.DUMMYFUNCTION("vlookup($A607,importrange(""1fyGnaViAX9kns28pvsfPvI9925sAI7kxPlM7jpuHVJM"",""Validation!A:Z""),11,0)"),"Delivery Management")</f>
        <v>Delivery Management</v>
      </c>
      <c r="F607" s="6" t="str">
        <f>IFERROR(__xludf.DUMMYFUNCTION("vlookup($A607,importrange(""1fyGnaViAX9kns28pvsfPvI9925sAI7kxPlM7jpuHVJM"",""Validation!A:Z""),23,0)"),"Neeraj Arora")</f>
        <v>Neeraj Arora</v>
      </c>
      <c r="G607" s="6" t="str">
        <f>IFERROR(__xludf.DUMMYFUNCTION("vlookup(A607,importrange(""1fyGnaViAX9kns28pvsfPvI9925sAI7kxPlM7jpuHVJM"",""Validation!A:Z""),22,0)"),"Portfolio - Kanth")</f>
        <v>Portfolio - Kanth</v>
      </c>
      <c r="H607" s="4" t="str">
        <f>IFERROR(__xludf.DUMMYFUNCTION("vlookup(C607,importrange(""1kw74ismGU34AsZ5x-W4x7F3Zt2xc8NSYcCVMrCJBmdQ"",""DRP for 8 products!B:C""),2,0)"),"ONISSSXC0")</f>
        <v>ONISSSXC0</v>
      </c>
      <c r="I607" s="7">
        <f>IFERROR(__xludf.DUMMYFUNCTION("vlookup(C607,importrange(""1kw74ismGU34AsZ5x-W4x7F3Zt2xc8NSYcCVMrCJBmdQ"",""DRP for 8 products!B:E""),4,0)"),10.0)</f>
        <v>10</v>
      </c>
      <c r="J607" s="8" t="str">
        <f t="shared" si="1"/>
        <v>Tier 4</v>
      </c>
      <c r="K607" s="9" t="str">
        <f t="shared" si="2"/>
        <v>Active</v>
      </c>
      <c r="L607" s="4" t="str">
        <f>IFERROR(__xludf.DUMMYFUNCTION("vlookup(C607,importrange(""1kw74ismGU34AsZ5x-W4x7F3Zt2xc8NSYcCVMrCJBmdQ"",""DRP for 8 products!B:H""),6,0)"),"AlloyDB for PostgreSQL")</f>
        <v>AlloyDB for PostgreSQL</v>
      </c>
      <c r="M607" s="10" t="str">
        <f t="shared" si="3"/>
        <v>Yes</v>
      </c>
    </row>
    <row r="608">
      <c r="A608" s="4" t="str">
        <f>IFERROR(__xludf.DUMMYFUNCTION("vlookup(C608,IMPORTRANGE(""1Kgoo8qyo6zMtf_5B03ksZz228jg0XpZ4_KXsdHQ4Vks"",""14 Sept!A:B""),2,0)"),"DME2234")</f>
        <v>DME2234</v>
      </c>
      <c r="B608" s="5" t="str">
        <f>IFERROR(__xludf.DUMMYFUNCTION("""COMPUTED_VALUE"""),"Vijay Koutarapu")</f>
        <v>Vijay Koutarapu</v>
      </c>
      <c r="C608" s="5" t="str">
        <f>IFERROR(__xludf.DUMMYFUNCTION("""COMPUTED_VALUE"""),"vijay.koutarapu@onixnet.com")</f>
        <v>vijay.koutarapu@onixnet.com</v>
      </c>
      <c r="D608" s="4" t="s">
        <v>11</v>
      </c>
      <c r="E608" s="6" t="str">
        <f>IFERROR(__xludf.DUMMYFUNCTION("vlookup($A608,importrange(""1fyGnaViAX9kns28pvsfPvI9925sAI7kxPlM7jpuHVJM"",""Validation!A:Z""),11,0)"),"Delivery Services")</f>
        <v>Delivery Services</v>
      </c>
      <c r="F608" s="6" t="str">
        <f>IFERROR(__xludf.DUMMYFUNCTION("vlookup($A608,importrange(""1fyGnaViAX9kns28pvsfPvI9925sAI7kxPlM7jpuHVJM"",""Validation!A:Z""),23,0)"),"Ashish Shaligram Tiwari")</f>
        <v>Ashish Shaligram Tiwari</v>
      </c>
      <c r="G608" s="6" t="str">
        <f>IFERROR(__xludf.DUMMYFUNCTION("vlookup(A608,importrange(""1fyGnaViAX9kns28pvsfPvI9925sAI7kxPlM7jpuHVJM"",""Validation!A:Z""),22,0)"),"Cluster - Sachin")</f>
        <v>Cluster - Sachin</v>
      </c>
      <c r="H608" s="4" t="str">
        <f>IFERROR(__xludf.DUMMYFUNCTION("vlookup(C608,importrange(""1kw74ismGU34AsZ5x-W4x7F3Zt2xc8NSYcCVMrCJBmdQ"",""DRP for 8 products!B:C""),2,0)"),"ONIVKRSX9")</f>
        <v>ONIVKRSX9</v>
      </c>
      <c r="I608" s="7">
        <f>IFERROR(__xludf.DUMMYFUNCTION("vlookup(C608,importrange(""1kw74ismGU34AsZ5x-W4x7F3Zt2xc8NSYcCVMrCJBmdQ"",""DRP for 8 products!B:E""),4,0)"),28.0)</f>
        <v>28</v>
      </c>
      <c r="J608" s="8" t="str">
        <f t="shared" si="1"/>
        <v>Tier 3</v>
      </c>
      <c r="K608" s="9" t="str">
        <f t="shared" si="2"/>
        <v>Active</v>
      </c>
      <c r="L608" s="4" t="str">
        <f>IFERROR(__xludf.DUMMYFUNCTION("vlookup(C608,importrange(""1kw74ismGU34AsZ5x-W4x7F3Zt2xc8NSYcCVMrCJBmdQ"",""DRP for 8 products!B:H""),6,0)"),"BigQuery")</f>
        <v>BigQuery</v>
      </c>
      <c r="M608" s="10" t="str">
        <f t="shared" si="3"/>
        <v>Yes</v>
      </c>
    </row>
    <row r="609">
      <c r="A609" s="4" t="str">
        <f>IFERROR(__xludf.DUMMYFUNCTION("vlookup(C609,IMPORTRANGE(""1Kgoo8qyo6zMtf_5B03ksZz228jg0XpZ4_KXsdHQ4Vks"",""14 Sept!A:B""),2,0)"),"DME2056")</f>
        <v>DME2056</v>
      </c>
      <c r="B609" s="5" t="str">
        <f>IFERROR(__xludf.DUMMYFUNCTION("""COMPUTED_VALUE"""),"Sapana Shelar")</f>
        <v>Sapana Shelar</v>
      </c>
      <c r="C609" s="5" t="str">
        <f>IFERROR(__xludf.DUMMYFUNCTION("""COMPUTED_VALUE"""),"sapana.shelar@onixnet.com")</f>
        <v>sapana.shelar@onixnet.com</v>
      </c>
      <c r="D609" s="4" t="s">
        <v>11</v>
      </c>
      <c r="E609" s="6" t="str">
        <f>IFERROR(__xludf.DUMMYFUNCTION("vlookup($A609,importrange(""1fyGnaViAX9kns28pvsfPvI9925sAI7kxPlM7jpuHVJM"",""Validation!A:Z""),11,0)"),"Delivery Services")</f>
        <v>Delivery Services</v>
      </c>
      <c r="F609" s="6" t="str">
        <f>IFERROR(__xludf.DUMMYFUNCTION("vlookup($A609,importrange(""1fyGnaViAX9kns28pvsfPvI9925sAI7kxPlM7jpuHVJM"",""Validation!A:Z""),23,0)"),"Pritesh Chaudhari")</f>
        <v>Pritesh Chaudhari</v>
      </c>
      <c r="G609" s="6" t="str">
        <f>IFERROR(__xludf.DUMMYFUNCTION("vlookup(A609,importrange(""1fyGnaViAX9kns28pvsfPvI9925sAI7kxPlM7jpuHVJM"",""Validation!A:Z""),22,0)"),"Cluster - Sagar")</f>
        <v>Cluster - Sagar</v>
      </c>
      <c r="H609" s="4" t="str">
        <f>IFERROR(__xludf.DUMMYFUNCTION("vlookup(C609,importrange(""1kw74ismGU34AsZ5x-W4x7F3Zt2xc8NSYcCVMrCJBmdQ"",""DRP for 8 products!B:C""),2,0)"),"ONISSWFD2")</f>
        <v>ONISSWFD2</v>
      </c>
      <c r="I609" s="7">
        <f>IFERROR(__xludf.DUMMYFUNCTION("vlookup(C609,importrange(""1kw74ismGU34AsZ5x-W4x7F3Zt2xc8NSYcCVMrCJBmdQ"",""DRP for 8 products!B:E""),4,0)"),8.0)</f>
        <v>8</v>
      </c>
      <c r="J609" s="8" t="str">
        <f t="shared" si="1"/>
        <v>Tier 4</v>
      </c>
      <c r="K609" s="9" t="str">
        <f t="shared" si="2"/>
        <v>Active</v>
      </c>
      <c r="L609" s="4" t="str">
        <f>IFERROR(__xludf.DUMMYFUNCTION("vlookup(C609,importrange(""1kw74ismGU34AsZ5x-W4x7F3Zt2xc8NSYcCVMrCJBmdQ"",""DRP for 8 products!B:H""),6,0)"),"BigQuery")</f>
        <v>BigQuery</v>
      </c>
      <c r="M609" s="10" t="str">
        <f t="shared" si="3"/>
        <v>Yes</v>
      </c>
    </row>
    <row r="610">
      <c r="A610" s="4" t="str">
        <f>IFERROR(__xludf.DUMMYFUNCTION("vlookup(C610,IMPORTRANGE(""1Kgoo8qyo6zMtf_5B03ksZz228jg0XpZ4_KXsdHQ4Vks"",""14 Sept!A:B""),2,0)"),"DME2593")</f>
        <v>DME2593</v>
      </c>
      <c r="B610" s="5" t="str">
        <f>IFERROR(__xludf.DUMMYFUNCTION("""COMPUTED_VALUE"""),"Atharva Khandke")</f>
        <v>Atharva Khandke</v>
      </c>
      <c r="C610" s="5" t="str">
        <f>IFERROR(__xludf.DUMMYFUNCTION("""COMPUTED_VALUE"""),"atharva.khandke@onixnet.com")</f>
        <v>atharva.khandke@onixnet.com</v>
      </c>
      <c r="D610" s="4" t="s">
        <v>11</v>
      </c>
      <c r="E610" s="6" t="str">
        <f>IFERROR(__xludf.DUMMYFUNCTION("vlookup($A610,importrange(""1fyGnaViAX9kns28pvsfPvI9925sAI7kxPlM7jpuHVJM"",""Validation!A:Z""),11,0)"),"Delivery Services")</f>
        <v>Delivery Services</v>
      </c>
      <c r="F610" s="6" t="str">
        <f>IFERROR(__xludf.DUMMYFUNCTION("vlookup($A610,importrange(""1fyGnaViAX9kns28pvsfPvI9925sAI7kxPlM7jpuHVJM"",""Validation!A:Z""),23,0)"),"Anitha Kumari M S")</f>
        <v>Anitha Kumari M S</v>
      </c>
      <c r="G610" s="6" t="str">
        <f>IFERROR(__xludf.DUMMYFUNCTION("vlookup(A610,importrange(""1fyGnaViAX9kns28pvsfPvI9925sAI7kxPlM7jpuHVJM"",""Validation!A:Z""),22,0)"),"Cluster - Sagar")</f>
        <v>Cluster - Sagar</v>
      </c>
      <c r="H610" s="4" t="str">
        <f>IFERROR(__xludf.DUMMYFUNCTION("vlookup(C610,importrange(""1kw74ismGU34AsZ5x-W4x7F3Zt2xc8NSYcCVMrCJBmdQ"",""DRP for 8 products!B:C""),2,0)"),"ONIAKXGA7")</f>
        <v>ONIAKXGA7</v>
      </c>
      <c r="I610" s="7">
        <f>IFERROR(__xludf.DUMMYFUNCTION("vlookup(C610,importrange(""1kw74ismGU34AsZ5x-W4x7F3Zt2xc8NSYcCVMrCJBmdQ"",""DRP for 8 products!B:E""),4,0)"),52.0)</f>
        <v>52</v>
      </c>
      <c r="J610" s="8" t="str">
        <f t="shared" si="1"/>
        <v>Tier 1</v>
      </c>
      <c r="K610" s="9" t="str">
        <f t="shared" si="2"/>
        <v>Active</v>
      </c>
      <c r="L610" s="4" t="str">
        <f>IFERROR(__xludf.DUMMYFUNCTION("vlookup(C610,importrange(""1kw74ismGU34AsZ5x-W4x7F3Zt2xc8NSYcCVMrCJBmdQ"",""DRP for 8 products!B:H""),6,0)"),"BigQuery")</f>
        <v>BigQuery</v>
      </c>
      <c r="M610" s="10" t="str">
        <f t="shared" si="3"/>
        <v>Yes</v>
      </c>
    </row>
    <row r="611">
      <c r="A611" s="4" t="str">
        <f>IFERROR(__xludf.DUMMYFUNCTION("vlookup(C611,IMPORTRANGE(""1Kgoo8qyo6zMtf_5B03ksZz228jg0XpZ4_KXsdHQ4Vks"",""14 Sept!A:B""),2,0)"),"DME2318")</f>
        <v>DME2318</v>
      </c>
      <c r="B611" s="5" t="str">
        <f>IFERROR(__xludf.DUMMYFUNCTION("""COMPUTED_VALUE"""),"Shivjeet Dyade")</f>
        <v>Shivjeet Dyade</v>
      </c>
      <c r="C611" s="5" t="str">
        <f>IFERROR(__xludf.DUMMYFUNCTION("""COMPUTED_VALUE"""),"shivjeet.dyade@onixnet.com")</f>
        <v>shivjeet.dyade@onixnet.com</v>
      </c>
      <c r="D611" s="4" t="s">
        <v>11</v>
      </c>
      <c r="E611" s="6" t="str">
        <f>IFERROR(__xludf.DUMMYFUNCTION("vlookup($A611,importrange(""1fyGnaViAX9kns28pvsfPvI9925sAI7kxPlM7jpuHVJM"",""Validation!A:Z""),11,0)"),"Delivery Services")</f>
        <v>Delivery Services</v>
      </c>
      <c r="F611" s="6" t="str">
        <f>IFERROR(__xludf.DUMMYFUNCTION("vlookup($A611,importrange(""1fyGnaViAX9kns28pvsfPvI9925sAI7kxPlM7jpuHVJM"",""Validation!A:Z""),23,0)"),"Vaibhav Mittal")</f>
        <v>Vaibhav Mittal</v>
      </c>
      <c r="G611" s="6" t="str">
        <f>IFERROR(__xludf.DUMMYFUNCTION("vlookup(A611,importrange(""1fyGnaViAX9kns28pvsfPvI9925sAI7kxPlM7jpuHVJM"",""Validation!A:Z""),22,0)"),"Cluster - Gaurav")</f>
        <v>Cluster - Gaurav</v>
      </c>
      <c r="H611" s="4" t="str">
        <f>IFERROR(__xludf.DUMMYFUNCTION("vlookup(C611,importrange(""1kw74ismGU34AsZ5x-W4x7F3Zt2xc8NSYcCVMrCJBmdQ"",""DRP for 8 products!B:C""),2,0)"),"ONISDNCK7")</f>
        <v>ONISDNCK7</v>
      </c>
      <c r="I611" s="7">
        <f>IFERROR(__xludf.DUMMYFUNCTION("vlookup(C611,importrange(""1kw74ismGU34AsZ5x-W4x7F3Zt2xc8NSYcCVMrCJBmdQ"",""DRP for 8 products!B:E""),4,0)"),6.0)</f>
        <v>6</v>
      </c>
      <c r="J611" s="8" t="str">
        <f t="shared" si="1"/>
        <v>Tier 4</v>
      </c>
      <c r="K611" s="9" t="str">
        <f t="shared" si="2"/>
        <v>Active</v>
      </c>
      <c r="L611" s="4" t="str">
        <f>IFERROR(__xludf.DUMMYFUNCTION("vlookup(C611,importrange(""1kw74ismGU34AsZ5x-W4x7F3Zt2xc8NSYcCVMrCJBmdQ"",""DRP for 8 products!B:H""),6,0)"),"BigQuery")</f>
        <v>BigQuery</v>
      </c>
      <c r="M611" s="10" t="str">
        <f t="shared" si="3"/>
        <v>Yes</v>
      </c>
    </row>
    <row r="612">
      <c r="A612" s="4" t="str">
        <f>IFERROR(__xludf.DUMMYFUNCTION("vlookup(C612,IMPORTRANGE(""1Kgoo8qyo6zMtf_5B03ksZz228jg0XpZ4_KXsdHQ4Vks"",""14 Sept!A:B""),2,0)"),"DME2376")</f>
        <v>DME2376</v>
      </c>
      <c r="B612" s="5" t="str">
        <f>IFERROR(__xludf.DUMMYFUNCTION("""COMPUTED_VALUE"""),"Sujeet Gore")</f>
        <v>Sujeet Gore</v>
      </c>
      <c r="C612" s="5" t="str">
        <f>IFERROR(__xludf.DUMMYFUNCTION("""COMPUTED_VALUE"""),"sujeet.gore@onixnet.com")</f>
        <v>sujeet.gore@onixnet.com</v>
      </c>
      <c r="D612" s="4" t="s">
        <v>11</v>
      </c>
      <c r="E612" s="6" t="str">
        <f>IFERROR(__xludf.DUMMYFUNCTION("vlookup($A612,importrange(""1fyGnaViAX9kns28pvsfPvI9925sAI7kxPlM7jpuHVJM"",""Validation!A:Z""),11,0)"),"Delivery Services")</f>
        <v>Delivery Services</v>
      </c>
      <c r="F612" s="6" t="str">
        <f>IFERROR(__xludf.DUMMYFUNCTION("vlookup($A612,importrange(""1fyGnaViAX9kns28pvsfPvI9925sAI7kxPlM7jpuHVJM"",""Validation!A:Z""),23,0)"),"Mohit Shivramwar")</f>
        <v>Mohit Shivramwar</v>
      </c>
      <c r="G612" s="6" t="str">
        <f>IFERROR(__xludf.DUMMYFUNCTION("vlookup(A612,importrange(""1fyGnaViAX9kns28pvsfPvI9925sAI7kxPlM7jpuHVJM"",""Validation!A:Z""),22,0)"),"Cluster - Sagar")</f>
        <v>Cluster - Sagar</v>
      </c>
      <c r="H612" s="4" t="str">
        <f>IFERROR(__xludf.DUMMYFUNCTION("vlookup(C612,importrange(""1kw74ismGU34AsZ5x-W4x7F3Zt2xc8NSYcCVMrCJBmdQ"",""DRP for 8 products!B:C""),2,0)"),"ONISGHRF1")</f>
        <v>ONISGHRF1</v>
      </c>
      <c r="I612" s="7">
        <f>IFERROR(__xludf.DUMMYFUNCTION("vlookup(C612,importrange(""1kw74ismGU34AsZ5x-W4x7F3Zt2xc8NSYcCVMrCJBmdQ"",""DRP for 8 products!B:E""),4,0)"),47.0)</f>
        <v>47</v>
      </c>
      <c r="J612" s="8" t="str">
        <f t="shared" si="1"/>
        <v>Tier 2</v>
      </c>
      <c r="K612" s="9" t="str">
        <f t="shared" si="2"/>
        <v>Active</v>
      </c>
      <c r="L612" s="4" t="str">
        <f>IFERROR(__xludf.DUMMYFUNCTION("vlookup(C612,importrange(""1kw74ismGU34AsZ5x-W4x7F3Zt2xc8NSYcCVMrCJBmdQ"",""DRP for 8 products!B:H""),6,0)"),"BigQuery")</f>
        <v>BigQuery</v>
      </c>
      <c r="M612" s="10" t="str">
        <f t="shared" si="3"/>
        <v>Yes</v>
      </c>
    </row>
    <row r="613">
      <c r="A613" s="4" t="str">
        <f>IFERROR(__xludf.DUMMYFUNCTION("vlookup(C613,IMPORTRANGE(""1Kgoo8qyo6zMtf_5B03ksZz228jg0XpZ4_KXsdHQ4Vks"",""14 Sept!A:B""),2,0)"),"DME2386")</f>
        <v>DME2386</v>
      </c>
      <c r="B613" s="5" t="str">
        <f>IFERROR(__xludf.DUMMYFUNCTION("""COMPUTED_VALUE"""),"Vaishali Bankar")</f>
        <v>Vaishali Bankar</v>
      </c>
      <c r="C613" s="5" t="str">
        <f>IFERROR(__xludf.DUMMYFUNCTION("""COMPUTED_VALUE"""),"vaishali.bankar@onixnet.com")</f>
        <v>vaishali.bankar@onixnet.com</v>
      </c>
      <c r="D613" s="4" t="s">
        <v>11</v>
      </c>
      <c r="E613" s="6" t="str">
        <f>IFERROR(__xludf.DUMMYFUNCTION("vlookup($A613,importrange(""1fyGnaViAX9kns28pvsfPvI9925sAI7kxPlM7jpuHVJM"",""Validation!A:Z""),11,0)"),"Delivery Services")</f>
        <v>Delivery Services</v>
      </c>
      <c r="F613" s="6" t="str">
        <f>IFERROR(__xludf.DUMMYFUNCTION("vlookup($A613,importrange(""1fyGnaViAX9kns28pvsfPvI9925sAI7kxPlM7jpuHVJM"",""Validation!A:Z""),23,0)"),"Rabindra Nayak")</f>
        <v>Rabindra Nayak</v>
      </c>
      <c r="G613" s="6" t="str">
        <f>IFERROR(__xludf.DUMMYFUNCTION("vlookup(A613,importrange(""1fyGnaViAX9kns28pvsfPvI9925sAI7kxPlM7jpuHVJM"",""Validation!A:Z""),22,0)"),"Cluster - Sagar")</f>
        <v>Cluster - Sagar</v>
      </c>
      <c r="H613" s="4" t="str">
        <f>IFERROR(__xludf.DUMMYFUNCTION("vlookup(C613,importrange(""1kw74ismGU34AsZ5x-W4x7F3Zt2xc8NSYcCVMrCJBmdQ"",""DRP for 8 products!B:C""),2,0)"),"ONIVBYLJ1")</f>
        <v>ONIVBYLJ1</v>
      </c>
      <c r="I613" s="7">
        <f>IFERROR(__xludf.DUMMYFUNCTION("vlookup(C613,importrange(""1kw74ismGU34AsZ5x-W4x7F3Zt2xc8NSYcCVMrCJBmdQ"",""DRP for 8 products!B:E""),4,0)"),34.0)</f>
        <v>34</v>
      </c>
      <c r="J613" s="8" t="str">
        <f t="shared" si="1"/>
        <v>Tier 3</v>
      </c>
      <c r="K613" s="9" t="str">
        <f t="shared" si="2"/>
        <v>Active</v>
      </c>
      <c r="L613" s="4" t="str">
        <f>IFERROR(__xludf.DUMMYFUNCTION("vlookup(C613,importrange(""1kw74ismGU34AsZ5x-W4x7F3Zt2xc8NSYcCVMrCJBmdQ"",""DRP for 8 products!B:H""),6,0)"),"BigQuery")</f>
        <v>BigQuery</v>
      </c>
      <c r="M613" s="10" t="str">
        <f t="shared" si="3"/>
        <v>Yes</v>
      </c>
    </row>
    <row r="614">
      <c r="A614" s="4" t="str">
        <f>IFERROR(__xludf.DUMMYFUNCTION("vlookup(C614,IMPORTRANGE(""1Kgoo8qyo6zMtf_5B03ksZz228jg0XpZ4_KXsdHQ4Vks"",""14 Sept!A:B""),2,0)"),"DMGR0002")</f>
        <v>DMGR0002</v>
      </c>
      <c r="B614" s="5" t="str">
        <f>IFERROR(__xludf.DUMMYFUNCTION("""COMPUTED_VALUE"""),"Varun Rauthan")</f>
        <v>Varun Rauthan</v>
      </c>
      <c r="C614" s="5" t="str">
        <f>IFERROR(__xludf.DUMMYFUNCTION("""COMPUTED_VALUE"""),"varun.rauthan@onixnet.com")</f>
        <v>varun.rauthan@onixnet.com</v>
      </c>
      <c r="D614" s="4" t="s">
        <v>11</v>
      </c>
      <c r="E614" s="6" t="str">
        <f>IFERROR(__xludf.DUMMYFUNCTION("vlookup($A614,importrange(""1fyGnaViAX9kns28pvsfPvI9925sAI7kxPlM7jpuHVJM"",""Validation!A:Z""),11,0)"),"Delivery Services")</f>
        <v>Delivery Services</v>
      </c>
      <c r="F614" s="6" t="str">
        <f>IFERROR(__xludf.DUMMYFUNCTION("vlookup($A614,importrange(""1fyGnaViAX9kns28pvsfPvI9925sAI7kxPlM7jpuHVJM"",""Validation!A:Z""),23,0)"),"Siddharth Bhandari")</f>
        <v>Siddharth Bhandari</v>
      </c>
      <c r="G614" s="6" t="str">
        <f>IFERROR(__xludf.DUMMYFUNCTION("vlookup(A614,importrange(""1fyGnaViAX9kns28pvsfPvI9925sAI7kxPlM7jpuHVJM"",""Validation!A:Z""),22,0)"),"Portfolio - Siddharth")</f>
        <v>Portfolio - Siddharth</v>
      </c>
      <c r="H614" s="4" t="str">
        <f>IFERROR(__xludf.DUMMYFUNCTION("vlookup(C614,importrange(""1kw74ismGU34AsZ5x-W4x7F3Zt2xc8NSYcCVMrCJBmdQ"",""DRP for 8 products!B:C""),2,0)"),"ONIVRBTA1")</f>
        <v>ONIVRBTA1</v>
      </c>
      <c r="I614" s="7">
        <f>IFERROR(__xludf.DUMMYFUNCTION("vlookup(C614,importrange(""1kw74ismGU34AsZ5x-W4x7F3Zt2xc8NSYcCVMrCJBmdQ"",""DRP for 8 products!B:E""),4,0)"),55.0)</f>
        <v>55</v>
      </c>
      <c r="J614" s="8" t="str">
        <f t="shared" si="1"/>
        <v>Tier 1</v>
      </c>
      <c r="K614" s="9" t="str">
        <f t="shared" si="2"/>
        <v>Active</v>
      </c>
      <c r="L614" s="4" t="str">
        <f>IFERROR(__xludf.DUMMYFUNCTION("vlookup(C614,importrange(""1kw74ismGU34AsZ5x-W4x7F3Zt2xc8NSYcCVMrCJBmdQ"",""DRP for 8 products!B:H""),6,0)"),"BigQuery")</f>
        <v>BigQuery</v>
      </c>
      <c r="M614" s="10" t="str">
        <f t="shared" si="3"/>
        <v>Yes</v>
      </c>
    </row>
    <row r="615">
      <c r="A615" s="4" t="str">
        <f>IFERROR(__xludf.DUMMYFUNCTION("vlookup(C615,IMPORTRANGE(""1Kgoo8qyo6zMtf_5B03ksZz228jg0XpZ4_KXsdHQ4Vks"",""14 Sept!A:B""),2,0)"),"DME2407")</f>
        <v>DME2407</v>
      </c>
      <c r="B615" s="5" t="str">
        <f>IFERROR(__xludf.DUMMYFUNCTION("""COMPUTED_VALUE"""),"Nikhil Bhavsar")</f>
        <v>Nikhil Bhavsar</v>
      </c>
      <c r="C615" s="5" t="str">
        <f>IFERROR(__xludf.DUMMYFUNCTION("""COMPUTED_VALUE"""),"nikhil.bhavsar@onixnet.com")</f>
        <v>nikhil.bhavsar@onixnet.com</v>
      </c>
      <c r="D615" s="4" t="s">
        <v>11</v>
      </c>
      <c r="E615" s="6" t="str">
        <f>IFERROR(__xludf.DUMMYFUNCTION("vlookup($A615,importrange(""1fyGnaViAX9kns28pvsfPvI9925sAI7kxPlM7jpuHVJM"",""Validation!A:Z""),11,0)"),"Delivery Services")</f>
        <v>Delivery Services</v>
      </c>
      <c r="F615" s="6" t="str">
        <f>IFERROR(__xludf.DUMMYFUNCTION("vlookup($A615,importrange(""1fyGnaViAX9kns28pvsfPvI9925sAI7kxPlM7jpuHVJM"",""Validation!A:Z""),23,0)"),"Manoj Patil")</f>
        <v>Manoj Patil</v>
      </c>
      <c r="G615" s="6" t="str">
        <f>IFERROR(__xludf.DUMMYFUNCTION("vlookup(A615,importrange(""1fyGnaViAX9kns28pvsfPvI9925sAI7kxPlM7jpuHVJM"",""Validation!A:Z""),22,0)"),"Cluster - Shreepad")</f>
        <v>Cluster - Shreepad</v>
      </c>
      <c r="H615" s="4" t="str">
        <f>IFERROR(__xludf.DUMMYFUNCTION("vlookup(C615,importrange(""1kw74ismGU34AsZ5x-W4x7F3Zt2xc8NSYcCVMrCJBmdQ"",""DRP for 8 products!B:C""),2,0)"),"ONINBEEL8")</f>
        <v>ONINBEEL8</v>
      </c>
      <c r="I615" s="7">
        <f>IFERROR(__xludf.DUMMYFUNCTION("vlookup(C615,importrange(""1kw74ismGU34AsZ5x-W4x7F3Zt2xc8NSYcCVMrCJBmdQ"",""DRP for 8 products!B:E""),4,0)"),25.0)</f>
        <v>25</v>
      </c>
      <c r="J615" s="8" t="str">
        <f t="shared" si="1"/>
        <v>Tier 3</v>
      </c>
      <c r="K615" s="9" t="str">
        <f t="shared" si="2"/>
        <v>Active</v>
      </c>
      <c r="L615" s="4" t="str">
        <f>IFERROR(__xludf.DUMMYFUNCTION("vlookup(C615,importrange(""1kw74ismGU34AsZ5x-W4x7F3Zt2xc8NSYcCVMrCJBmdQ"",""DRP for 8 products!B:H""),6,0)"),"BigQuery")</f>
        <v>BigQuery</v>
      </c>
      <c r="M615" s="10" t="str">
        <f t="shared" si="3"/>
        <v>Yes</v>
      </c>
    </row>
    <row r="616">
      <c r="A616" s="4" t="str">
        <f>IFERROR(__xludf.DUMMYFUNCTION("vlookup(C616,IMPORTRANGE(""1Kgoo8qyo6zMtf_5B03ksZz228jg0XpZ4_KXsdHQ4Vks"",""14 Sept!A:B""),2,0)"),"DME1852")</f>
        <v>DME1852</v>
      </c>
      <c r="B616" s="5" t="str">
        <f>IFERROR(__xludf.DUMMYFUNCTION("""COMPUTED_VALUE"""),"Swapna Kadam")</f>
        <v>Swapna Kadam</v>
      </c>
      <c r="C616" s="5" t="str">
        <f>IFERROR(__xludf.DUMMYFUNCTION("""COMPUTED_VALUE"""),"swapna.kadam@onixnet.com")</f>
        <v>swapna.kadam@onixnet.com</v>
      </c>
      <c r="D616" s="4" t="s">
        <v>11</v>
      </c>
      <c r="E616" s="6" t="str">
        <f>IFERROR(__xludf.DUMMYFUNCTION("vlookup($A616,importrange(""1fyGnaViAX9kns28pvsfPvI9925sAI7kxPlM7jpuHVJM"",""Validation!A:Z""),11,0)"),"Delivery Services")</f>
        <v>Delivery Services</v>
      </c>
      <c r="F616" s="6" t="str">
        <f>IFERROR(__xludf.DUMMYFUNCTION("vlookup($A616,importrange(""1fyGnaViAX9kns28pvsfPvI9925sAI7kxPlM7jpuHVJM"",""Validation!A:Z""),23,0)"),"Sheela Sawant")</f>
        <v>Sheela Sawant</v>
      </c>
      <c r="G616" s="6" t="str">
        <f>IFERROR(__xludf.DUMMYFUNCTION("vlookup(A616,importrange(""1fyGnaViAX9kns28pvsfPvI9925sAI7kxPlM7jpuHVJM"",""Validation!A:Z""),22,0)"),"Cluster - Sagar")</f>
        <v>Cluster - Sagar</v>
      </c>
      <c r="H616" s="4" t="str">
        <f>IFERROR(__xludf.DUMMYFUNCTION("vlookup(C616,importrange(""1kw74ismGU34AsZ5x-W4x7F3Zt2xc8NSYcCVMrCJBmdQ"",""DRP for 8 products!B:C""),2,0)"),"ONISKCVG2")</f>
        <v>ONISKCVG2</v>
      </c>
      <c r="I616" s="7">
        <f>IFERROR(__xludf.DUMMYFUNCTION("vlookup(C616,importrange(""1kw74ismGU34AsZ5x-W4x7F3Zt2xc8NSYcCVMrCJBmdQ"",""DRP for 8 products!B:E""),4,0)"),64.0)</f>
        <v>64</v>
      </c>
      <c r="J616" s="8" t="str">
        <f t="shared" si="1"/>
        <v>Tier 1</v>
      </c>
      <c r="K616" s="9" t="str">
        <f t="shared" si="2"/>
        <v>Active</v>
      </c>
      <c r="L616" s="4" t="str">
        <f>IFERROR(__xludf.DUMMYFUNCTION("vlookup(C616,importrange(""1kw74ismGU34AsZ5x-W4x7F3Zt2xc8NSYcCVMrCJBmdQ"",""DRP for 8 products!B:H""),6,0)"),"BigQuery")</f>
        <v>BigQuery</v>
      </c>
      <c r="M616" s="10" t="str">
        <f t="shared" si="3"/>
        <v>Yes</v>
      </c>
    </row>
    <row r="617">
      <c r="A617" s="4" t="str">
        <f>IFERROR(__xludf.DUMMYFUNCTION("vlookup(C617,IMPORTRANGE(""1Kgoo8qyo6zMtf_5B03ksZz228jg0XpZ4_KXsdHQ4Vks"",""14 Sept!A:B""),2,0)"),"DMSI0088")</f>
        <v>DMSI0088</v>
      </c>
      <c r="B617" s="5" t="str">
        <f>IFERROR(__xludf.DUMMYFUNCTION("""COMPUTED_VALUE"""),"Niyanta Shashikant Lad")</f>
        <v>Niyanta Shashikant Lad</v>
      </c>
      <c r="C617" s="5" t="str">
        <f>IFERROR(__xludf.DUMMYFUNCTION("""COMPUTED_VALUE"""),"niyanta.lad@onixnet.com")</f>
        <v>niyanta.lad@onixnet.com</v>
      </c>
      <c r="D617" s="4" t="s">
        <v>11</v>
      </c>
      <c r="E617" s="6" t="str">
        <f>IFERROR(__xludf.DUMMYFUNCTION("vlookup($A617,importrange(""1fyGnaViAX9kns28pvsfPvI9925sAI7kxPlM7jpuHVJM"",""Validation!A:Z""),11,0)"),"Services")</f>
        <v>Services</v>
      </c>
      <c r="F617" s="6" t="str">
        <f>IFERROR(__xludf.DUMMYFUNCTION("vlookup($A617,importrange(""1fyGnaViAX9kns28pvsfPvI9925sAI7kxPlM7jpuHVJM"",""Validation!A:Z""),23,0)"),"Venkat Srinivasan")</f>
        <v>Venkat Srinivasan</v>
      </c>
      <c r="G617" s="6" t="str">
        <f>IFERROR(__xludf.DUMMYFUNCTION("vlookup(A617,importrange(""1fyGnaViAX9kns28pvsfPvI9925sAI7kxPlM7jpuHVJM"",""Validation!A:Z""),22,0)"),"Portfolio - Rajesh")</f>
        <v>Portfolio - Rajesh</v>
      </c>
      <c r="H617" s="4" t="str">
        <f>IFERROR(__xludf.DUMMYFUNCTION("vlookup(C617,importrange(""1kw74ismGU34AsZ5x-W4x7F3Zt2xc8NSYcCVMrCJBmdQ"",""DRP for 8 products!B:C""),2,0)"),"ONINLGIQ7")</f>
        <v>ONINLGIQ7</v>
      </c>
      <c r="I617" s="7">
        <f>IFERROR(__xludf.DUMMYFUNCTION("vlookup(C617,importrange(""1kw74ismGU34AsZ5x-W4x7F3Zt2xc8NSYcCVMrCJBmdQ"",""DRP for 8 products!B:E""),4,0)"),11.0)</f>
        <v>11</v>
      </c>
      <c r="J617" s="8" t="str">
        <f t="shared" si="1"/>
        <v>Tier 4</v>
      </c>
      <c r="K617" s="9" t="str">
        <f t="shared" si="2"/>
        <v>Active</v>
      </c>
      <c r="L617" s="4" t="str">
        <f>IFERROR(__xludf.DUMMYFUNCTION("vlookup(C617,importrange(""1kw74ismGU34AsZ5x-W4x7F3Zt2xc8NSYcCVMrCJBmdQ"",""DRP for 8 products!B:H""),6,0)"),"AlloyDB for PostgreSQL")</f>
        <v>AlloyDB for PostgreSQL</v>
      </c>
      <c r="M617" s="10" t="str">
        <f t="shared" si="3"/>
        <v>Yes</v>
      </c>
    </row>
    <row r="618">
      <c r="A618" s="4" t="str">
        <f>IFERROR(__xludf.DUMMYFUNCTION("vlookup(C618,IMPORTRANGE(""1Kgoo8qyo6zMtf_5B03ksZz228jg0XpZ4_KXsdHQ4Vks"",""14 Sept!A:B""),2,0)"),"DME2103")</f>
        <v>DME2103</v>
      </c>
      <c r="B618" s="5" t="str">
        <f>IFERROR(__xludf.DUMMYFUNCTION("""COMPUTED_VALUE"""),"Saurabh Shendge")</f>
        <v>Saurabh Shendge</v>
      </c>
      <c r="C618" s="5" t="str">
        <f>IFERROR(__xludf.DUMMYFUNCTION("""COMPUTED_VALUE"""),"saurabh.shendge@onixnet.com")</f>
        <v>saurabh.shendge@onixnet.com</v>
      </c>
      <c r="D618" s="4" t="s">
        <v>11</v>
      </c>
      <c r="E618" s="6" t="str">
        <f>IFERROR(__xludf.DUMMYFUNCTION("vlookup($A618,importrange(""1fyGnaViAX9kns28pvsfPvI9925sAI7kxPlM7jpuHVJM"",""Validation!A:Z""),11,0)"),"Delivery Services")</f>
        <v>Delivery Services</v>
      </c>
      <c r="F618" s="6" t="str">
        <f>IFERROR(__xludf.DUMMYFUNCTION("vlookup($A618,importrange(""1fyGnaViAX9kns28pvsfPvI9925sAI7kxPlM7jpuHVJM"",""Validation!A:Z""),23,0)"),"Varunesh Khandelwal")</f>
        <v>Varunesh Khandelwal</v>
      </c>
      <c r="G618" s="6" t="str">
        <f>IFERROR(__xludf.DUMMYFUNCTION("vlookup(A618,importrange(""1fyGnaViAX9kns28pvsfPvI9925sAI7kxPlM7jpuHVJM"",""Validation!A:Z""),22,0)"),"Cluster - Gaurav")</f>
        <v>Cluster - Gaurav</v>
      </c>
      <c r="H618" s="4" t="str">
        <f>IFERROR(__xludf.DUMMYFUNCTION("vlookup(C618,importrange(""1kw74ismGU34AsZ5x-W4x7F3Zt2xc8NSYcCVMrCJBmdQ"",""DRP for 8 products!B:C""),2,0)"),"ONISSLAX7")</f>
        <v>ONISSLAX7</v>
      </c>
      <c r="I618" s="7">
        <f>IFERROR(__xludf.DUMMYFUNCTION("vlookup(C618,importrange(""1kw74ismGU34AsZ5x-W4x7F3Zt2xc8NSYcCVMrCJBmdQ"",""DRP for 8 products!B:E""),4,0)"),7.0)</f>
        <v>7</v>
      </c>
      <c r="J618" s="8" t="str">
        <f t="shared" si="1"/>
        <v>Tier 4</v>
      </c>
      <c r="K618" s="9" t="str">
        <f t="shared" si="2"/>
        <v>Active</v>
      </c>
      <c r="L618" s="4" t="str">
        <f>IFERROR(__xludf.DUMMYFUNCTION("vlookup(C618,importrange(""1kw74ismGU34AsZ5x-W4x7F3Zt2xc8NSYcCVMrCJBmdQ"",""DRP for 8 products!B:H""),6,0)"),"BigQuery")</f>
        <v>BigQuery</v>
      </c>
      <c r="M618" s="10" t="str">
        <f t="shared" si="3"/>
        <v>Yes</v>
      </c>
    </row>
    <row r="619">
      <c r="A619" s="4" t="str">
        <f>IFERROR(__xludf.DUMMYFUNCTION("vlookup(C619,IMPORTRANGE(""1Kgoo8qyo6zMtf_5B03ksZz228jg0XpZ4_KXsdHQ4Vks"",""14 Sept!A:B""),2,0)"),"ONIX690")</f>
        <v>ONIX690</v>
      </c>
      <c r="B619" s="5" t="str">
        <f>IFERROR(__xludf.DUMMYFUNCTION("""COMPUTED_VALUE"""),"Adam Vandergriff")</f>
        <v>Adam Vandergriff</v>
      </c>
      <c r="C619" s="5" t="str">
        <f>IFERROR(__xludf.DUMMYFUNCTION("""COMPUTED_VALUE"""),"adam.vandergriff@onixnet.com")</f>
        <v>adam.vandergriff@onixnet.com</v>
      </c>
      <c r="D619" s="4" t="s">
        <v>11</v>
      </c>
      <c r="E619" s="6" t="str">
        <f>IFERROR(__xludf.DUMMYFUNCTION("vlookup($A619,importrange(""1fyGnaViAX9kns28pvsfPvI9925sAI7kxPlM7jpuHVJM"",""Validation!A:Z""),11,0)"),"Services")</f>
        <v>Services</v>
      </c>
      <c r="F619" s="6" t="str">
        <f>IFERROR(__xludf.DUMMYFUNCTION("vlookup($A619,importrange(""1fyGnaViAX9kns28pvsfPvI9925sAI7kxPlM7jpuHVJM"",""Validation!A:Z""),23,0)"),"LeePatrick McIntire")</f>
        <v>LeePatrick McIntire</v>
      </c>
      <c r="G619" s="6" t="str">
        <f>IFERROR(__xludf.DUMMYFUNCTION("vlookup(A619,importrange(""1fyGnaViAX9kns28pvsfPvI9925sAI7kxPlM7jpuHVJM"",""Validation!A:Z""),22,0)"),"Portfolio - Thomas (AI)")</f>
        <v>Portfolio - Thomas (AI)</v>
      </c>
      <c r="H619" s="4" t="str">
        <f>IFERROR(__xludf.DUMMYFUNCTION("vlookup(C619,importrange(""1kw74ismGU34AsZ5x-W4x7F3Zt2xc8NSYcCVMrCJBmdQ"",""DRP for 8 products!B:C""),2,0)"),"ONIAVPAD6")</f>
        <v>ONIAVPAD6</v>
      </c>
      <c r="I619" s="7">
        <f>IFERROR(__xludf.DUMMYFUNCTION("vlookup(C619,importrange(""1kw74ismGU34AsZ5x-W4x7F3Zt2xc8NSYcCVMrCJBmdQ"",""DRP for 8 products!B:E""),4,0)"),22.0)</f>
        <v>22</v>
      </c>
      <c r="J619" s="8" t="str">
        <f t="shared" si="1"/>
        <v>Tier 3</v>
      </c>
      <c r="K619" s="9" t="str">
        <f t="shared" si="2"/>
        <v>Active</v>
      </c>
      <c r="L619" s="4" t="str">
        <f>IFERROR(__xludf.DUMMYFUNCTION("vlookup(C619,importrange(""1kw74ismGU34AsZ5x-W4x7F3Zt2xc8NSYcCVMrCJBmdQ"",""DRP for 8 products!B:H""),6,0)"),"Dataflow")</f>
        <v>Dataflow</v>
      </c>
      <c r="M619" s="10" t="str">
        <f t="shared" si="3"/>
        <v>Yes</v>
      </c>
    </row>
    <row r="620">
      <c r="A620" s="4" t="str">
        <f>IFERROR(__xludf.DUMMYFUNCTION("vlookup(C620,IMPORTRANGE(""1Kgoo8qyo6zMtf_5B03ksZz228jg0XpZ4_KXsdHQ4Vks"",""14 Sept!A:B""),2,0)"),"ONIX705")</f>
        <v>ONIX705</v>
      </c>
      <c r="B620" s="5" t="str">
        <f>IFERROR(__xludf.DUMMYFUNCTION("""COMPUTED_VALUE"""),"Ricardo de Andrade")</f>
        <v>Ricardo de Andrade</v>
      </c>
      <c r="C620" s="5" t="str">
        <f>IFERROR(__xludf.DUMMYFUNCTION("""COMPUTED_VALUE"""),"ricardo.de.andrade@onixnet.com")</f>
        <v>ricardo.de.andrade@onixnet.com</v>
      </c>
      <c r="D620" s="4" t="s">
        <v>11</v>
      </c>
      <c r="E620" s="6" t="str">
        <f>IFERROR(__xludf.DUMMYFUNCTION("vlookup($A620,importrange(""1fyGnaViAX9kns28pvsfPvI9925sAI7kxPlM7jpuHVJM"",""Validation!A:Z""),11,0)"),"Services")</f>
        <v>Services</v>
      </c>
      <c r="F620" s="6" t="str">
        <f>IFERROR(__xludf.DUMMYFUNCTION("vlookup($A620,importrange(""1fyGnaViAX9kns28pvsfPvI9925sAI7kxPlM7jpuHVJM"",""Validation!A:Z""),23,0)"),"LeePatrick McIntire")</f>
        <v>LeePatrick McIntire</v>
      </c>
      <c r="G620" s="6" t="str">
        <f>IFERROR(__xludf.DUMMYFUNCTION("vlookup(A620,importrange(""1fyGnaViAX9kns28pvsfPvI9925sAI7kxPlM7jpuHVJM"",""Validation!A:Z""),22,0)"),"Portfolio - Thomas (AI)")</f>
        <v>Portfolio - Thomas (AI)</v>
      </c>
      <c r="H620" s="4" t="str">
        <f>IFERROR(__xludf.DUMMYFUNCTION("vlookup(C620,importrange(""1kw74ismGU34AsZ5x-W4x7F3Zt2xc8NSYcCVMrCJBmdQ"",""DRP for 8 products!B:C""),2,0)"),"ONIRDNKR6")</f>
        <v>ONIRDNKR6</v>
      </c>
      <c r="I620" s="7">
        <f>IFERROR(__xludf.DUMMYFUNCTION("vlookup(C620,importrange(""1kw74ismGU34AsZ5x-W4x7F3Zt2xc8NSYcCVMrCJBmdQ"",""DRP for 8 products!B:E""),4,0)"),19.0)</f>
        <v>19</v>
      </c>
      <c r="J620" s="8" t="str">
        <f t="shared" si="1"/>
        <v>Tier 4</v>
      </c>
      <c r="K620" s="9" t="str">
        <f t="shared" si="2"/>
        <v>Active</v>
      </c>
      <c r="L620" s="4" t="str">
        <f>IFERROR(__xludf.DUMMYFUNCTION("vlookup(C620,importrange(""1kw74ismGU34AsZ5x-W4x7F3Zt2xc8NSYcCVMrCJBmdQ"",""DRP for 8 products!B:H""),6,0)"),"AlloyDB for PostgreSQL")</f>
        <v>AlloyDB for PostgreSQL</v>
      </c>
      <c r="M620" s="10" t="str">
        <f t="shared" si="3"/>
        <v>Yes</v>
      </c>
    </row>
    <row r="621">
      <c r="A621" s="4" t="str">
        <f>IFERROR(__xludf.DUMMYFUNCTION("vlookup(C621,IMPORTRANGE(""1Kgoo8qyo6zMtf_5B03ksZz228jg0XpZ4_KXsdHQ4Vks"",""14 Sept!A:B""),2,0)"),"DME1438")</f>
        <v>DME1438</v>
      </c>
      <c r="B621" s="5" t="str">
        <f>IFERROR(__xludf.DUMMYFUNCTION("""COMPUTED_VALUE"""),"Abdul Salam")</f>
        <v>Abdul Salam</v>
      </c>
      <c r="C621" s="5" t="str">
        <f>IFERROR(__xludf.DUMMYFUNCTION("""COMPUTED_VALUE"""),"abdul.salam@onixnet.com")</f>
        <v>abdul.salam@onixnet.com</v>
      </c>
      <c r="D621" s="4" t="s">
        <v>11</v>
      </c>
      <c r="E621" s="6" t="str">
        <f>IFERROR(__xludf.DUMMYFUNCTION("vlookup($A621,importrange(""1fyGnaViAX9kns28pvsfPvI9925sAI7kxPlM7jpuHVJM"",""Validation!A:Z""),11,0)"),"Delivery Services")</f>
        <v>Delivery Services</v>
      </c>
      <c r="F621" s="6" t="str">
        <f>IFERROR(__xludf.DUMMYFUNCTION("vlookup($A621,importrange(""1fyGnaViAX9kns28pvsfPvI9925sAI7kxPlM7jpuHVJM"",""Validation!A:Z""),23,0)"),"Sneha Bhatambrekar")</f>
        <v>Sneha Bhatambrekar</v>
      </c>
      <c r="G621" s="6" t="str">
        <f>IFERROR(__xludf.DUMMYFUNCTION("vlookup(A621,importrange(""1fyGnaViAX9kns28pvsfPvI9925sAI7kxPlM7jpuHVJM"",""Validation!A:Z""),22,0)"),"Cluster - Sandeep")</f>
        <v>Cluster - Sandeep</v>
      </c>
      <c r="H621" s="4" t="str">
        <f>IFERROR(__xludf.DUMMYFUNCTION("vlookup(C621,importrange(""1kw74ismGU34AsZ5x-W4x7F3Zt2xc8NSYcCVMrCJBmdQ"",""DRP for 8 products!B:C""),2,0)"),"ONIASCLC4")</f>
        <v>ONIASCLC4</v>
      </c>
      <c r="I621" s="7">
        <f>IFERROR(__xludf.DUMMYFUNCTION("vlookup(C621,importrange(""1kw74ismGU34AsZ5x-W4x7F3Zt2xc8NSYcCVMrCJBmdQ"",""DRP for 8 products!B:E""),4,0)"),54.0)</f>
        <v>54</v>
      </c>
      <c r="J621" s="8" t="str">
        <f t="shared" si="1"/>
        <v>Tier 1</v>
      </c>
      <c r="K621" s="9" t="str">
        <f t="shared" si="2"/>
        <v>Active</v>
      </c>
      <c r="L621" s="4" t="str">
        <f>IFERROR(__xludf.DUMMYFUNCTION("vlookup(C621,importrange(""1kw74ismGU34AsZ5x-W4x7F3Zt2xc8NSYcCVMrCJBmdQ"",""DRP for 8 products!B:H""),6,0)"),"BigQuery")</f>
        <v>BigQuery</v>
      </c>
      <c r="M621" s="10" t="str">
        <f t="shared" si="3"/>
        <v>Yes</v>
      </c>
    </row>
    <row r="622">
      <c r="A622" s="4" t="str">
        <f>IFERROR(__xludf.DUMMYFUNCTION("vlookup(C622,IMPORTRANGE(""1Kgoo8qyo6zMtf_5B03ksZz228jg0XpZ4_KXsdHQ4Vks"",""14 Sept!A:B""),2,0)"),"DME2363")</f>
        <v>DME2363</v>
      </c>
      <c r="B622" s="5" t="str">
        <f>IFERROR(__xludf.DUMMYFUNCTION("""COMPUTED_VALUE"""),"Ramdas Thakare")</f>
        <v>Ramdas Thakare</v>
      </c>
      <c r="C622" s="5" t="str">
        <f>IFERROR(__xludf.DUMMYFUNCTION("""COMPUTED_VALUE"""),"ramdas.thakare@onixnet.com")</f>
        <v>ramdas.thakare@onixnet.com</v>
      </c>
      <c r="D622" s="4" t="s">
        <v>11</v>
      </c>
      <c r="E622" s="6" t="str">
        <f>IFERROR(__xludf.DUMMYFUNCTION("vlookup($A622,importrange(""1fyGnaViAX9kns28pvsfPvI9925sAI7kxPlM7jpuHVJM"",""Validation!A:Z""),11,0)"),"Delivery Services")</f>
        <v>Delivery Services</v>
      </c>
      <c r="F622" s="6" t="str">
        <f>IFERROR(__xludf.DUMMYFUNCTION("vlookup($A622,importrange(""1fyGnaViAX9kns28pvsfPvI9925sAI7kxPlM7jpuHVJM"",""Validation!A:Z""),23,0)"),"Venkatavivekananda Sala")</f>
        <v>Venkatavivekananda Sala</v>
      </c>
      <c r="G622" s="6" t="str">
        <f>IFERROR(__xludf.DUMMYFUNCTION("vlookup(A622,importrange(""1fyGnaViAX9kns28pvsfPvI9925sAI7kxPlM7jpuHVJM"",""Validation!A:Z""),22,0)"),"Cluster - Sachin")</f>
        <v>Cluster - Sachin</v>
      </c>
      <c r="H622" s="4" t="str">
        <f>IFERROR(__xludf.DUMMYFUNCTION("vlookup(C622,importrange(""1kw74ismGU34AsZ5x-W4x7F3Zt2xc8NSYcCVMrCJBmdQ"",""DRP for 8 products!B:C""),2,0)"),"ONIRTGWC7")</f>
        <v>ONIRTGWC7</v>
      </c>
      <c r="I622" s="7">
        <f>IFERROR(__xludf.DUMMYFUNCTION("vlookup(C622,importrange(""1kw74ismGU34AsZ5x-W4x7F3Zt2xc8NSYcCVMrCJBmdQ"",""DRP for 8 products!B:E""),4,0)"),59.0)</f>
        <v>59</v>
      </c>
      <c r="J622" s="8" t="str">
        <f t="shared" si="1"/>
        <v>Tier 1</v>
      </c>
      <c r="K622" s="9" t="str">
        <f t="shared" si="2"/>
        <v>Active</v>
      </c>
      <c r="L622" s="4" t="str">
        <f>IFERROR(__xludf.DUMMYFUNCTION("vlookup(C622,importrange(""1kw74ismGU34AsZ5x-W4x7F3Zt2xc8NSYcCVMrCJBmdQ"",""DRP for 8 products!B:H""),6,0)"),"BigQuery")</f>
        <v>BigQuery</v>
      </c>
      <c r="M622" s="10" t="str">
        <f t="shared" si="3"/>
        <v>Yes</v>
      </c>
    </row>
    <row r="623">
      <c r="A623" s="4" t="str">
        <f>IFERROR(__xludf.DUMMYFUNCTION("vlookup(C623,IMPORTRANGE(""1Kgoo8qyo6zMtf_5B03ksZz228jg0XpZ4_KXsdHQ4Vks"",""14 Sept!A:B""),2,0)"),"ONIX725")</f>
        <v>ONIX725</v>
      </c>
      <c r="B623" s="5" t="str">
        <f>IFERROR(__xludf.DUMMYFUNCTION("""COMPUTED_VALUE"""),"Anjana Parasuram")</f>
        <v>Anjana Parasuram</v>
      </c>
      <c r="C623" s="5" t="str">
        <f>IFERROR(__xludf.DUMMYFUNCTION("""COMPUTED_VALUE"""),"anjana.parasuram@onixnet.com")</f>
        <v>anjana.parasuram@onixnet.com</v>
      </c>
      <c r="D623" s="4" t="s">
        <v>11</v>
      </c>
      <c r="E623" s="6" t="str">
        <f>IFERROR(__xludf.DUMMYFUNCTION("vlookup($A623,importrange(""1fyGnaViAX9kns28pvsfPvI9925sAI7kxPlM7jpuHVJM"",""Validation!A:Z""),11,0)"),"Services")</f>
        <v>Services</v>
      </c>
      <c r="F623" s="6" t="str">
        <f>IFERROR(__xludf.DUMMYFUNCTION("vlookup($A623,importrange(""1fyGnaViAX9kns28pvsfPvI9925sAI7kxPlM7jpuHVJM"",""Validation!A:Z""),23,0)"),"Thomas Kraus")</f>
        <v>Thomas Kraus</v>
      </c>
      <c r="G623" s="6" t="str">
        <f>IFERROR(__xludf.DUMMYFUNCTION("vlookup(A623,importrange(""1fyGnaViAX9kns28pvsfPvI9925sAI7kxPlM7jpuHVJM"",""Validation!A:Z""),22,0)"),"Portfolio - Ankur (Sales)")</f>
        <v>Portfolio - Ankur (Sales)</v>
      </c>
      <c r="H623" s="4" t="str">
        <f>IFERROR(__xludf.DUMMYFUNCTION("vlookup(C623,importrange(""1kw74ismGU34AsZ5x-W4x7F3Zt2xc8NSYcCVMrCJBmdQ"",""DRP for 8 products!B:C""),2,0)"),"ONIAPQAF9")</f>
        <v>ONIAPQAF9</v>
      </c>
      <c r="I623" s="7">
        <f>IFERROR(__xludf.DUMMYFUNCTION("vlookup(C623,importrange(""1kw74ismGU34AsZ5x-W4x7F3Zt2xc8NSYcCVMrCJBmdQ"",""DRP for 8 products!B:E""),4,0)"),10.0)</f>
        <v>10</v>
      </c>
      <c r="J623" s="8" t="str">
        <f t="shared" si="1"/>
        <v>Tier 4</v>
      </c>
      <c r="K623" s="9" t="str">
        <f t="shared" si="2"/>
        <v>Active</v>
      </c>
      <c r="L623" s="4" t="str">
        <f>IFERROR(__xludf.DUMMYFUNCTION("vlookup(C623,importrange(""1kw74ismGU34AsZ5x-W4x7F3Zt2xc8NSYcCVMrCJBmdQ"",""DRP for 8 products!B:H""),6,0)"),"AlloyDB for PostgreSQL")</f>
        <v>AlloyDB for PostgreSQL</v>
      </c>
      <c r="M623" s="10" t="str">
        <f t="shared" si="3"/>
        <v>Yes</v>
      </c>
    </row>
    <row r="624">
      <c r="A624" s="4" t="str">
        <f>IFERROR(__xludf.DUMMYFUNCTION("vlookup(C624,IMPORTRANGE(""1Kgoo8qyo6zMtf_5B03ksZz228jg0XpZ4_KXsdHQ4Vks"",""14 Sept!A:B""),2,0)"),"DMSI0060")</f>
        <v>DMSI0060</v>
      </c>
      <c r="B624" s="5" t="str">
        <f>IFERROR(__xludf.DUMMYFUNCTION("""COMPUTED_VALUE"""),"Ramesh Kumar")</f>
        <v>Ramesh Kumar</v>
      </c>
      <c r="C624" s="5" t="str">
        <f>IFERROR(__xludf.DUMMYFUNCTION("""COMPUTED_VALUE"""),"ramesh.kumar@onixnet.com")</f>
        <v>ramesh.kumar@onixnet.com</v>
      </c>
      <c r="D624" s="4" t="s">
        <v>11</v>
      </c>
      <c r="E624" s="6" t="str">
        <f>IFERROR(__xludf.DUMMYFUNCTION("vlookup($A624,importrange(""1fyGnaViAX9kns28pvsfPvI9925sAI7kxPlM7jpuHVJM"",""Validation!A:Z""),11,0)"),"Services")</f>
        <v>Services</v>
      </c>
      <c r="F624" s="6" t="str">
        <f>IFERROR(__xludf.DUMMYFUNCTION("vlookup($A624,importrange(""1fyGnaViAX9kns28pvsfPvI9925sAI7kxPlM7jpuHVJM"",""Validation!A:Z""),23,0)"),"Neeraj Arora")</f>
        <v>Neeraj Arora</v>
      </c>
      <c r="G624" s="6" t="str">
        <f>IFERROR(__xludf.DUMMYFUNCTION("vlookup(A624,importrange(""1fyGnaViAX9kns28pvsfPvI9925sAI7kxPlM7jpuHVJM"",""Validation!A:Z""),22,0)"),"Portfolio - Kanth")</f>
        <v>Portfolio - Kanth</v>
      </c>
      <c r="H624" s="4" t="str">
        <f>IFERROR(__xludf.DUMMYFUNCTION("vlookup(C624,importrange(""1kw74ismGU34AsZ5x-W4x7F3Zt2xc8NSYcCVMrCJBmdQ"",""DRP for 8 products!B:C""),2,0)"),"ONIRKCXH2")</f>
        <v>ONIRKCXH2</v>
      </c>
      <c r="I624" s="7">
        <f>IFERROR(__xludf.DUMMYFUNCTION("vlookup(C624,importrange(""1kw74ismGU34AsZ5x-W4x7F3Zt2xc8NSYcCVMrCJBmdQ"",""DRP for 8 products!B:E""),4,0)"),25.0)</f>
        <v>25</v>
      </c>
      <c r="J624" s="8" t="str">
        <f t="shared" si="1"/>
        <v>Tier 3</v>
      </c>
      <c r="K624" s="9" t="str">
        <f t="shared" si="2"/>
        <v>Active</v>
      </c>
      <c r="L624" s="4" t="str">
        <f>IFERROR(__xludf.DUMMYFUNCTION("vlookup(C624,importrange(""1kw74ismGU34AsZ5x-W4x7F3Zt2xc8NSYcCVMrCJBmdQ"",""DRP for 8 products!B:H""),6,0)"),"BigQuery")</f>
        <v>BigQuery</v>
      </c>
      <c r="M624" s="10" t="str">
        <f t="shared" si="3"/>
        <v>Yes</v>
      </c>
    </row>
    <row r="625">
      <c r="A625" s="4" t="str">
        <f>IFERROR(__xludf.DUMMYFUNCTION("vlookup(C625,IMPORTRANGE(""1Kgoo8qyo6zMtf_5B03ksZz228jg0XpZ4_KXsdHQ4Vks"",""14 Sept!A:B""),2,0)"),"ONIX787")</f>
        <v>ONIX787</v>
      </c>
      <c r="B625" s="5" t="str">
        <f>IFERROR(__xludf.DUMMYFUNCTION("""COMPUTED_VALUE"""),"Olena Sholomytska")</f>
        <v>Olena Sholomytska</v>
      </c>
      <c r="C625" s="5" t="str">
        <f>IFERROR(__xludf.DUMMYFUNCTION("""COMPUTED_VALUE"""),"olena.sholomytska@onixnet.com")</f>
        <v>olena.sholomytska@onixnet.com</v>
      </c>
      <c r="D625" s="4" t="s">
        <v>11</v>
      </c>
      <c r="E625" s="6" t="str">
        <f>IFERROR(__xludf.DUMMYFUNCTION("vlookup($A625,importrange(""1fyGnaViAX9kns28pvsfPvI9925sAI7kxPlM7jpuHVJM"",""Validation!A:Z""),11,0)"),"Delivery")</f>
        <v>Delivery</v>
      </c>
      <c r="F625" s="6" t="str">
        <f>IFERROR(__xludf.DUMMYFUNCTION("vlookup($A625,importrange(""1fyGnaViAX9kns28pvsfPvI9925sAI7kxPlM7jpuHVJM"",""Validation!A:Z""),23,0)"),"Bob Cielenski")</f>
        <v>Bob Cielenski</v>
      </c>
      <c r="G625" s="6" t="str">
        <f>IFERROR(__xludf.DUMMYFUNCTION("vlookup(A625,importrange(""1fyGnaViAX9kns28pvsfPvI9925sAI7kxPlM7jpuHVJM"",""Validation!A:Z""),22,0)"),"Portfolio - Rick")</f>
        <v>Portfolio - Rick</v>
      </c>
      <c r="H625" s="4" t="str">
        <f>IFERROR(__xludf.DUMMYFUNCTION("vlookup(C625,importrange(""1kw74ismGU34AsZ5x-W4x7F3Zt2xc8NSYcCVMrCJBmdQ"",""DRP for 8 products!B:C""),2,0)"),"ONIOSEHV9")</f>
        <v>ONIOSEHV9</v>
      </c>
      <c r="I625" s="7">
        <f>IFERROR(__xludf.DUMMYFUNCTION("vlookup(C625,importrange(""1kw74ismGU34AsZ5x-W4x7F3Zt2xc8NSYcCVMrCJBmdQ"",""DRP for 8 products!B:E""),4,0)"),19.0)</f>
        <v>19</v>
      </c>
      <c r="J625" s="8" t="str">
        <f t="shared" si="1"/>
        <v>Tier 4</v>
      </c>
      <c r="K625" s="9" t="str">
        <f t="shared" si="2"/>
        <v>Active</v>
      </c>
      <c r="L625" s="4" t="str">
        <f>IFERROR(__xludf.DUMMYFUNCTION("vlookup(C625,importrange(""1kw74ismGU34AsZ5x-W4x7F3Zt2xc8NSYcCVMrCJBmdQ"",""DRP for 8 products!B:H""),6,0)"),"Looker")</f>
        <v>Looker</v>
      </c>
      <c r="M625" s="10" t="str">
        <f t="shared" si="3"/>
        <v>Yes</v>
      </c>
    </row>
    <row r="626">
      <c r="A626" s="4" t="str">
        <f>IFERROR(__xludf.DUMMYFUNCTION("vlookup(C626,IMPORTRANGE(""1Kgoo8qyo6zMtf_5B03ksZz228jg0XpZ4_KXsdHQ4Vks"",""14 Sept!A:B""),2,0)"),"DME2799")</f>
        <v>DME2799</v>
      </c>
      <c r="B626" s="5" t="str">
        <f>IFERROR(__xludf.DUMMYFUNCTION("""COMPUTED_VALUE"""),"Yashi Sahu")</f>
        <v>Yashi Sahu</v>
      </c>
      <c r="C626" s="5" t="str">
        <f>IFERROR(__xludf.DUMMYFUNCTION("""COMPUTED_VALUE"""),"yashi.sahu@onixnet.com")</f>
        <v>yashi.sahu@onixnet.com</v>
      </c>
      <c r="D626" s="4" t="s">
        <v>11</v>
      </c>
      <c r="E626" s="6" t="str">
        <f>IFERROR(__xludf.DUMMYFUNCTION("vlookup($A626,importrange(""1fyGnaViAX9kns28pvsfPvI9925sAI7kxPlM7jpuHVJM"",""Validation!A:Z""),11,0)"),"Delivery Services")</f>
        <v>Delivery Services</v>
      </c>
      <c r="F626" s="6" t="str">
        <f>IFERROR(__xludf.DUMMYFUNCTION("vlookup($A626,importrange(""1fyGnaViAX9kns28pvsfPvI9925sAI7kxPlM7jpuHVJM"",""Validation!A:Z""),23,0)"),"Pooja Chawda")</f>
        <v>Pooja Chawda</v>
      </c>
      <c r="G626" s="6" t="str">
        <f>IFERROR(__xludf.DUMMYFUNCTION("vlookup(A626,importrange(""1fyGnaViAX9kns28pvsfPvI9925sAI7kxPlM7jpuHVJM"",""Validation!A:Z""),22,0)"),"Cluster - Sandeep")</f>
        <v>Cluster - Sandeep</v>
      </c>
      <c r="H626" s="4" t="str">
        <f>IFERROR(__xludf.DUMMYFUNCTION("vlookup(C626,importrange(""1kw74ismGU34AsZ5x-W4x7F3Zt2xc8NSYcCVMrCJBmdQ"",""DRP for 8 products!B:C""),2,0)"),"ONIYSVLQ3")</f>
        <v>ONIYSVLQ3</v>
      </c>
      <c r="I626" s="7">
        <f>IFERROR(__xludf.DUMMYFUNCTION("vlookup(C626,importrange(""1kw74ismGU34AsZ5x-W4x7F3Zt2xc8NSYcCVMrCJBmdQ"",""DRP for 8 products!B:E""),4,0)"),34.0)</f>
        <v>34</v>
      </c>
      <c r="J626" s="8" t="str">
        <f t="shared" si="1"/>
        <v>Tier 3</v>
      </c>
      <c r="K626" s="9" t="str">
        <f t="shared" si="2"/>
        <v>Active</v>
      </c>
      <c r="L626" s="4" t="str">
        <f>IFERROR(__xludf.DUMMYFUNCTION("vlookup(C626,importrange(""1kw74ismGU34AsZ5x-W4x7F3Zt2xc8NSYcCVMrCJBmdQ"",""DRP for 8 products!B:H""),6,0)"),"BigQuery")</f>
        <v>BigQuery</v>
      </c>
      <c r="M626" s="10" t="str">
        <f t="shared" si="3"/>
        <v>Yes</v>
      </c>
    </row>
    <row r="627">
      <c r="A627" s="4" t="str">
        <f>IFERROR(__xludf.DUMMYFUNCTION("vlookup(C627,IMPORTRANGE(""1Kgoo8qyo6zMtf_5B03ksZz228jg0XpZ4_KXsdHQ4Vks"",""14 Sept!A:B""),2,0)"),"DMUK0018")</f>
        <v>DMUK0018</v>
      </c>
      <c r="B627" s="5" t="str">
        <f>IFERROR(__xludf.DUMMYFUNCTION("""COMPUTED_VALUE"""),"Lucy Clancy")</f>
        <v>Lucy Clancy</v>
      </c>
      <c r="C627" s="5" t="str">
        <f>IFERROR(__xludf.DUMMYFUNCTION("""COMPUTED_VALUE"""),"lucy.clancy@onixnet.com")</f>
        <v>lucy.clancy@onixnet.com</v>
      </c>
      <c r="D627" s="4" t="s">
        <v>11</v>
      </c>
      <c r="E627" s="6" t="str">
        <f>IFERROR(__xludf.DUMMYFUNCTION("vlookup($A627,importrange(""1fyGnaViAX9kns28pvsfPvI9925sAI7kxPlM7jpuHVJM"",""Validation!A:Z""),11,0)"),"Delivery Services")</f>
        <v>Delivery Services</v>
      </c>
      <c r="F627" s="6" t="str">
        <f>IFERROR(__xludf.DUMMYFUNCTION("vlookup($A627,importrange(""1fyGnaViAX9kns28pvsfPvI9925sAI7kxPlM7jpuHVJM"",""Validation!A:Z""),23,0)"),"Philip Cummings")</f>
        <v>Philip Cummings</v>
      </c>
      <c r="G627" s="6" t="str">
        <f>IFERROR(__xludf.DUMMYFUNCTION("vlookup(A627,importrange(""1fyGnaViAX9kns28pvsfPvI9925sAI7kxPlM7jpuHVJM"",""Validation!A:Z""),22,0)"),"Portfolio - Rick")</f>
        <v>Portfolio - Rick</v>
      </c>
      <c r="H627" s="4" t="str">
        <f>IFERROR(__xludf.DUMMYFUNCTION("vlookup(C627,importrange(""1kw74ismGU34AsZ5x-W4x7F3Zt2xc8NSYcCVMrCJBmdQ"",""DRP for 8 products!B:C""),2,0)"),"ONILCSVE4")</f>
        <v>ONILCSVE4</v>
      </c>
      <c r="I627" s="7">
        <f>IFERROR(__xludf.DUMMYFUNCTION("vlookup(C627,importrange(""1kw74ismGU34AsZ5x-W4x7F3Zt2xc8NSYcCVMrCJBmdQ"",""DRP for 8 products!B:E""),4,0)"),14.0)</f>
        <v>14</v>
      </c>
      <c r="J627" s="8" t="str">
        <f t="shared" si="1"/>
        <v>Tier 4</v>
      </c>
      <c r="K627" s="9" t="str">
        <f t="shared" si="2"/>
        <v>Active</v>
      </c>
      <c r="L627" s="4" t="str">
        <f>IFERROR(__xludf.DUMMYFUNCTION("vlookup(C627,importrange(""1kw74ismGU34AsZ5x-W4x7F3Zt2xc8NSYcCVMrCJBmdQ"",""DRP for 8 products!B:H""),6,0)"),"BigQuery")</f>
        <v>BigQuery</v>
      </c>
      <c r="M627" s="10" t="str">
        <f t="shared" si="3"/>
        <v>Yes</v>
      </c>
    </row>
    <row r="628">
      <c r="A628" s="4" t="str">
        <f>IFERROR(__xludf.DUMMYFUNCTION("vlookup(C628,IMPORTRANGE(""1Kgoo8qyo6zMtf_5B03ksZz228jg0XpZ4_KXsdHQ4Vks"",""14 Sept!A:B""),2,0)"),"DMUK0012")</f>
        <v>DMUK0012</v>
      </c>
      <c r="B628" s="5" t="str">
        <f>IFERROR(__xludf.DUMMYFUNCTION("""COMPUTED_VALUE"""),"Perminder Kaur")</f>
        <v>Perminder Kaur</v>
      </c>
      <c r="C628" s="5" t="str">
        <f>IFERROR(__xludf.DUMMYFUNCTION("""COMPUTED_VALUE"""),"pam.kaur@onixnet.com")</f>
        <v>pam.kaur@onixnet.com</v>
      </c>
      <c r="D628" s="4" t="s">
        <v>11</v>
      </c>
      <c r="E628" s="6" t="str">
        <f>IFERROR(__xludf.DUMMYFUNCTION("vlookup($A628,importrange(""1fyGnaViAX9kns28pvsfPvI9925sAI7kxPlM7jpuHVJM"",""Validation!A:Z""),11,0)"),"Delivery Services")</f>
        <v>Delivery Services</v>
      </c>
      <c r="F628" s="6" t="str">
        <f>IFERROR(__xludf.DUMMYFUNCTION("vlookup($A628,importrange(""1fyGnaViAX9kns28pvsfPvI9925sAI7kxPlM7jpuHVJM"",""Validation!A:Z""),23,0)"),"Amy Weber")</f>
        <v>Amy Weber</v>
      </c>
      <c r="G628" s="6" t="str">
        <f>IFERROR(__xludf.DUMMYFUNCTION("vlookup(A628,importrange(""1fyGnaViAX9kns28pvsfPvI9925sAI7kxPlM7jpuHVJM"",""Validation!A:Z""),22,0)"),"Portfolio - Rick")</f>
        <v>Portfolio - Rick</v>
      </c>
      <c r="H628" s="4" t="str">
        <f>IFERROR(__xludf.DUMMYFUNCTION("vlookup(C628,importrange(""1kw74ismGU34AsZ5x-W4x7F3Zt2xc8NSYcCVMrCJBmdQ"",""DRP for 8 products!B:C""),2,0)"),"ONIPKLVJ6")</f>
        <v>ONIPKLVJ6</v>
      </c>
      <c r="I628" s="7">
        <f>IFERROR(__xludf.DUMMYFUNCTION("vlookup(C628,importrange(""1kw74ismGU34AsZ5x-W4x7F3Zt2xc8NSYcCVMrCJBmdQ"",""DRP for 8 products!B:E""),4,0)"),26.0)</f>
        <v>26</v>
      </c>
      <c r="J628" s="8" t="str">
        <f t="shared" si="1"/>
        <v>Tier 3</v>
      </c>
      <c r="K628" s="9" t="str">
        <f t="shared" si="2"/>
        <v>Active</v>
      </c>
      <c r="L628" s="4" t="str">
        <f>IFERROR(__xludf.DUMMYFUNCTION("vlookup(C628,importrange(""1kw74ismGU34AsZ5x-W4x7F3Zt2xc8NSYcCVMrCJBmdQ"",""DRP for 8 products!B:H""),6,0)"),"Looker")</f>
        <v>Looker</v>
      </c>
      <c r="M628" s="10" t="str">
        <f t="shared" si="3"/>
        <v>Yes</v>
      </c>
    </row>
    <row r="629">
      <c r="A629" s="4" t="str">
        <f>IFERROR(__xludf.DUMMYFUNCTION("vlookup(C629,IMPORTRANGE(""1Kgoo8qyo6zMtf_5B03ksZz228jg0XpZ4_KXsdHQ4Vks"",""14 Sept!A:B""),2,0)"),"ONIX788")</f>
        <v>ONIX788</v>
      </c>
      <c r="B629" s="5" t="str">
        <f>IFERROR(__xludf.DUMMYFUNCTION("""COMPUTED_VALUE"""),"Kevin Soriano")</f>
        <v>Kevin Soriano</v>
      </c>
      <c r="C629" s="5" t="str">
        <f>IFERROR(__xludf.DUMMYFUNCTION("""COMPUTED_VALUE"""),"kevin.soriano@onixnet.com")</f>
        <v>kevin.soriano@onixnet.com</v>
      </c>
      <c r="D629" s="4" t="s">
        <v>11</v>
      </c>
      <c r="E629" s="6" t="str">
        <f>IFERROR(__xludf.DUMMYFUNCTION("vlookup($A629,importrange(""1fyGnaViAX9kns28pvsfPvI9925sAI7kxPlM7jpuHVJM"",""Validation!A:Z""),11,0)"),"Delivery")</f>
        <v>Delivery</v>
      </c>
      <c r="F629" s="6" t="str">
        <f>IFERROR(__xludf.DUMMYFUNCTION("vlookup($A629,importrange(""1fyGnaViAX9kns28pvsfPvI9925sAI7kxPlM7jpuHVJM"",""Validation!A:Z""),23,0)"),"Bob Cielenski")</f>
        <v>Bob Cielenski</v>
      </c>
      <c r="G629" s="6" t="str">
        <f>IFERROR(__xludf.DUMMYFUNCTION("vlookup(A629,importrange(""1fyGnaViAX9kns28pvsfPvI9925sAI7kxPlM7jpuHVJM"",""Validation!A:Z""),22,0)"),"Portfolio - Rick")</f>
        <v>Portfolio - Rick</v>
      </c>
      <c r="H629" s="4" t="str">
        <f>IFERROR(__xludf.DUMMYFUNCTION("vlookup(C629,importrange(""1kw74ismGU34AsZ5x-W4x7F3Zt2xc8NSYcCVMrCJBmdQ"",""DRP for 8 products!B:C""),2,0)"),"ONIKSNQY5")</f>
        <v>ONIKSNQY5</v>
      </c>
      <c r="I629" s="7">
        <f>IFERROR(__xludf.DUMMYFUNCTION("vlookup(C629,importrange(""1kw74ismGU34AsZ5x-W4x7F3Zt2xc8NSYcCVMrCJBmdQ"",""DRP for 8 products!B:E""),4,0)"),14.0)</f>
        <v>14</v>
      </c>
      <c r="J629" s="8" t="str">
        <f t="shared" si="1"/>
        <v>Tier 4</v>
      </c>
      <c r="K629" s="9" t="str">
        <f t="shared" si="2"/>
        <v>Active</v>
      </c>
      <c r="L629" s="4" t="str">
        <f>IFERROR(__xludf.DUMMYFUNCTION("vlookup(C629,importrange(""1kw74ismGU34AsZ5x-W4x7F3Zt2xc8NSYcCVMrCJBmdQ"",""DRP for 8 products!B:H""),6,0)"),"Looker")</f>
        <v>Looker</v>
      </c>
      <c r="M629" s="10" t="str">
        <f t="shared" si="3"/>
        <v>Yes</v>
      </c>
    </row>
    <row r="630">
      <c r="A630" s="4" t="str">
        <f>IFERROR(__xludf.DUMMYFUNCTION("vlookup(C630,IMPORTRANGE(""1Kgoo8qyo6zMtf_5B03ksZz228jg0XpZ4_KXsdHQ4Vks"",""14 Sept!A:B""),2,0)"),"DME2481")</f>
        <v>DME2481</v>
      </c>
      <c r="B630" s="5" t="str">
        <f>IFERROR(__xludf.DUMMYFUNCTION("""COMPUTED_VALUE"""),"mitali girwalkar")</f>
        <v>mitali girwalkar</v>
      </c>
      <c r="C630" s="5" t="str">
        <f>IFERROR(__xludf.DUMMYFUNCTION("""COMPUTED_VALUE"""),"mitali.girwalkar@onixnet.com")</f>
        <v>mitali.girwalkar@onixnet.com</v>
      </c>
      <c r="D630" s="4" t="s">
        <v>11</v>
      </c>
      <c r="E630" s="6" t="str">
        <f>IFERROR(__xludf.DUMMYFUNCTION("vlookup($A630,importrange(""1fyGnaViAX9kns28pvsfPvI9925sAI7kxPlM7jpuHVJM"",""Validation!A:Z""),11,0)"),"Eagle Assessment")</f>
        <v>Eagle Assessment</v>
      </c>
      <c r="F630" s="6" t="str">
        <f>IFERROR(__xludf.DUMMYFUNCTION("vlookup($A630,importrange(""1fyGnaViAX9kns28pvsfPvI9925sAI7kxPlM7jpuHVJM"",""Validation!A:Z""),23,0)"),"Amruta Shreerang Urane")</f>
        <v>Amruta Shreerang Urane</v>
      </c>
      <c r="G630" s="6" t="str">
        <f>IFERROR(__xludf.DUMMYFUNCTION("vlookup(A630,importrange(""1fyGnaViAX9kns28pvsfPvI9925sAI7kxPlM7jpuHVJM"",""Validation!A:Z""),22,0)"),"Cluster - Kalpa")</f>
        <v>Cluster - Kalpa</v>
      </c>
      <c r="H630" s="4" t="str">
        <f>IFERROR(__xludf.DUMMYFUNCTION("vlookup(C630,importrange(""1kw74ismGU34AsZ5x-W4x7F3Zt2xc8NSYcCVMrCJBmdQ"",""DRP for 8 products!B:C""),2,0)"),"ONIMGHCI2")</f>
        <v>ONIMGHCI2</v>
      </c>
      <c r="I630" s="7">
        <f>IFERROR(__xludf.DUMMYFUNCTION("vlookup(C630,importrange(""1kw74ismGU34AsZ5x-W4x7F3Zt2xc8NSYcCVMrCJBmdQ"",""DRP for 8 products!B:E""),4,0)"),47.0)</f>
        <v>47</v>
      </c>
      <c r="J630" s="8" t="str">
        <f t="shared" si="1"/>
        <v>Tier 2</v>
      </c>
      <c r="K630" s="9" t="str">
        <f t="shared" si="2"/>
        <v>Active</v>
      </c>
      <c r="L630" s="4" t="str">
        <f>IFERROR(__xludf.DUMMYFUNCTION("vlookup(C630,importrange(""1kw74ismGU34AsZ5x-W4x7F3Zt2xc8NSYcCVMrCJBmdQ"",""DRP for 8 products!B:H""),6,0)"),"BigQuery")</f>
        <v>BigQuery</v>
      </c>
      <c r="M630" s="10" t="str">
        <f t="shared" si="3"/>
        <v>Yes</v>
      </c>
    </row>
    <row r="631">
      <c r="A631" s="4" t="str">
        <f>IFERROR(__xludf.DUMMYFUNCTION("vlookup(C631,IMPORTRANGE(""1Kgoo8qyo6zMtf_5B03ksZz228jg0XpZ4_KXsdHQ4Vks"",""14 Sept!A:B""),2,0)"),"DME0870")</f>
        <v>DME0870</v>
      </c>
      <c r="B631" s="5" t="str">
        <f>IFERROR(__xludf.DUMMYFUNCTION("""COMPUTED_VALUE"""),"Minal Patil")</f>
        <v>Minal Patil</v>
      </c>
      <c r="C631" s="5" t="str">
        <f>IFERROR(__xludf.DUMMYFUNCTION("""COMPUTED_VALUE"""),"minal.patil@onixnet.com")</f>
        <v>minal.patil@onixnet.com</v>
      </c>
      <c r="D631" s="4" t="s">
        <v>11</v>
      </c>
      <c r="E631" s="6" t="str">
        <f>IFERROR(__xludf.DUMMYFUNCTION("vlookup($A631,importrange(""1fyGnaViAX9kns28pvsfPvI9925sAI7kxPlM7jpuHVJM"",""Validation!A:Z""),11,0)"),"Delivery Services")</f>
        <v>Delivery Services</v>
      </c>
      <c r="F631" s="6" t="str">
        <f>IFERROR(__xludf.DUMMYFUNCTION("vlookup($A631,importrange(""1fyGnaViAX9kns28pvsfPvI9925sAI7kxPlM7jpuHVJM"",""Validation!A:Z""),23,0)"),"Devayani Girish Pillai")</f>
        <v>Devayani Girish Pillai</v>
      </c>
      <c r="G631" s="6" t="str">
        <f>IFERROR(__xludf.DUMMYFUNCTION("vlookup(A631,importrange(""1fyGnaViAX9kns28pvsfPvI9925sAI7kxPlM7jpuHVJM"",""Validation!A:Z""),22,0)"),"Cluster - Devayani")</f>
        <v>Cluster - Devayani</v>
      </c>
      <c r="H631" s="4" t="str">
        <f>IFERROR(__xludf.DUMMYFUNCTION("vlookup(C631,importrange(""1kw74ismGU34AsZ5x-W4x7F3Zt2xc8NSYcCVMrCJBmdQ"",""DRP for 8 products!B:C""),2,0)"),"ONIMPOYG3")</f>
        <v>ONIMPOYG3</v>
      </c>
      <c r="I631" s="7">
        <f>IFERROR(__xludf.DUMMYFUNCTION("vlookup(C631,importrange(""1kw74ismGU34AsZ5x-W4x7F3Zt2xc8NSYcCVMrCJBmdQ"",""DRP for 8 products!B:E""),4,0)"),29.0)</f>
        <v>29</v>
      </c>
      <c r="J631" s="8" t="str">
        <f t="shared" si="1"/>
        <v>Tier 3</v>
      </c>
      <c r="K631" s="9" t="str">
        <f t="shared" si="2"/>
        <v>Active</v>
      </c>
      <c r="L631" s="4" t="str">
        <f>IFERROR(__xludf.DUMMYFUNCTION("vlookup(C631,importrange(""1kw74ismGU34AsZ5x-W4x7F3Zt2xc8NSYcCVMrCJBmdQ"",""DRP for 8 products!B:H""),6,0)"),"Dataproc")</f>
        <v>Dataproc</v>
      </c>
      <c r="M631" s="10" t="str">
        <f t="shared" si="3"/>
        <v>Yes</v>
      </c>
    </row>
    <row r="632">
      <c r="A632" s="4" t="str">
        <f>IFERROR(__xludf.DUMMYFUNCTION("vlookup(C632,IMPORTRANGE(""1Kgoo8qyo6zMtf_5B03ksZz228jg0XpZ4_KXsdHQ4Vks"",""14 Sept!A:B""),2,0)"),"DME2463")</f>
        <v>DME2463</v>
      </c>
      <c r="B632" s="5" t="str">
        <f>IFERROR(__xludf.DUMMYFUNCTION("""COMPUTED_VALUE"""),"Suraj Ghotkar")</f>
        <v>Suraj Ghotkar</v>
      </c>
      <c r="C632" s="5" t="str">
        <f>IFERROR(__xludf.DUMMYFUNCTION("""COMPUTED_VALUE"""),"suraj.ghotkar@onixnet.com")</f>
        <v>suraj.ghotkar@onixnet.com</v>
      </c>
      <c r="D632" s="4" t="s">
        <v>11</v>
      </c>
      <c r="E632" s="6" t="str">
        <f>IFERROR(__xludf.DUMMYFUNCTION("vlookup($A632,importrange(""1fyGnaViAX9kns28pvsfPvI9925sAI7kxPlM7jpuHVJM"",""Validation!A:Z""),11,0)"),"Delivery Services")</f>
        <v>Delivery Services</v>
      </c>
      <c r="F632" s="6" t="str">
        <f>IFERROR(__xludf.DUMMYFUNCTION("vlookup($A632,importrange(""1fyGnaViAX9kns28pvsfPvI9925sAI7kxPlM7jpuHVJM"",""Validation!A:Z""),23,0)"),"Aakash Vinod Tolani")</f>
        <v>Aakash Vinod Tolani</v>
      </c>
      <c r="G632" s="6" t="str">
        <f>IFERROR(__xludf.DUMMYFUNCTION("vlookup(A632,importrange(""1fyGnaViAX9kns28pvsfPvI9925sAI7kxPlM7jpuHVJM"",""Validation!A:Z""),22,0)"),"Cluster - Shreepad")</f>
        <v>Cluster - Shreepad</v>
      </c>
      <c r="H632" s="4" t="str">
        <f>IFERROR(__xludf.DUMMYFUNCTION("vlookup(C632,importrange(""1kw74ismGU34AsZ5x-W4x7F3Zt2xc8NSYcCVMrCJBmdQ"",""DRP for 8 products!B:C""),2,0)"),"ONISGZCB6")</f>
        <v>ONISGZCB6</v>
      </c>
      <c r="I632" s="7">
        <f>IFERROR(__xludf.DUMMYFUNCTION("vlookup(C632,importrange(""1kw74ismGU34AsZ5x-W4x7F3Zt2xc8NSYcCVMrCJBmdQ"",""DRP for 8 products!B:E""),4,0)"),33.0)</f>
        <v>33</v>
      </c>
      <c r="J632" s="8" t="str">
        <f t="shared" si="1"/>
        <v>Tier 3</v>
      </c>
      <c r="K632" s="9" t="str">
        <f t="shared" si="2"/>
        <v>Active</v>
      </c>
      <c r="L632" s="4" t="str">
        <f>IFERROR(__xludf.DUMMYFUNCTION("vlookup(C632,importrange(""1kw74ismGU34AsZ5x-W4x7F3Zt2xc8NSYcCVMrCJBmdQ"",""DRP for 8 products!B:H""),6,0)"),"BigQuery")</f>
        <v>BigQuery</v>
      </c>
      <c r="M632" s="10" t="str">
        <f t="shared" si="3"/>
        <v>Yes</v>
      </c>
    </row>
    <row r="633">
      <c r="A633" s="4" t="str">
        <f>IFERROR(__xludf.DUMMYFUNCTION("vlookup(C633,IMPORTRANGE(""1Kgoo8qyo6zMtf_5B03ksZz228jg0XpZ4_KXsdHQ4Vks"",""14 Sept!A:B""),2,0)"),"ONIX822")</f>
        <v>ONIX822</v>
      </c>
      <c r="B633" s="5" t="str">
        <f>IFERROR(__xludf.DUMMYFUNCTION("""COMPUTED_VALUE"""),"Iuliia Al-Saadi")</f>
        <v>Iuliia Al-Saadi</v>
      </c>
      <c r="C633" s="5" t="str">
        <f>IFERROR(__xludf.DUMMYFUNCTION("""COMPUTED_VALUE"""),"iuliia.al-saadi@onixnet.com")</f>
        <v>iuliia.al-saadi@onixnet.com</v>
      </c>
      <c r="D633" s="4" t="s">
        <v>11</v>
      </c>
      <c r="E633" s="6" t="str">
        <f>IFERROR(__xludf.DUMMYFUNCTION("vlookup($A633,importrange(""1fyGnaViAX9kns28pvsfPvI9925sAI7kxPlM7jpuHVJM"",""Validation!A:Z""),11,0)"),"Delivery Management")</f>
        <v>Delivery Management</v>
      </c>
      <c r="F633" s="6" t="str">
        <f>IFERROR(__xludf.DUMMYFUNCTION("vlookup($A633,importrange(""1fyGnaViAX9kns28pvsfPvI9925sAI7kxPlM7jpuHVJM"",""Validation!A:Z""),23,0)"),"Kyle Clark")</f>
        <v>Kyle Clark</v>
      </c>
      <c r="G633" s="6" t="str">
        <f>IFERROR(__xludf.DUMMYFUNCTION("vlookup(A633,importrange(""1fyGnaViAX9kns28pvsfPvI9925sAI7kxPlM7jpuHVJM"",""Validation!A:Z""),22,0)"),"Portfolio - Rick")</f>
        <v>Portfolio - Rick</v>
      </c>
      <c r="H633" s="4" t="str">
        <f>IFERROR(__xludf.DUMMYFUNCTION("vlookup(C633,importrange(""1kw74ismGU34AsZ5x-W4x7F3Zt2xc8NSYcCVMrCJBmdQ"",""DRP for 8 products!B:C""),2,0)"),"ONIIAIHM9")</f>
        <v>ONIIAIHM9</v>
      </c>
      <c r="I633" s="7">
        <f>IFERROR(__xludf.DUMMYFUNCTION("vlookup(C633,importrange(""1kw74ismGU34AsZ5x-W4x7F3Zt2xc8NSYcCVMrCJBmdQ"",""DRP for 8 products!B:E""),4,0)"),14.0)</f>
        <v>14</v>
      </c>
      <c r="J633" s="8" t="str">
        <f t="shared" si="1"/>
        <v>Tier 4</v>
      </c>
      <c r="K633" s="9" t="str">
        <f t="shared" si="2"/>
        <v>Active</v>
      </c>
      <c r="L633" s="4" t="str">
        <f>IFERROR(__xludf.DUMMYFUNCTION("vlookup(C633,importrange(""1kw74ismGU34AsZ5x-W4x7F3Zt2xc8NSYcCVMrCJBmdQ"",""DRP for 8 products!B:H""),6,0)"),"AlloyDB for PostgreSQL")</f>
        <v>AlloyDB for PostgreSQL</v>
      </c>
      <c r="M633" s="10" t="str">
        <f t="shared" si="3"/>
        <v>Yes</v>
      </c>
    </row>
    <row r="634">
      <c r="A634" s="4" t="str">
        <f>IFERROR(__xludf.DUMMYFUNCTION("vlookup(C634,IMPORTRANGE(""1Kgoo8qyo6zMtf_5B03ksZz228jg0XpZ4_KXsdHQ4Vks"",""14 Sept!A:B""),2,0)"),"DME2658")</f>
        <v>DME2658</v>
      </c>
      <c r="B634" s="5" t="str">
        <f>IFERROR(__xludf.DUMMYFUNCTION("""COMPUTED_VALUE"""),"Indrajit Bhagat")</f>
        <v>Indrajit Bhagat</v>
      </c>
      <c r="C634" s="5" t="str">
        <f>IFERROR(__xludf.DUMMYFUNCTION("""COMPUTED_VALUE"""),"indrajit.bhagat@onixnet.com")</f>
        <v>indrajit.bhagat@onixnet.com</v>
      </c>
      <c r="D634" s="4" t="s">
        <v>11</v>
      </c>
      <c r="E634" s="6" t="str">
        <f>IFERROR(__xludf.DUMMYFUNCTION("vlookup($A634,importrange(""1fyGnaViAX9kns28pvsfPvI9925sAI7kxPlM7jpuHVJM"",""Validation!A:Z""),11,0)"),"Delivery Services")</f>
        <v>Delivery Services</v>
      </c>
      <c r="F634" s="6" t="str">
        <f>IFERROR(__xludf.DUMMYFUNCTION("vlookup($A634,importrange(""1fyGnaViAX9kns28pvsfPvI9925sAI7kxPlM7jpuHVJM"",""Validation!A:Z""),23,0)"),"Varun Katyal")</f>
        <v>Varun Katyal</v>
      </c>
      <c r="G634" s="6" t="str">
        <f>IFERROR(__xludf.DUMMYFUNCTION("vlookup(A634,importrange(""1fyGnaViAX9kns28pvsfPvI9925sAI7kxPlM7jpuHVJM"",""Validation!A:Z""),22,0)"),"Cluster - Varun")</f>
        <v>Cluster - Varun</v>
      </c>
      <c r="H634" s="4" t="str">
        <f>IFERROR(__xludf.DUMMYFUNCTION("vlookup(C634,importrange(""1kw74ismGU34AsZ5x-W4x7F3Zt2xc8NSYcCVMrCJBmdQ"",""DRP for 8 products!B:C""),2,0)"),"ONIIBOSD7")</f>
        <v>ONIIBOSD7</v>
      </c>
      <c r="I634" s="7">
        <f>IFERROR(__xludf.DUMMYFUNCTION("vlookup(C634,importrange(""1kw74ismGU34AsZ5x-W4x7F3Zt2xc8NSYcCVMrCJBmdQ"",""DRP for 8 products!B:E""),4,0)"),39.0)</f>
        <v>39</v>
      </c>
      <c r="J634" s="8" t="str">
        <f t="shared" si="1"/>
        <v>Tier 2</v>
      </c>
      <c r="K634" s="9" t="str">
        <f t="shared" si="2"/>
        <v>Active</v>
      </c>
      <c r="L634" s="4" t="str">
        <f>IFERROR(__xludf.DUMMYFUNCTION("vlookup(C634,importrange(""1kw74ismGU34AsZ5x-W4x7F3Zt2xc8NSYcCVMrCJBmdQ"",""DRP for 8 products!B:H""),6,0)"),"BigQuery")</f>
        <v>BigQuery</v>
      </c>
      <c r="M634" s="10" t="str">
        <f t="shared" si="3"/>
        <v>Yes</v>
      </c>
    </row>
    <row r="635">
      <c r="A635" s="4" t="str">
        <f>IFERROR(__xludf.DUMMYFUNCTION("vlookup(C635,IMPORTRANGE(""1Kgoo8qyo6zMtf_5B03ksZz228jg0XpZ4_KXsdHQ4Vks"",""14 Sept!A:B""),2,0)"),"DME2607")</f>
        <v>DME2607</v>
      </c>
      <c r="B635" s="5" t="str">
        <f>IFERROR(__xludf.DUMMYFUNCTION("""COMPUTED_VALUE"""),"Prashanth Adepu")</f>
        <v>Prashanth Adepu</v>
      </c>
      <c r="C635" s="5" t="str">
        <f>IFERROR(__xludf.DUMMYFUNCTION("""COMPUTED_VALUE"""),"prashanth.adepu@onixnet.com")</f>
        <v>prashanth.adepu@onixnet.com</v>
      </c>
      <c r="D635" s="4" t="s">
        <v>11</v>
      </c>
      <c r="E635" s="6" t="str">
        <f>IFERROR(__xludf.DUMMYFUNCTION("vlookup($A635,importrange(""1fyGnaViAX9kns28pvsfPvI9925sAI7kxPlM7jpuHVJM"",""Validation!A:Z""),11,0)"),"Delivery Services")</f>
        <v>Delivery Services</v>
      </c>
      <c r="F635" s="6" t="str">
        <f>IFERROR(__xludf.DUMMYFUNCTION("vlookup($A635,importrange(""1fyGnaViAX9kns28pvsfPvI9925sAI7kxPlM7jpuHVJM"",""Validation!A:Z""),23,0)"),"Rahul Gupta")</f>
        <v>Rahul Gupta</v>
      </c>
      <c r="G635" s="6" t="str">
        <f>IFERROR(__xludf.DUMMYFUNCTION("vlookup(A635,importrange(""1fyGnaViAX9kns28pvsfPvI9925sAI7kxPlM7jpuHVJM"",""Validation!A:Z""),22,0)"),"Cluster - Sachin")</f>
        <v>Cluster - Sachin</v>
      </c>
      <c r="H635" s="4" t="str">
        <f>IFERROR(__xludf.DUMMYFUNCTION("vlookup(C635,importrange(""1kw74ismGU34AsZ5x-W4x7F3Zt2xc8NSYcCVMrCJBmdQ"",""DRP for 8 products!B:C""),2,0)"),"ONIPALCC9")</f>
        <v>ONIPALCC9</v>
      </c>
      <c r="I635" s="7">
        <f>IFERROR(__xludf.DUMMYFUNCTION("vlookup(C635,importrange(""1kw74ismGU34AsZ5x-W4x7F3Zt2xc8NSYcCVMrCJBmdQ"",""DRP for 8 products!B:E""),4,0)"),24.0)</f>
        <v>24</v>
      </c>
      <c r="J635" s="8" t="str">
        <f t="shared" si="1"/>
        <v>Tier 3</v>
      </c>
      <c r="K635" s="9" t="str">
        <f t="shared" si="2"/>
        <v>Active</v>
      </c>
      <c r="L635" s="4" t="str">
        <f>IFERROR(__xludf.DUMMYFUNCTION("vlookup(C635,importrange(""1kw74ismGU34AsZ5x-W4x7F3Zt2xc8NSYcCVMrCJBmdQ"",""DRP for 8 products!B:H""),6,0)"),"BigQuery")</f>
        <v>BigQuery</v>
      </c>
      <c r="M635" s="10" t="str">
        <f t="shared" si="3"/>
        <v>Yes</v>
      </c>
    </row>
    <row r="636">
      <c r="A636" s="4" t="str">
        <f>IFERROR(__xludf.DUMMYFUNCTION("vlookup(C636,IMPORTRANGE(""1Kgoo8qyo6zMtf_5B03ksZz228jg0XpZ4_KXsdHQ4Vks"",""14 Sept!A:B""),2,0)"),"DME2293")</f>
        <v>DME2293</v>
      </c>
      <c r="B636" s="5" t="str">
        <f>IFERROR(__xludf.DUMMYFUNCTION("""COMPUTED_VALUE"""),"Swapnil Joshi")</f>
        <v>Swapnil Joshi</v>
      </c>
      <c r="C636" s="5" t="str">
        <f>IFERROR(__xludf.DUMMYFUNCTION("""COMPUTED_VALUE"""),"swapnil.joshi@onixnet.com")</f>
        <v>swapnil.joshi@onixnet.com</v>
      </c>
      <c r="D636" s="4" t="s">
        <v>11</v>
      </c>
      <c r="E636" s="6" t="str">
        <f>IFERROR(__xludf.DUMMYFUNCTION("vlookup($A636,importrange(""1fyGnaViAX9kns28pvsfPvI9925sAI7kxPlM7jpuHVJM"",""Validation!A:Z""),11,0)"),"Delivery Services")</f>
        <v>Delivery Services</v>
      </c>
      <c r="F636" s="6" t="str">
        <f>IFERROR(__xludf.DUMMYFUNCTION("vlookup($A636,importrange(""1fyGnaViAX9kns28pvsfPvI9925sAI7kxPlM7jpuHVJM"",""Validation!A:Z""),23,0)"),"Kiran Patharkar")</f>
        <v>Kiran Patharkar</v>
      </c>
      <c r="G636" s="6" t="str">
        <f>IFERROR(__xludf.DUMMYFUNCTION("vlookup(A636,importrange(""1fyGnaViAX9kns28pvsfPvI9925sAI7kxPlM7jpuHVJM"",""Validation!A:Z""),22,0)"),"Cluster - Sandeep")</f>
        <v>Cluster - Sandeep</v>
      </c>
      <c r="H636" s="4" t="str">
        <f>IFERROR(__xludf.DUMMYFUNCTION("vlookup(C636,importrange(""1kw74ismGU34AsZ5x-W4x7F3Zt2xc8NSYcCVMrCJBmdQ"",""DRP for 8 products!B:C""),2,0)"),"ONISJVBP5")</f>
        <v>ONISJVBP5</v>
      </c>
      <c r="I636" s="7">
        <f>IFERROR(__xludf.DUMMYFUNCTION("vlookup(C636,importrange(""1kw74ismGU34AsZ5x-W4x7F3Zt2xc8NSYcCVMrCJBmdQ"",""DRP for 8 products!B:E""),4,0)"),58.0)</f>
        <v>58</v>
      </c>
      <c r="J636" s="8" t="str">
        <f t="shared" si="1"/>
        <v>Tier 1</v>
      </c>
      <c r="K636" s="9" t="str">
        <f t="shared" si="2"/>
        <v>Active</v>
      </c>
      <c r="L636" s="4" t="str">
        <f>IFERROR(__xludf.DUMMYFUNCTION("vlookup(C636,importrange(""1kw74ismGU34AsZ5x-W4x7F3Zt2xc8NSYcCVMrCJBmdQ"",""DRP for 8 products!B:H""),6,0)"),"BigQuery")</f>
        <v>BigQuery</v>
      </c>
      <c r="M636" s="10" t="str">
        <f t="shared" si="3"/>
        <v>Yes</v>
      </c>
    </row>
    <row r="637">
      <c r="A637" s="4" t="str">
        <f>IFERROR(__xludf.DUMMYFUNCTION("vlookup(C637,IMPORTRANGE(""1Kgoo8qyo6zMtf_5B03ksZz228jg0XpZ4_KXsdHQ4Vks"",""14 Sept!A:B""),2,0)"),"DME1770")</f>
        <v>DME1770</v>
      </c>
      <c r="B637" s="5" t="str">
        <f>IFERROR(__xludf.DUMMYFUNCTION("""COMPUTED_VALUE"""),"Jotsna Nehe")</f>
        <v>Jotsna Nehe</v>
      </c>
      <c r="C637" s="5" t="str">
        <f>IFERROR(__xludf.DUMMYFUNCTION("""COMPUTED_VALUE"""),"jotsna.nehe@onixnet.com")</f>
        <v>jotsna.nehe@onixnet.com</v>
      </c>
      <c r="D637" s="4" t="s">
        <v>11</v>
      </c>
      <c r="E637" s="6" t="str">
        <f>IFERROR(__xludf.DUMMYFUNCTION("vlookup($A637,importrange(""1fyGnaViAX9kns28pvsfPvI9925sAI7kxPlM7jpuHVJM"",""Validation!A:Z""),11,0)"),"Delivery Services")</f>
        <v>Delivery Services</v>
      </c>
      <c r="F637" s="6" t="str">
        <f>IFERROR(__xludf.DUMMYFUNCTION("vlookup($A637,importrange(""1fyGnaViAX9kns28pvsfPvI9925sAI7kxPlM7jpuHVJM"",""Validation!A:Z""),23,0)"),"Aman Khandelwal")</f>
        <v>Aman Khandelwal</v>
      </c>
      <c r="G637" s="6" t="str">
        <f>IFERROR(__xludf.DUMMYFUNCTION("vlookup(A637,importrange(""1fyGnaViAX9kns28pvsfPvI9925sAI7kxPlM7jpuHVJM"",""Validation!A:Z""),22,0)"),"Cluster - Sachin")</f>
        <v>Cluster - Sachin</v>
      </c>
      <c r="H637" s="4" t="str">
        <f>IFERROR(__xludf.DUMMYFUNCTION("vlookup(C637,importrange(""1kw74ismGU34AsZ5x-W4x7F3Zt2xc8NSYcCVMrCJBmdQ"",""DRP for 8 products!B:C""),2,0)"),"ONIJNYOE6")</f>
        <v>ONIJNYOE6</v>
      </c>
      <c r="I637" s="7">
        <f>IFERROR(__xludf.DUMMYFUNCTION("vlookup(C637,importrange(""1kw74ismGU34AsZ5x-W4x7F3Zt2xc8NSYcCVMrCJBmdQ"",""DRP for 8 products!B:E""),4,0)"),19.0)</f>
        <v>19</v>
      </c>
      <c r="J637" s="8" t="str">
        <f t="shared" si="1"/>
        <v>Tier 4</v>
      </c>
      <c r="K637" s="9" t="str">
        <f t="shared" si="2"/>
        <v>Active</v>
      </c>
      <c r="L637" s="4" t="str">
        <f>IFERROR(__xludf.DUMMYFUNCTION("vlookup(C637,importrange(""1kw74ismGU34AsZ5x-W4x7F3Zt2xc8NSYcCVMrCJBmdQ"",""DRP for 8 products!B:H""),6,0)"),"AlloyDB for PostgreSQL")</f>
        <v>AlloyDB for PostgreSQL</v>
      </c>
      <c r="M637" s="10" t="str">
        <f t="shared" si="3"/>
        <v>Yes</v>
      </c>
    </row>
    <row r="638">
      <c r="A638" s="4" t="str">
        <f>IFERROR(__xludf.DUMMYFUNCTION("vlookup(C638,IMPORTRANGE(""1Kgoo8qyo6zMtf_5B03ksZz228jg0XpZ4_KXsdHQ4Vks"",""14 Sept!A:B""),2,0)"),"DME2712")</f>
        <v>DME2712</v>
      </c>
      <c r="B638" s="5" t="str">
        <f>IFERROR(__xludf.DUMMYFUNCTION("""COMPUTED_VALUE"""),"Anurag Mukati")</f>
        <v>Anurag Mukati</v>
      </c>
      <c r="C638" s="5" t="str">
        <f>IFERROR(__xludf.DUMMYFUNCTION("""COMPUTED_VALUE"""),"anurag.mukati@onixnet.com")</f>
        <v>anurag.mukati@onixnet.com</v>
      </c>
      <c r="D638" s="4" t="s">
        <v>11</v>
      </c>
      <c r="E638" s="6" t="str">
        <f>IFERROR(__xludf.DUMMYFUNCTION("vlookup($A638,importrange(""1fyGnaViAX9kns28pvsfPvI9925sAI7kxPlM7jpuHVJM"",""Validation!A:Z""),11,0)"),"Delivery Services")</f>
        <v>Delivery Services</v>
      </c>
      <c r="F638" s="6" t="str">
        <f>IFERROR(__xludf.DUMMYFUNCTION("vlookup($A638,importrange(""1fyGnaViAX9kns28pvsfPvI9925sAI7kxPlM7jpuHVJM"",""Validation!A:Z""),23,0)"),"Mayuresh Kedari")</f>
        <v>Mayuresh Kedari</v>
      </c>
      <c r="G638" s="6" t="str">
        <f>IFERROR(__xludf.DUMMYFUNCTION("vlookup(A638,importrange(""1fyGnaViAX9kns28pvsfPvI9925sAI7kxPlM7jpuHVJM"",""Validation!A:Z""),22,0)"),"Cluster - Gaurav")</f>
        <v>Cluster - Gaurav</v>
      </c>
      <c r="H638" s="4" t="str">
        <f>IFERROR(__xludf.DUMMYFUNCTION("vlookup(C638,importrange(""1kw74ismGU34AsZ5x-W4x7F3Zt2xc8NSYcCVMrCJBmdQ"",""DRP for 8 products!B:C""),2,0)"),"ONIAMDGN7")</f>
        <v>ONIAMDGN7</v>
      </c>
      <c r="I638" s="7">
        <f>IFERROR(__xludf.DUMMYFUNCTION("vlookup(C638,importrange(""1kw74ismGU34AsZ5x-W4x7F3Zt2xc8NSYcCVMrCJBmdQ"",""DRP for 8 products!B:E""),4,0)"),62.0)</f>
        <v>62</v>
      </c>
      <c r="J638" s="8" t="str">
        <f t="shared" si="1"/>
        <v>Tier 1</v>
      </c>
      <c r="K638" s="9" t="str">
        <f t="shared" si="2"/>
        <v>Active</v>
      </c>
      <c r="L638" s="4" t="str">
        <f>IFERROR(__xludf.DUMMYFUNCTION("vlookup(C638,importrange(""1kw74ismGU34AsZ5x-W4x7F3Zt2xc8NSYcCVMrCJBmdQ"",""DRP for 8 products!B:H""),6,0)"),"BigQuery")</f>
        <v>BigQuery</v>
      </c>
      <c r="M638" s="10" t="str">
        <f t="shared" si="3"/>
        <v>Yes</v>
      </c>
    </row>
    <row r="639">
      <c r="A639" s="4" t="str">
        <f>IFERROR(__xludf.DUMMYFUNCTION("vlookup(C639,IMPORTRANGE(""1Kgoo8qyo6zMtf_5B03ksZz228jg0XpZ4_KXsdHQ4Vks"",""14 Sept!A:B""),2,0)"),"DME2473")</f>
        <v>DME2473</v>
      </c>
      <c r="B639" s="5" t="str">
        <f>IFERROR(__xludf.DUMMYFUNCTION("""COMPUTED_VALUE"""),"Rushikesh Jadhav")</f>
        <v>Rushikesh Jadhav</v>
      </c>
      <c r="C639" s="5" t="str">
        <f>IFERROR(__xludf.DUMMYFUNCTION("""COMPUTED_VALUE"""),"rushikesh.jadhav@onixnet.com")</f>
        <v>rushikesh.jadhav@onixnet.com</v>
      </c>
      <c r="D639" s="4" t="s">
        <v>11</v>
      </c>
      <c r="E639" s="6" t="str">
        <f>IFERROR(__xludf.DUMMYFUNCTION("vlookup($A639,importrange(""1fyGnaViAX9kns28pvsfPvI9925sAI7kxPlM7jpuHVJM"",""Validation!A:Z""),11,0)"),"Delivery Services")</f>
        <v>Delivery Services</v>
      </c>
      <c r="F639" s="6" t="str">
        <f>IFERROR(__xludf.DUMMYFUNCTION("vlookup($A639,importrange(""1fyGnaViAX9kns28pvsfPvI9925sAI7kxPlM7jpuHVJM"",""Validation!A:Z""),23,0)"),"Aakash Vinod Tolani")</f>
        <v>Aakash Vinod Tolani</v>
      </c>
      <c r="G639" s="6" t="str">
        <f>IFERROR(__xludf.DUMMYFUNCTION("vlookup(A639,importrange(""1fyGnaViAX9kns28pvsfPvI9925sAI7kxPlM7jpuHVJM"",""Validation!A:Z""),22,0)"),"Cluster - Shreepad")</f>
        <v>Cluster - Shreepad</v>
      </c>
      <c r="H639" s="4" t="str">
        <f>IFERROR(__xludf.DUMMYFUNCTION("vlookup(C639,importrange(""1kw74ismGU34AsZ5x-W4x7F3Zt2xc8NSYcCVMrCJBmdQ"",""DRP for 8 products!B:C""),2,0)"),"ONIRJKXK5")</f>
        <v>ONIRJKXK5</v>
      </c>
      <c r="I639" s="7">
        <f>IFERROR(__xludf.DUMMYFUNCTION("vlookup(C639,importrange(""1kw74ismGU34AsZ5x-W4x7F3Zt2xc8NSYcCVMrCJBmdQ"",""DRP for 8 products!B:E""),4,0)"),52.0)</f>
        <v>52</v>
      </c>
      <c r="J639" s="8" t="str">
        <f t="shared" si="1"/>
        <v>Tier 1</v>
      </c>
      <c r="K639" s="9" t="str">
        <f t="shared" si="2"/>
        <v>Active</v>
      </c>
      <c r="L639" s="4" t="str">
        <f>IFERROR(__xludf.DUMMYFUNCTION("vlookup(C639,importrange(""1kw74ismGU34AsZ5x-W4x7F3Zt2xc8NSYcCVMrCJBmdQ"",""DRP for 8 products!B:H""),6,0)"),"BigQuery")</f>
        <v>BigQuery</v>
      </c>
      <c r="M639" s="10" t="str">
        <f t="shared" si="3"/>
        <v>Yes</v>
      </c>
    </row>
    <row r="640">
      <c r="A640" s="4" t="str">
        <f>IFERROR(__xludf.DUMMYFUNCTION("vlookup(C640,IMPORTRANGE(""1Kgoo8qyo6zMtf_5B03ksZz228jg0XpZ4_KXsdHQ4Vks"",""14 Sept!A:B""),2,0)"),"DME3117")</f>
        <v>DME3117</v>
      </c>
      <c r="B640" s="5" t="str">
        <f>IFERROR(__xludf.DUMMYFUNCTION("""COMPUTED_VALUE"""),"Ajay Umak")</f>
        <v>Ajay Umak</v>
      </c>
      <c r="C640" s="5" t="str">
        <f>IFERROR(__xludf.DUMMYFUNCTION("""COMPUTED_VALUE"""),"ajay.umak@onixnet.com")</f>
        <v>ajay.umak@onixnet.com</v>
      </c>
      <c r="D640" s="4" t="s">
        <v>11</v>
      </c>
      <c r="E640" s="6" t="str">
        <f>IFERROR(__xludf.DUMMYFUNCTION("vlookup($A640,importrange(""1fyGnaViAX9kns28pvsfPvI9925sAI7kxPlM7jpuHVJM"",""Validation!A:Z""),11,0)"),"Delivery Services")</f>
        <v>Delivery Services</v>
      </c>
      <c r="F640" s="6" t="str">
        <f>IFERROR(__xludf.DUMMYFUNCTION("vlookup($A640,importrange(""1fyGnaViAX9kns28pvsfPvI9925sAI7kxPlM7jpuHVJM"",""Validation!A:Z""),23,0)"),"Sneha Bhatambrekar")</f>
        <v>Sneha Bhatambrekar</v>
      </c>
      <c r="G640" s="6" t="str">
        <f>IFERROR(__xludf.DUMMYFUNCTION("vlookup(A640,importrange(""1fyGnaViAX9kns28pvsfPvI9925sAI7kxPlM7jpuHVJM"",""Validation!A:Z""),22,0)"),"Cluster - Sandeep")</f>
        <v>Cluster - Sandeep</v>
      </c>
      <c r="H640" s="4" t="str">
        <f>IFERROR(__xludf.DUMMYFUNCTION("vlookup(C640,importrange(""1kw74ismGU34AsZ5x-W4x7F3Zt2xc8NSYcCVMrCJBmdQ"",""DRP for 8 products!B:C""),2,0)"),"ONIAUPTT4")</f>
        <v>ONIAUPTT4</v>
      </c>
      <c r="I640" s="7">
        <f>IFERROR(__xludf.DUMMYFUNCTION("vlookup(C640,importrange(""1kw74ismGU34AsZ5x-W4x7F3Zt2xc8NSYcCVMrCJBmdQ"",""DRP for 8 products!B:E""),4,0)"),14.0)</f>
        <v>14</v>
      </c>
      <c r="J640" s="8" t="str">
        <f t="shared" si="1"/>
        <v>Tier 4</v>
      </c>
      <c r="K640" s="9" t="str">
        <f t="shared" si="2"/>
        <v>Active</v>
      </c>
      <c r="L640" s="4" t="str">
        <f>IFERROR(__xludf.DUMMYFUNCTION("vlookup(C640,importrange(""1kw74ismGU34AsZ5x-W4x7F3Zt2xc8NSYcCVMrCJBmdQ"",""DRP for 8 products!B:H""),6,0)"),"BigQuery")</f>
        <v>BigQuery</v>
      </c>
      <c r="M640" s="10" t="str">
        <f t="shared" si="3"/>
        <v>Yes</v>
      </c>
    </row>
    <row r="641">
      <c r="A641" s="4" t="str">
        <f>IFERROR(__xludf.DUMMYFUNCTION("vlookup(C641,IMPORTRANGE(""1Kgoo8qyo6zMtf_5B03ksZz228jg0XpZ4_KXsdHQ4Vks"",""14 Sept!A:B""),2,0)"),"DME3130")</f>
        <v>DME3130</v>
      </c>
      <c r="B641" s="5" t="str">
        <f>IFERROR(__xludf.DUMMYFUNCTION("""COMPUTED_VALUE"""),"Ashwin Jagtap")</f>
        <v>Ashwin Jagtap</v>
      </c>
      <c r="C641" s="5" t="str">
        <f>IFERROR(__xludf.DUMMYFUNCTION("""COMPUTED_VALUE"""),"ashwin.jagtap@onixnet.com")</f>
        <v>ashwin.jagtap@onixnet.com</v>
      </c>
      <c r="D641" s="4" t="s">
        <v>11</v>
      </c>
      <c r="E641" s="6" t="str">
        <f>IFERROR(__xludf.DUMMYFUNCTION("vlookup($A641,importrange(""1fyGnaViAX9kns28pvsfPvI9925sAI7kxPlM7jpuHVJM"",""Validation!A:Z""),11,0)"),"Delivery Services")</f>
        <v>Delivery Services</v>
      </c>
      <c r="F641" s="6" t="str">
        <f>IFERROR(__xludf.DUMMYFUNCTION("vlookup($A641,importrange(""1fyGnaViAX9kns28pvsfPvI9925sAI7kxPlM7jpuHVJM"",""Validation!A:Z""),23,0)"),"Ravi Shankar")</f>
        <v>Ravi Shankar</v>
      </c>
      <c r="G641" s="6" t="str">
        <f>IFERROR(__xludf.DUMMYFUNCTION("vlookup(A641,importrange(""1fyGnaViAX9kns28pvsfPvI9925sAI7kxPlM7jpuHVJM"",""Validation!A:Z""),22,0)"),"Cluster - Sagar")</f>
        <v>Cluster - Sagar</v>
      </c>
      <c r="H641" s="4" t="str">
        <f>IFERROR(__xludf.DUMMYFUNCTION("vlookup(C641,importrange(""1kw74ismGU34AsZ5x-W4x7F3Zt2xc8NSYcCVMrCJBmdQ"",""DRP for 8 products!B:C""),2,0)"),"ONIAJKIZ5")</f>
        <v>ONIAJKIZ5</v>
      </c>
      <c r="I641" s="7">
        <f>IFERROR(__xludf.DUMMYFUNCTION("vlookup(C641,importrange(""1kw74ismGU34AsZ5x-W4x7F3Zt2xc8NSYcCVMrCJBmdQ"",""DRP for 8 products!B:E""),4,0)"),10.0)</f>
        <v>10</v>
      </c>
      <c r="J641" s="8" t="str">
        <f t="shared" si="1"/>
        <v>Tier 4</v>
      </c>
      <c r="K641" s="9" t="str">
        <f t="shared" si="2"/>
        <v>Active</v>
      </c>
      <c r="L641" s="4" t="str">
        <f>IFERROR(__xludf.DUMMYFUNCTION("vlookup(C641,importrange(""1kw74ismGU34AsZ5x-W4x7F3Zt2xc8NSYcCVMrCJBmdQ"",""DRP for 8 products!B:H""),6,0)"),"BigQuery")</f>
        <v>BigQuery</v>
      </c>
      <c r="M641" s="10" t="str">
        <f t="shared" si="3"/>
        <v>Yes</v>
      </c>
    </row>
    <row r="642">
      <c r="A642" s="4" t="str">
        <f>IFERROR(__xludf.DUMMYFUNCTION("vlookup(C642,IMPORTRANGE(""1Kgoo8qyo6zMtf_5B03ksZz228jg0XpZ4_KXsdHQ4Vks"",""14 Sept!A:B""),2,0)"),"DME3039")</f>
        <v>DME3039</v>
      </c>
      <c r="B642" s="5" t="str">
        <f>IFERROR(__xludf.DUMMYFUNCTION("""COMPUTED_VALUE"""),"Shubham Kambire")</f>
        <v>Shubham Kambire</v>
      </c>
      <c r="C642" s="5" t="str">
        <f>IFERROR(__xludf.DUMMYFUNCTION("""COMPUTED_VALUE"""),"shubham.kambire@onixnet.com")</f>
        <v>shubham.kambire@onixnet.com</v>
      </c>
      <c r="D642" s="4" t="s">
        <v>11</v>
      </c>
      <c r="E642" s="6" t="str">
        <f>IFERROR(__xludf.DUMMYFUNCTION("vlookup($A642,importrange(""1fyGnaViAX9kns28pvsfPvI9925sAI7kxPlM7jpuHVJM"",""Validation!A:Z""),11,0)"),"Delivery Services")</f>
        <v>Delivery Services</v>
      </c>
      <c r="F642" s="6" t="str">
        <f>IFERROR(__xludf.DUMMYFUNCTION("vlookup($A642,importrange(""1fyGnaViAX9kns28pvsfPvI9925sAI7kxPlM7jpuHVJM"",""Validation!A:Z""),23,0)"),"Vishal Khare")</f>
        <v>Vishal Khare</v>
      </c>
      <c r="G642" s="6" t="str">
        <f>IFERROR(__xludf.DUMMYFUNCTION("vlookup(A642,importrange(""1fyGnaViAX9kns28pvsfPvI9925sAI7kxPlM7jpuHVJM"",""Validation!A:Z""),22,0)"),"Cluster - Sagar")</f>
        <v>Cluster - Sagar</v>
      </c>
      <c r="H642" s="4" t="str">
        <f>IFERROR(__xludf.DUMMYFUNCTION("vlookup(C642,importrange(""1kw74ismGU34AsZ5x-W4x7F3Zt2xc8NSYcCVMrCJBmdQ"",""DRP for 8 products!B:C""),2,0)"),"ONISKGSG6")</f>
        <v>ONISKGSG6</v>
      </c>
      <c r="I642" s="7">
        <f>IFERROR(__xludf.DUMMYFUNCTION("vlookup(C642,importrange(""1kw74ismGU34AsZ5x-W4x7F3Zt2xc8NSYcCVMrCJBmdQ"",""DRP for 8 products!B:E""),4,0)"),14.0)</f>
        <v>14</v>
      </c>
      <c r="J642" s="8" t="str">
        <f t="shared" si="1"/>
        <v>Tier 4</v>
      </c>
      <c r="K642" s="9" t="str">
        <f t="shared" si="2"/>
        <v>Active</v>
      </c>
      <c r="L642" s="4" t="str">
        <f>IFERROR(__xludf.DUMMYFUNCTION("vlookup(C642,importrange(""1kw74ismGU34AsZ5x-W4x7F3Zt2xc8NSYcCVMrCJBmdQ"",""DRP for 8 products!B:H""),6,0)"),"BigQuery")</f>
        <v>BigQuery</v>
      </c>
      <c r="M642" s="10" t="str">
        <f t="shared" si="3"/>
        <v>Yes</v>
      </c>
    </row>
    <row r="643">
      <c r="A643" s="4" t="str">
        <f>IFERROR(__xludf.DUMMYFUNCTION("vlookup(C643,IMPORTRANGE(""1Kgoo8qyo6zMtf_5B03ksZz228jg0XpZ4_KXsdHQ4Vks"",""14 Sept!A:B""),2,0)"),"DME2280")</f>
        <v>DME2280</v>
      </c>
      <c r="B643" s="5" t="str">
        <f>IFERROR(__xludf.DUMMYFUNCTION("""COMPUTED_VALUE"""),"Asawari Lohar")</f>
        <v>Asawari Lohar</v>
      </c>
      <c r="C643" s="5" t="str">
        <f>IFERROR(__xludf.DUMMYFUNCTION("""COMPUTED_VALUE"""),"asawari.lohar@onixnet.com")</f>
        <v>asawari.lohar@onixnet.com</v>
      </c>
      <c r="D643" s="4" t="s">
        <v>11</v>
      </c>
      <c r="E643" s="6" t="str">
        <f>IFERROR(__xludf.DUMMYFUNCTION("vlookup($A643,importrange(""1fyGnaViAX9kns28pvsfPvI9925sAI7kxPlM7jpuHVJM"",""Validation!A:Z""),11,0)"),"Professional Services")</f>
        <v>Professional Services</v>
      </c>
      <c r="F643" s="6" t="str">
        <f>IFERROR(__xludf.DUMMYFUNCTION("vlookup($A643,importrange(""1fyGnaViAX9kns28pvsfPvI9925sAI7kxPlM7jpuHVJM"",""Validation!A:Z""),23,0)"),"Manoj Patil")</f>
        <v>Manoj Patil</v>
      </c>
      <c r="G643" s="6" t="str">
        <f>IFERROR(__xludf.DUMMYFUNCTION("vlookup(A643,importrange(""1fyGnaViAX9kns28pvsfPvI9925sAI7kxPlM7jpuHVJM"",""Validation!A:Z""),22,0)"),"Cluster - Shreepad")</f>
        <v>Cluster - Shreepad</v>
      </c>
      <c r="H643" s="4" t="str">
        <f>IFERROR(__xludf.DUMMYFUNCTION("vlookup(C643,importrange(""1kw74ismGU34AsZ5x-W4x7F3Zt2xc8NSYcCVMrCJBmdQ"",""DRP for 8 products!B:C""),2,0)"),"ONIALCHN2")</f>
        <v>ONIALCHN2</v>
      </c>
      <c r="I643" s="7">
        <f>IFERROR(__xludf.DUMMYFUNCTION("vlookup(C643,importrange(""1kw74ismGU34AsZ5x-W4x7F3Zt2xc8NSYcCVMrCJBmdQ"",""DRP for 8 products!B:E""),4,0)"),10.0)</f>
        <v>10</v>
      </c>
      <c r="J643" s="8" t="str">
        <f t="shared" si="1"/>
        <v>Tier 4</v>
      </c>
      <c r="K643" s="9" t="str">
        <f t="shared" si="2"/>
        <v>Active</v>
      </c>
      <c r="L643" s="4" t="str">
        <f>IFERROR(__xludf.DUMMYFUNCTION("vlookup(C643,importrange(""1kw74ismGU34AsZ5x-W4x7F3Zt2xc8NSYcCVMrCJBmdQ"",""DRP for 8 products!B:H""),6,0)"),"AlloyDB for PostgreSQL")</f>
        <v>AlloyDB for PostgreSQL</v>
      </c>
      <c r="M643" s="10" t="str">
        <f t="shared" si="3"/>
        <v>Yes</v>
      </c>
    </row>
    <row r="644">
      <c r="A644" s="4" t="str">
        <f>IFERROR(__xludf.DUMMYFUNCTION("vlookup(C644,IMPORTRANGE(""1Kgoo8qyo6zMtf_5B03ksZz228jg0XpZ4_KXsdHQ4Vks"",""14 Sept!A:B""),2,0)"),"DME2852")</f>
        <v>DME2852</v>
      </c>
      <c r="B644" s="5" t="str">
        <f>IFERROR(__xludf.DUMMYFUNCTION("""COMPUTED_VALUE"""),"Aryan Goyal")</f>
        <v>Aryan Goyal</v>
      </c>
      <c r="C644" s="5" t="str">
        <f>IFERROR(__xludf.DUMMYFUNCTION("""COMPUTED_VALUE"""),"aryan.goyal@onixnet.com")</f>
        <v>aryan.goyal@onixnet.com</v>
      </c>
      <c r="D644" s="4" t="s">
        <v>11</v>
      </c>
      <c r="E644" s="6" t="str">
        <f>IFERROR(__xludf.DUMMYFUNCTION("vlookup($A644,importrange(""1fyGnaViAX9kns28pvsfPvI9925sAI7kxPlM7jpuHVJM"",""Validation!A:Z""),11,0)"),"Delivery Services")</f>
        <v>Delivery Services</v>
      </c>
      <c r="F644" s="6" t="str">
        <f>IFERROR(__xludf.DUMMYFUNCTION("vlookup($A644,importrange(""1fyGnaViAX9kns28pvsfPvI9925sAI7kxPlM7jpuHVJM"",""Validation!A:Z""),23,0)"),"Hemanth Kolluru")</f>
        <v>Hemanth Kolluru</v>
      </c>
      <c r="G644" s="6" t="str">
        <f>IFERROR(__xludf.DUMMYFUNCTION("vlookup(A644,importrange(""1fyGnaViAX9kns28pvsfPvI9925sAI7kxPlM7jpuHVJM"",""Validation!A:Z""),22,0)"),"Cluster - Sachin")</f>
        <v>Cluster - Sachin</v>
      </c>
      <c r="H644" s="4" t="str">
        <f>IFERROR(__xludf.DUMMYFUNCTION("vlookup(C644,importrange(""1kw74ismGU34AsZ5x-W4x7F3Zt2xc8NSYcCVMrCJBmdQ"",""DRP for 8 products!B:C""),2,0)"),"ONIAGKXQ1")</f>
        <v>ONIAGKXQ1</v>
      </c>
      <c r="I644" s="7">
        <f>IFERROR(__xludf.DUMMYFUNCTION("vlookup(C644,importrange(""1kw74ismGU34AsZ5x-W4x7F3Zt2xc8NSYcCVMrCJBmdQ"",""DRP for 8 products!B:E""),4,0)"),54.0)</f>
        <v>54</v>
      </c>
      <c r="J644" s="8" t="str">
        <f t="shared" si="1"/>
        <v>Tier 1</v>
      </c>
      <c r="K644" s="9" t="str">
        <f t="shared" si="2"/>
        <v>Active</v>
      </c>
      <c r="L644" s="4" t="str">
        <f>IFERROR(__xludf.DUMMYFUNCTION("vlookup(C644,importrange(""1kw74ismGU34AsZ5x-W4x7F3Zt2xc8NSYcCVMrCJBmdQ"",""DRP for 8 products!B:H""),6,0)"),"BigQuery")</f>
        <v>BigQuery</v>
      </c>
      <c r="M644" s="10" t="str">
        <f t="shared" si="3"/>
        <v>Yes</v>
      </c>
    </row>
    <row r="645">
      <c r="A645" s="4" t="str">
        <f>IFERROR(__xludf.DUMMYFUNCTION("vlookup(C645,IMPORTRANGE(""1Kgoo8qyo6zMtf_5B03ksZz228jg0XpZ4_KXsdHQ4Vks"",""14 Sept!A:B""),2,0)"),"DME2828")</f>
        <v>DME2828</v>
      </c>
      <c r="B645" s="5" t="str">
        <f>IFERROR(__xludf.DUMMYFUNCTION("""COMPUTED_VALUE"""),"Shubham Sawant")</f>
        <v>Shubham Sawant</v>
      </c>
      <c r="C645" s="5" t="str">
        <f>IFERROR(__xludf.DUMMYFUNCTION("""COMPUTED_VALUE"""),"shubham.sawant@onixnet.com")</f>
        <v>shubham.sawant@onixnet.com</v>
      </c>
      <c r="D645" s="4" t="s">
        <v>11</v>
      </c>
      <c r="E645" s="6" t="str">
        <f>IFERROR(__xludf.DUMMYFUNCTION("vlookup($A645,importrange(""1fyGnaViAX9kns28pvsfPvI9925sAI7kxPlM7jpuHVJM"",""Validation!A:Z""),11,0)"),"Product Engineering")</f>
        <v>Product Engineering</v>
      </c>
      <c r="F645" s="6" t="str">
        <f>IFERROR(__xludf.DUMMYFUNCTION("vlookup($A645,importrange(""1fyGnaViAX9kns28pvsfPvI9925sAI7kxPlM7jpuHVJM"",""Validation!A:Z""),23,0)"),"Laxmikant Chavan")</f>
        <v>Laxmikant Chavan</v>
      </c>
      <c r="G645" s="6" t="str">
        <f>IFERROR(__xludf.DUMMYFUNCTION("vlookup(A645,importrange(""1fyGnaViAX9kns28pvsfPvI9925sAI7kxPlM7jpuHVJM"",""Validation!A:Z""),22,0)"),"Cluster - Mayur")</f>
        <v>Cluster - Mayur</v>
      </c>
      <c r="H645" s="4" t="str">
        <f>IFERROR(__xludf.DUMMYFUNCTION("vlookup(C645,importrange(""1kw74ismGU34AsZ5x-W4x7F3Zt2xc8NSYcCVMrCJBmdQ"",""DRP for 8 products!B:C""),2,0)"),"ONISSWPS0")</f>
        <v>ONISSWPS0</v>
      </c>
      <c r="I645" s="7">
        <f>IFERROR(__xludf.DUMMYFUNCTION("vlookup(C645,importrange(""1kw74ismGU34AsZ5x-W4x7F3Zt2xc8NSYcCVMrCJBmdQ"",""DRP for 8 products!B:E""),4,0)"),6.0)</f>
        <v>6</v>
      </c>
      <c r="J645" s="8" t="str">
        <f t="shared" si="1"/>
        <v>Tier 4</v>
      </c>
      <c r="K645" s="9" t="str">
        <f t="shared" si="2"/>
        <v>Active</v>
      </c>
      <c r="L645" s="4" t="str">
        <f>IFERROR(__xludf.DUMMYFUNCTION("vlookup(C645,importrange(""1kw74ismGU34AsZ5x-W4x7F3Zt2xc8NSYcCVMrCJBmdQ"",""DRP for 8 products!B:H""),6,0)"),"BigQuery")</f>
        <v>BigQuery</v>
      </c>
      <c r="M645" s="10" t="str">
        <f t="shared" si="3"/>
        <v>Yes</v>
      </c>
    </row>
    <row r="646">
      <c r="A646" s="4" t="str">
        <f>IFERROR(__xludf.DUMMYFUNCTION("vlookup(C646,IMPORTRANGE(""1Kgoo8qyo6zMtf_5B03ksZz228jg0XpZ4_KXsdHQ4Vks"",""14 Sept!A:B""),2,0)"),"DME2775")</f>
        <v>DME2775</v>
      </c>
      <c r="B646" s="5" t="str">
        <f>IFERROR(__xludf.DUMMYFUNCTION("""COMPUTED_VALUE"""),"Tushar Malkar")</f>
        <v>Tushar Malkar</v>
      </c>
      <c r="C646" s="5" t="str">
        <f>IFERROR(__xludf.DUMMYFUNCTION("""COMPUTED_VALUE"""),"tushar.malkar@onixnet.com")</f>
        <v>tushar.malkar@onixnet.com</v>
      </c>
      <c r="D646" s="4" t="s">
        <v>11</v>
      </c>
      <c r="E646" s="6" t="str">
        <f>IFERROR(__xludf.DUMMYFUNCTION("vlookup($A646,importrange(""1fyGnaViAX9kns28pvsfPvI9925sAI7kxPlM7jpuHVJM"",""Validation!A:Z""),11,0)"),"Product Engineering")</f>
        <v>Product Engineering</v>
      </c>
      <c r="F646" s="6" t="str">
        <f>IFERROR(__xludf.DUMMYFUNCTION("vlookup($A646,importrange(""1fyGnaViAX9kns28pvsfPvI9925sAI7kxPlM7jpuHVJM"",""Validation!A:Z""),23,0)"),"Gayathri Keerthivasagam")</f>
        <v>Gayathri Keerthivasagam</v>
      </c>
      <c r="G646" s="6" t="str">
        <f>IFERROR(__xludf.DUMMYFUNCTION("vlookup(A646,importrange(""1fyGnaViAX9kns28pvsfPvI9925sAI7kxPlM7jpuHVJM"",""Validation!A:Z""),22,0)"),"Cluster - Mayur")</f>
        <v>Cluster - Mayur</v>
      </c>
      <c r="H646" s="4" t="str">
        <f>IFERROR(__xludf.DUMMYFUNCTION("vlookup(C646,importrange(""1kw74ismGU34AsZ5x-W4x7F3Zt2xc8NSYcCVMrCJBmdQ"",""DRP for 8 products!B:C""),2,0)"),"ONITMIDJ1")</f>
        <v>ONITMIDJ1</v>
      </c>
      <c r="I646" s="7">
        <f>IFERROR(__xludf.DUMMYFUNCTION("vlookup(C646,importrange(""1kw74ismGU34AsZ5x-W4x7F3Zt2xc8NSYcCVMrCJBmdQ"",""DRP for 8 products!B:E""),4,0)"),6.0)</f>
        <v>6</v>
      </c>
      <c r="J646" s="8" t="str">
        <f t="shared" si="1"/>
        <v>Tier 4</v>
      </c>
      <c r="K646" s="9" t="str">
        <f t="shared" si="2"/>
        <v>Active</v>
      </c>
      <c r="L646" s="4" t="str">
        <f>IFERROR(__xludf.DUMMYFUNCTION("vlookup(C646,importrange(""1kw74ismGU34AsZ5x-W4x7F3Zt2xc8NSYcCVMrCJBmdQ"",""DRP for 8 products!B:H""),6,0)"),"BigQuery")</f>
        <v>BigQuery</v>
      </c>
      <c r="M646" s="10" t="str">
        <f t="shared" si="3"/>
        <v>Yes</v>
      </c>
    </row>
    <row r="647">
      <c r="A647" s="4" t="str">
        <f>IFERROR(__xludf.DUMMYFUNCTION("vlookup(C647,IMPORTRANGE(""1Kgoo8qyo6zMtf_5B03ksZz228jg0XpZ4_KXsdHQ4Vks"",""14 Sept!A:B""),2,0)"),"DME2945")</f>
        <v>DME2945</v>
      </c>
      <c r="B647" s="5" t="str">
        <f>IFERROR(__xludf.DUMMYFUNCTION("""COMPUTED_VALUE"""),"Rishu Ranjan")</f>
        <v>Rishu Ranjan</v>
      </c>
      <c r="C647" s="5" t="str">
        <f>IFERROR(__xludf.DUMMYFUNCTION("""COMPUTED_VALUE"""),"rishu.ranjan@onixnet.com")</f>
        <v>rishu.ranjan@onixnet.com</v>
      </c>
      <c r="D647" s="4" t="s">
        <v>11</v>
      </c>
      <c r="E647" s="6" t="str">
        <f>IFERROR(__xludf.DUMMYFUNCTION("vlookup($A647,importrange(""1fyGnaViAX9kns28pvsfPvI9925sAI7kxPlM7jpuHVJM"",""Validation!A:Z""),11,0)"),"Delivery Services")</f>
        <v>Delivery Services</v>
      </c>
      <c r="F647" s="6" t="str">
        <f>IFERROR(__xludf.DUMMYFUNCTION("vlookup($A647,importrange(""1fyGnaViAX9kns28pvsfPvI9925sAI7kxPlM7jpuHVJM"",""Validation!A:Z""),23,0)"),"Varun Katyal")</f>
        <v>Varun Katyal</v>
      </c>
      <c r="G647" s="6" t="str">
        <f>IFERROR(__xludf.DUMMYFUNCTION("vlookup(A647,importrange(""1fyGnaViAX9kns28pvsfPvI9925sAI7kxPlM7jpuHVJM"",""Validation!A:Z""),22,0)"),"Cluster - Varun")</f>
        <v>Cluster - Varun</v>
      </c>
      <c r="H647" s="4" t="str">
        <f>IFERROR(__xludf.DUMMYFUNCTION("vlookup(C647,importrange(""1kw74ismGU34AsZ5x-W4x7F3Zt2xc8NSYcCVMrCJBmdQ"",""DRP for 8 products!B:C""),2,0)"),"ONIRRDGK8")</f>
        <v>ONIRRDGK8</v>
      </c>
      <c r="I647" s="7">
        <f>IFERROR(__xludf.DUMMYFUNCTION("vlookup(C647,importrange(""1kw74ismGU34AsZ5x-W4x7F3Zt2xc8NSYcCVMrCJBmdQ"",""DRP for 8 products!B:E""),4,0)"),14.0)</f>
        <v>14</v>
      </c>
      <c r="J647" s="8" t="str">
        <f t="shared" si="1"/>
        <v>Tier 4</v>
      </c>
      <c r="K647" s="9" t="str">
        <f t="shared" si="2"/>
        <v>Active</v>
      </c>
      <c r="L647" s="4" t="str">
        <f>IFERROR(__xludf.DUMMYFUNCTION("vlookup(C647,importrange(""1kw74ismGU34AsZ5x-W4x7F3Zt2xc8NSYcCVMrCJBmdQ"",""DRP for 8 products!B:H""),6,0)"),"BigQuery")</f>
        <v>BigQuery</v>
      </c>
      <c r="M647" s="10" t="str">
        <f t="shared" si="3"/>
        <v>Yes</v>
      </c>
    </row>
    <row r="648">
      <c r="A648" s="4" t="str">
        <f>IFERROR(__xludf.DUMMYFUNCTION("vlookup(C648,IMPORTRANGE(""1Kgoo8qyo6zMtf_5B03ksZz228jg0XpZ4_KXsdHQ4Vks"",""14 Sept!A:B""),2,0)"),"DME2846")</f>
        <v>DME2846</v>
      </c>
      <c r="B648" s="5" t="str">
        <f>IFERROR(__xludf.DUMMYFUNCTION("""COMPUTED_VALUE"""),"Manpreet Singh")</f>
        <v>Manpreet Singh</v>
      </c>
      <c r="C648" s="5" t="str">
        <f>IFERROR(__xludf.DUMMYFUNCTION("""COMPUTED_VALUE"""),"manpreet.singh@onixnet.com")</f>
        <v>manpreet.singh@onixnet.com</v>
      </c>
      <c r="D648" s="4" t="s">
        <v>11</v>
      </c>
      <c r="E648" s="6" t="str">
        <f>IFERROR(__xludf.DUMMYFUNCTION("vlookup($A648,importrange(""1fyGnaViAX9kns28pvsfPvI9925sAI7kxPlM7jpuHVJM"",""Validation!A:Z""),11,0)"),"Delivery Services")</f>
        <v>Delivery Services</v>
      </c>
      <c r="F648" s="6" t="str">
        <f>IFERROR(__xludf.DUMMYFUNCTION("vlookup($A648,importrange(""1fyGnaViAX9kns28pvsfPvI9925sAI7kxPlM7jpuHVJM"",""Validation!A:Z""),23,0)"),"Varun Katyal")</f>
        <v>Varun Katyal</v>
      </c>
      <c r="G648" s="6" t="str">
        <f>IFERROR(__xludf.DUMMYFUNCTION("vlookup(A648,importrange(""1fyGnaViAX9kns28pvsfPvI9925sAI7kxPlM7jpuHVJM"",""Validation!A:Z""),22,0)"),"Cluster - Varun")</f>
        <v>Cluster - Varun</v>
      </c>
      <c r="H648" s="4" t="str">
        <f>IFERROR(__xludf.DUMMYFUNCTION("vlookup(C648,importrange(""1kw74ismGU34AsZ5x-W4x7F3Zt2xc8NSYcCVMrCJBmdQ"",""DRP for 8 products!B:C""),2,0)"),"ONIMSQRM7")</f>
        <v>ONIMSQRM7</v>
      </c>
      <c r="I648" s="7">
        <f>IFERROR(__xludf.DUMMYFUNCTION("vlookup(C648,importrange(""1kw74ismGU34AsZ5x-W4x7F3Zt2xc8NSYcCVMrCJBmdQ"",""DRP for 8 products!B:E""),4,0)"),9.0)</f>
        <v>9</v>
      </c>
      <c r="J648" s="8" t="str">
        <f t="shared" si="1"/>
        <v>Tier 4</v>
      </c>
      <c r="K648" s="9" t="str">
        <f t="shared" si="2"/>
        <v>Active</v>
      </c>
      <c r="L648" s="4" t="str">
        <f>IFERROR(__xludf.DUMMYFUNCTION("vlookup(C648,importrange(""1kw74ismGU34AsZ5x-W4x7F3Zt2xc8NSYcCVMrCJBmdQ"",""DRP for 8 products!B:H""),6,0)"),"BigQuery")</f>
        <v>BigQuery</v>
      </c>
      <c r="M648" s="10" t="str">
        <f t="shared" si="3"/>
        <v>Yes</v>
      </c>
    </row>
    <row r="649">
      <c r="A649" s="4" t="str">
        <f>IFERROR(__xludf.DUMMYFUNCTION("vlookup(C649,IMPORTRANGE(""1Kgoo8qyo6zMtf_5B03ksZz228jg0XpZ4_KXsdHQ4Vks"",""14 Sept!A:B""),2,0)"),"DME0551")</f>
        <v>DME0551</v>
      </c>
      <c r="B649" s="5" t="str">
        <f>IFERROR(__xludf.DUMMYFUNCTION("""COMPUTED_VALUE"""),"Ravindra Reddy Adapa")</f>
        <v>Ravindra Reddy Adapa</v>
      </c>
      <c r="C649" s="5" t="str">
        <f>IFERROR(__xludf.DUMMYFUNCTION("""COMPUTED_VALUE"""),"ravindra.reddy@onixnet.com")</f>
        <v>ravindra.reddy@onixnet.com</v>
      </c>
      <c r="D649" s="4" t="s">
        <v>11</v>
      </c>
      <c r="E649" s="6" t="str">
        <f>IFERROR(__xludf.DUMMYFUNCTION("vlookup($A649,importrange(""1fyGnaViAX9kns28pvsfPvI9925sAI7kxPlM7jpuHVJM"",""Validation!A:Z""),11,0)"),"Delivery Services")</f>
        <v>Delivery Services</v>
      </c>
      <c r="F649" s="6" t="str">
        <f>IFERROR(__xludf.DUMMYFUNCTION("vlookup($A649,importrange(""1fyGnaViAX9kns28pvsfPvI9925sAI7kxPlM7jpuHVJM"",""Validation!A:Z""),23,0)"),"Kanhaiya Jha")</f>
        <v>Kanhaiya Jha</v>
      </c>
      <c r="G649" s="6" t="str">
        <f>IFERROR(__xludf.DUMMYFUNCTION("vlookup(A649,importrange(""1fyGnaViAX9kns28pvsfPvI9925sAI7kxPlM7jpuHVJM"",""Validation!A:Z""),22,0)"),"Cluster - Kanhaiya")</f>
        <v>Cluster - Kanhaiya</v>
      </c>
      <c r="H649" s="4" t="str">
        <f>IFERROR(__xludf.DUMMYFUNCTION("vlookup(C649,importrange(""1kw74ismGU34AsZ5x-W4x7F3Zt2xc8NSYcCVMrCJBmdQ"",""DRP for 8 products!B:C""),2,0)"),"ONIRAXHA2")</f>
        <v>ONIRAXHA2</v>
      </c>
      <c r="I649" s="7">
        <f>IFERROR(__xludf.DUMMYFUNCTION("vlookup(C649,importrange(""1kw74ismGU34AsZ5x-W4x7F3Zt2xc8NSYcCVMrCJBmdQ"",""DRP for 8 products!B:E""),4,0)"),5.0)</f>
        <v>5</v>
      </c>
      <c r="J649" s="8" t="str">
        <f t="shared" si="1"/>
        <v>Tier 4</v>
      </c>
      <c r="K649" s="9" t="str">
        <f t="shared" si="2"/>
        <v>Active</v>
      </c>
      <c r="L649" s="4" t="str">
        <f>IFERROR(__xludf.DUMMYFUNCTION("vlookup(C649,importrange(""1kw74ismGU34AsZ5x-W4x7F3Zt2xc8NSYcCVMrCJBmdQ"",""DRP for 8 products!B:H""),6,0)"),"BigQuery")</f>
        <v>BigQuery</v>
      </c>
      <c r="M649" s="10" t="str">
        <f t="shared" si="3"/>
        <v>Yes</v>
      </c>
    </row>
    <row r="650">
      <c r="A650" s="4" t="str">
        <f>IFERROR(__xludf.DUMMYFUNCTION("vlookup(C650,IMPORTRANGE(""1Kgoo8qyo6zMtf_5B03ksZz228jg0XpZ4_KXsdHQ4Vks"",""14 Sept!A:B""),2,0)"),"DME2960")</f>
        <v>DME2960</v>
      </c>
      <c r="B650" s="5" t="str">
        <f>IFERROR(__xludf.DUMMYFUNCTION("""COMPUTED_VALUE"""),"Jayant Kasturia")</f>
        <v>Jayant Kasturia</v>
      </c>
      <c r="C650" s="5" t="str">
        <f>IFERROR(__xludf.DUMMYFUNCTION("""COMPUTED_VALUE"""),"jayant.kasturia@onixnet.com")</f>
        <v>jayant.kasturia@onixnet.com</v>
      </c>
      <c r="D650" s="4" t="s">
        <v>11</v>
      </c>
      <c r="E650" s="6" t="str">
        <f>IFERROR(__xludf.DUMMYFUNCTION("vlookup($A650,importrange(""1fyGnaViAX9kns28pvsfPvI9925sAI7kxPlM7jpuHVJM"",""Validation!A:Z""),11,0)"),"Delivery Services")</f>
        <v>Delivery Services</v>
      </c>
      <c r="F650" s="6" t="str">
        <f>IFERROR(__xludf.DUMMYFUNCTION("vlookup($A650,importrange(""1fyGnaViAX9kns28pvsfPvI9925sAI7kxPlM7jpuHVJM"",""Validation!A:Z""),23,0)"),"Punam S Paliwal")</f>
        <v>Punam S Paliwal</v>
      </c>
      <c r="G650" s="6" t="str">
        <f>IFERROR(__xludf.DUMMYFUNCTION("vlookup(A650,importrange(""1fyGnaViAX9kns28pvsfPvI9925sAI7kxPlM7jpuHVJM"",""Validation!A:Z""),22,0)"),"Cluster - Sagar")</f>
        <v>Cluster - Sagar</v>
      </c>
      <c r="H650" s="4" t="str">
        <f>IFERROR(__xludf.DUMMYFUNCTION("vlookup(C650,importrange(""1kw74ismGU34AsZ5x-W4x7F3Zt2xc8NSYcCVMrCJBmdQ"",""DRP for 8 products!B:C""),2,0)"),"ONIJKYFI2")</f>
        <v>ONIJKYFI2</v>
      </c>
      <c r="I650" s="7">
        <f>IFERROR(__xludf.DUMMYFUNCTION("vlookup(C650,importrange(""1kw74ismGU34AsZ5x-W4x7F3Zt2xc8NSYcCVMrCJBmdQ"",""DRP for 8 products!B:E""),4,0)"),26.0)</f>
        <v>26</v>
      </c>
      <c r="J650" s="8" t="str">
        <f t="shared" si="1"/>
        <v>Tier 3</v>
      </c>
      <c r="K650" s="9" t="str">
        <f t="shared" si="2"/>
        <v>Active</v>
      </c>
      <c r="L650" s="4" t="str">
        <f>IFERROR(__xludf.DUMMYFUNCTION("vlookup(C650,importrange(""1kw74ismGU34AsZ5x-W4x7F3Zt2xc8NSYcCVMrCJBmdQ"",""DRP for 8 products!B:H""),6,0)"),"BigQuery")</f>
        <v>BigQuery</v>
      </c>
      <c r="M650" s="10" t="str">
        <f t="shared" si="3"/>
        <v>Yes</v>
      </c>
    </row>
    <row r="651">
      <c r="A651" s="4" t="str">
        <f>IFERROR(__xludf.DUMMYFUNCTION("vlookup(C651,IMPORTRANGE(""1Kgoo8qyo6zMtf_5B03ksZz228jg0XpZ4_KXsdHQ4Vks"",""14 Sept!A:B""),2,0)"),"DME3385")</f>
        <v>DME3385</v>
      </c>
      <c r="B651" s="5" t="str">
        <f>IFERROR(__xludf.DUMMYFUNCTION("""COMPUTED_VALUE"""),"Rohan Sabale")</f>
        <v>Rohan Sabale</v>
      </c>
      <c r="C651" s="5" t="str">
        <f>IFERROR(__xludf.DUMMYFUNCTION("""COMPUTED_VALUE"""),"rohan.sabale@onixnet.com")</f>
        <v>rohan.sabale@onixnet.com</v>
      </c>
      <c r="D651" s="4" t="s">
        <v>11</v>
      </c>
      <c r="E651" s="6" t="str">
        <f>IFERROR(__xludf.DUMMYFUNCTION("vlookup($A651,importrange(""1fyGnaViAX9kns28pvsfPvI9925sAI7kxPlM7jpuHVJM"",""Validation!A:Z""),11,0)"),"Delivery Services")</f>
        <v>Delivery Services</v>
      </c>
      <c r="F651" s="6" t="str">
        <f>IFERROR(__xludf.DUMMYFUNCTION("vlookup($A651,importrange(""1fyGnaViAX9kns28pvsfPvI9925sAI7kxPlM7jpuHVJM"",""Validation!A:Z""),23,0)"),"Naman Jain")</f>
        <v>Naman Jain</v>
      </c>
      <c r="G651" s="6" t="str">
        <f>IFERROR(__xludf.DUMMYFUNCTION("vlookup(A651,importrange(""1fyGnaViAX9kns28pvsfPvI9925sAI7kxPlM7jpuHVJM"",""Validation!A:Z""),22,0)"),"Cluster - Sagar")</f>
        <v>Cluster - Sagar</v>
      </c>
      <c r="H651" s="4" t="str">
        <f>IFERROR(__xludf.DUMMYFUNCTION("vlookup(C651,importrange(""1kw74ismGU34AsZ5x-W4x7F3Zt2xc8NSYcCVMrCJBmdQ"",""DRP for 8 products!B:C""),2,0)"),"ONIRSNDI8")</f>
        <v>ONIRSNDI8</v>
      </c>
      <c r="I651" s="7">
        <f>IFERROR(__xludf.DUMMYFUNCTION("vlookup(C651,importrange(""1kw74ismGU34AsZ5x-W4x7F3Zt2xc8NSYcCVMrCJBmdQ"",""DRP for 8 products!B:E""),4,0)"),25.0)</f>
        <v>25</v>
      </c>
      <c r="J651" s="8" t="str">
        <f t="shared" si="1"/>
        <v>Tier 3</v>
      </c>
      <c r="K651" s="9" t="str">
        <f t="shared" si="2"/>
        <v>Active</v>
      </c>
      <c r="L651" s="4" t="str">
        <f>IFERROR(__xludf.DUMMYFUNCTION("vlookup(C651,importrange(""1kw74ismGU34AsZ5x-W4x7F3Zt2xc8NSYcCVMrCJBmdQ"",""DRP for 8 products!B:H""),6,0)"),"BigQuery")</f>
        <v>BigQuery</v>
      </c>
      <c r="M651" s="10" t="str">
        <f t="shared" si="3"/>
        <v>Yes</v>
      </c>
    </row>
    <row r="652">
      <c r="A652" s="4" t="str">
        <f>IFERROR(__xludf.DUMMYFUNCTION("vlookup(C652,IMPORTRANGE(""1Kgoo8qyo6zMtf_5B03ksZz228jg0XpZ4_KXsdHQ4Vks"",""14 Sept!A:B""),2,0)"),"ONIX753")</f>
        <v>ONIX753</v>
      </c>
      <c r="B652" s="5" t="str">
        <f>IFERROR(__xludf.DUMMYFUNCTION("""COMPUTED_VALUE"""),"Ranjeet Yadav")</f>
        <v>Ranjeet Yadav</v>
      </c>
      <c r="C652" s="5" t="str">
        <f>IFERROR(__xludf.DUMMYFUNCTION("""COMPUTED_VALUE"""),"ranjeet.yadav@onixnet.com")</f>
        <v>ranjeet.yadav@onixnet.com</v>
      </c>
      <c r="D652" s="4" t="s">
        <v>11</v>
      </c>
      <c r="E652" s="6" t="str">
        <f>IFERROR(__xludf.DUMMYFUNCTION("vlookup($A652,importrange(""1fyGnaViAX9kns28pvsfPvI9925sAI7kxPlM7jpuHVJM"",""Validation!A:Z""),11,0)"),"Delivery")</f>
        <v>Delivery</v>
      </c>
      <c r="F652" s="6" t="str">
        <f>IFERROR(__xludf.DUMMYFUNCTION("vlookup($A652,importrange(""1fyGnaViAX9kns28pvsfPvI9925sAI7kxPlM7jpuHVJM"",""Validation!A:Z""),23,0)"),"Venkat Srinivasan")</f>
        <v>Venkat Srinivasan</v>
      </c>
      <c r="G652" s="6" t="str">
        <f>IFERROR(__xludf.DUMMYFUNCTION("vlookup(A652,importrange(""1fyGnaViAX9kns28pvsfPvI9925sAI7kxPlM7jpuHVJM"",""Validation!A:Z""),22,0)"),"Portfolio - Rajesh")</f>
        <v>Portfolio - Rajesh</v>
      </c>
      <c r="H652" s="4" t="str">
        <f>IFERROR(__xludf.DUMMYFUNCTION("vlookup(C652,importrange(""1kw74ismGU34AsZ5x-W4x7F3Zt2xc8NSYcCVMrCJBmdQ"",""DRP for 8 products!B:C""),2,0)"),"ONIRYADF2")</f>
        <v>ONIRYADF2</v>
      </c>
      <c r="I652" s="7">
        <f>IFERROR(__xludf.DUMMYFUNCTION("vlookup(C652,importrange(""1kw74ismGU34AsZ5x-W4x7F3Zt2xc8NSYcCVMrCJBmdQ"",""DRP for 8 products!B:E""),4,0)"),34.0)</f>
        <v>34</v>
      </c>
      <c r="J652" s="8" t="str">
        <f t="shared" si="1"/>
        <v>Tier 3</v>
      </c>
      <c r="K652" s="9" t="str">
        <f t="shared" si="2"/>
        <v>Active</v>
      </c>
      <c r="L652" s="4" t="str">
        <f>IFERROR(__xludf.DUMMYFUNCTION("vlookup(C652,importrange(""1kw74ismGU34AsZ5x-W4x7F3Zt2xc8NSYcCVMrCJBmdQ"",""DRP for 8 products!B:H""),6,0)"),"BigQuery")</f>
        <v>BigQuery</v>
      </c>
      <c r="M652" s="10" t="str">
        <f t="shared" si="3"/>
        <v>Yes</v>
      </c>
    </row>
    <row r="653">
      <c r="A653" s="4" t="str">
        <f>IFERROR(__xludf.DUMMYFUNCTION("vlookup(C653,IMPORTRANGE(""1Kgoo8qyo6zMtf_5B03ksZz228jg0XpZ4_KXsdHQ4Vks"",""14 Sept!A:B""),2,0)"),"DMSI0087")</f>
        <v>DMSI0087</v>
      </c>
      <c r="B653" s="5" t="str">
        <f>IFERROR(__xludf.DUMMYFUNCTION("""COMPUTED_VALUE"""),"BALA MANIKANTA DIVVELA")</f>
        <v>BALA MANIKANTA DIVVELA</v>
      </c>
      <c r="C653" s="5" t="str">
        <f>IFERROR(__xludf.DUMMYFUNCTION("""COMPUTED_VALUE"""),"bala.divvela@onixnet.com")</f>
        <v>bala.divvela@onixnet.com</v>
      </c>
      <c r="D653" s="4" t="s">
        <v>11</v>
      </c>
      <c r="E653" s="6" t="str">
        <f>IFERROR(__xludf.DUMMYFUNCTION("vlookup($A653,importrange(""1fyGnaViAX9kns28pvsfPvI9925sAI7kxPlM7jpuHVJM"",""Validation!A:Z""),11,0)"),"Services")</f>
        <v>Services</v>
      </c>
      <c r="F653" s="6" t="str">
        <f>IFERROR(__xludf.DUMMYFUNCTION("vlookup($A653,importrange(""1fyGnaViAX9kns28pvsfPvI9925sAI7kxPlM7jpuHVJM"",""Validation!A:Z""),23,0)"),"Vrushali Srivastava")</f>
        <v>Vrushali Srivastava</v>
      </c>
      <c r="G653" s="6" t="str">
        <f>IFERROR(__xludf.DUMMYFUNCTION("vlookup(A653,importrange(""1fyGnaViAX9kns28pvsfPvI9925sAI7kxPlM7jpuHVJM"",""Validation!A:Z""),22,0)"),"Portfolio - Rajesh")</f>
        <v>Portfolio - Rajesh</v>
      </c>
      <c r="H653" s="4" t="str">
        <f>IFERROR(__xludf.DUMMYFUNCTION("vlookup(C653,importrange(""1kw74ismGU34AsZ5x-W4x7F3Zt2xc8NSYcCVMrCJBmdQ"",""DRP for 8 products!B:C""),2,0)"),"ONIBDGVS7")</f>
        <v>ONIBDGVS7</v>
      </c>
      <c r="I653" s="7">
        <f>IFERROR(__xludf.DUMMYFUNCTION("vlookup(C653,importrange(""1kw74ismGU34AsZ5x-W4x7F3Zt2xc8NSYcCVMrCJBmdQ"",""DRP for 8 products!B:E""),4,0)"),59.0)</f>
        <v>59</v>
      </c>
      <c r="J653" s="8" t="str">
        <f t="shared" si="1"/>
        <v>Tier 1</v>
      </c>
      <c r="K653" s="9" t="str">
        <f t="shared" si="2"/>
        <v>Active</v>
      </c>
      <c r="L653" s="4" t="str">
        <f>IFERROR(__xludf.DUMMYFUNCTION("vlookup(C653,importrange(""1kw74ismGU34AsZ5x-W4x7F3Zt2xc8NSYcCVMrCJBmdQ"",""DRP for 8 products!B:H""),6,0)"),"BigQuery")</f>
        <v>BigQuery</v>
      </c>
      <c r="M653" s="10" t="str">
        <f t="shared" si="3"/>
        <v>Yes</v>
      </c>
    </row>
    <row r="654">
      <c r="A654" s="4" t="str">
        <f>IFERROR(__xludf.DUMMYFUNCTION("vlookup(C654,IMPORTRANGE(""1Kgoo8qyo6zMtf_5B03ksZz228jg0XpZ4_KXsdHQ4Vks"",""14 Sept!A:B""),2,0)"),"DME3014")</f>
        <v>DME3014</v>
      </c>
      <c r="B654" s="5" t="str">
        <f>IFERROR(__xludf.DUMMYFUNCTION("""COMPUTED_VALUE"""),"Shreyas Patil")</f>
        <v>Shreyas Patil</v>
      </c>
      <c r="C654" s="5" t="str">
        <f>IFERROR(__xludf.DUMMYFUNCTION("""COMPUTED_VALUE"""),"shreyas.patil@onixnet.com")</f>
        <v>shreyas.patil@onixnet.com</v>
      </c>
      <c r="D654" s="4" t="s">
        <v>11</v>
      </c>
      <c r="E654" s="6" t="str">
        <f>IFERROR(__xludf.DUMMYFUNCTION("vlookup($A654,importrange(""1fyGnaViAX9kns28pvsfPvI9925sAI7kxPlM7jpuHVJM"",""Validation!A:Z""),11,0)"),"Delivery Services")</f>
        <v>Delivery Services</v>
      </c>
      <c r="F654" s="6" t="str">
        <f>IFERROR(__xludf.DUMMYFUNCTION("vlookup($A654,importrange(""1fyGnaViAX9kns28pvsfPvI9925sAI7kxPlM7jpuHVJM"",""Validation!A:Z""),23,0)"),"Rahul Shelake")</f>
        <v>Rahul Shelake</v>
      </c>
      <c r="G654" s="6" t="str">
        <f>IFERROR(__xludf.DUMMYFUNCTION("vlookup(A654,importrange(""1fyGnaViAX9kns28pvsfPvI9925sAI7kxPlM7jpuHVJM"",""Validation!A:Z""),22,0)"),"Cluster - Sagar")</f>
        <v>Cluster - Sagar</v>
      </c>
      <c r="H654" s="4" t="str">
        <f>IFERROR(__xludf.DUMMYFUNCTION("vlookup(C654,importrange(""1kw74ismGU34AsZ5x-W4x7F3Zt2xc8NSYcCVMrCJBmdQ"",""DRP for 8 products!B:C""),2,0)"),"ONISPCNX2")</f>
        <v>ONISPCNX2</v>
      </c>
      <c r="I654" s="7">
        <f>IFERROR(__xludf.DUMMYFUNCTION("vlookup(C654,importrange(""1kw74ismGU34AsZ5x-W4x7F3Zt2xc8NSYcCVMrCJBmdQ"",""DRP for 8 products!B:E""),4,0)"),29.0)</f>
        <v>29</v>
      </c>
      <c r="J654" s="8" t="str">
        <f t="shared" si="1"/>
        <v>Tier 3</v>
      </c>
      <c r="K654" s="9" t="str">
        <f t="shared" si="2"/>
        <v>Active</v>
      </c>
      <c r="L654" s="4" t="str">
        <f>IFERROR(__xludf.DUMMYFUNCTION("vlookup(C654,importrange(""1kw74ismGU34AsZ5x-W4x7F3Zt2xc8NSYcCVMrCJBmdQ"",""DRP for 8 products!B:H""),6,0)"),"BigQuery")</f>
        <v>BigQuery</v>
      </c>
      <c r="M654" s="10" t="str">
        <f t="shared" si="3"/>
        <v>Yes</v>
      </c>
    </row>
    <row r="655">
      <c r="A655" s="4" t="str">
        <f>IFERROR(__xludf.DUMMYFUNCTION("vlookup(C655,IMPORTRANGE(""1Kgoo8qyo6zMtf_5B03ksZz228jg0XpZ4_KXsdHQ4Vks"",""14 Sept!A:B""),2,0)"),"DME3203")</f>
        <v>DME3203</v>
      </c>
      <c r="B655" s="5" t="str">
        <f>IFERROR(__xludf.DUMMYFUNCTION("""COMPUTED_VALUE"""),"Abhishek Choure")</f>
        <v>Abhishek Choure</v>
      </c>
      <c r="C655" s="5" t="str">
        <f>IFERROR(__xludf.DUMMYFUNCTION("""COMPUTED_VALUE"""),"abhishek.choure@onixnet.com")</f>
        <v>abhishek.choure@onixnet.com</v>
      </c>
      <c r="D655" s="4" t="s">
        <v>11</v>
      </c>
      <c r="E655" s="6" t="str">
        <f>IFERROR(__xludf.DUMMYFUNCTION("vlookup($A655,importrange(""1fyGnaViAX9kns28pvsfPvI9925sAI7kxPlM7jpuHVJM"",""Validation!A:Z""),11,0)"),"Delivery Services")</f>
        <v>Delivery Services</v>
      </c>
      <c r="F655" s="6" t="str">
        <f>IFERROR(__xludf.DUMMYFUNCTION("vlookup($A655,importrange(""1fyGnaViAX9kns28pvsfPvI9925sAI7kxPlM7jpuHVJM"",""Validation!A:Z""),23,0)"),"Naveen Harish")</f>
        <v>Naveen Harish</v>
      </c>
      <c r="G655" s="6" t="str">
        <f>IFERROR(__xludf.DUMMYFUNCTION("vlookup(A655,importrange(""1fyGnaViAX9kns28pvsfPvI9925sAI7kxPlM7jpuHVJM"",""Validation!A:Z""),22,0)"),"Cluster - Varun")</f>
        <v>Cluster - Varun</v>
      </c>
      <c r="H655" s="4" t="str">
        <f>IFERROR(__xludf.DUMMYFUNCTION("vlookup(C655,importrange(""1kw74ismGU34AsZ5x-W4x7F3Zt2xc8NSYcCVMrCJBmdQ"",""DRP for 8 products!B:C""),2,0)"),"ONIACTWV4")</f>
        <v>ONIACTWV4</v>
      </c>
      <c r="I655" s="7">
        <f>IFERROR(__xludf.DUMMYFUNCTION("vlookup(C655,importrange(""1kw74ismGU34AsZ5x-W4x7F3Zt2xc8NSYcCVMrCJBmdQ"",""DRP for 8 products!B:E""),4,0)"),8.0)</f>
        <v>8</v>
      </c>
      <c r="J655" s="8" t="str">
        <f t="shared" si="1"/>
        <v>Tier 4</v>
      </c>
      <c r="K655" s="9" t="str">
        <f t="shared" si="2"/>
        <v>Active</v>
      </c>
      <c r="L655" s="4" t="str">
        <f>IFERROR(__xludf.DUMMYFUNCTION("vlookup(C655,importrange(""1kw74ismGU34AsZ5x-W4x7F3Zt2xc8NSYcCVMrCJBmdQ"",""DRP for 8 products!B:H""),6,0)"),"BigQuery")</f>
        <v>BigQuery</v>
      </c>
      <c r="M655" s="10" t="str">
        <f t="shared" si="3"/>
        <v>Yes</v>
      </c>
    </row>
    <row r="656">
      <c r="A656" s="4" t="str">
        <f>IFERROR(__xludf.DUMMYFUNCTION("vlookup(C656,IMPORTRANGE(""1Kgoo8qyo6zMtf_5B03ksZz228jg0XpZ4_KXsdHQ4Vks"",""14 Sept!A:B""),2,0)"),"DMSI0124")</f>
        <v>DMSI0124</v>
      </c>
      <c r="B656" s="5" t="str">
        <f>IFERROR(__xludf.DUMMYFUNCTION("""COMPUTED_VALUE"""),"Ankit Dhanotiya")</f>
        <v>Ankit Dhanotiya</v>
      </c>
      <c r="C656" s="5" t="str">
        <f>IFERROR(__xludf.DUMMYFUNCTION("""COMPUTED_VALUE"""),"ankit.dhanotiya@onixnet.com")</f>
        <v>ankit.dhanotiya@onixnet.com</v>
      </c>
      <c r="D656" s="4" t="s">
        <v>11</v>
      </c>
      <c r="E656" s="6" t="str">
        <f>IFERROR(__xludf.DUMMYFUNCTION("vlookup($A656,importrange(""1fyGnaViAX9kns28pvsfPvI9925sAI7kxPlM7jpuHVJM"",""Validation!A:Z""),11,0)"),"Services")</f>
        <v>Services</v>
      </c>
      <c r="F656" s="6" t="str">
        <f>IFERROR(__xludf.DUMMYFUNCTION("vlookup($A656,importrange(""1fyGnaViAX9kns28pvsfPvI9925sAI7kxPlM7jpuHVJM"",""Validation!A:Z""),23,0)"),"Vrushali Srivastava")</f>
        <v>Vrushali Srivastava</v>
      </c>
      <c r="G656" s="6" t="str">
        <f>IFERROR(__xludf.DUMMYFUNCTION("vlookup(A656,importrange(""1fyGnaViAX9kns28pvsfPvI9925sAI7kxPlM7jpuHVJM"",""Validation!A:Z""),22,0)"),"Portfolio - Rajesh")</f>
        <v>Portfolio - Rajesh</v>
      </c>
      <c r="H656" s="4" t="str">
        <f>IFERROR(__xludf.DUMMYFUNCTION("vlookup(C656,importrange(""1kw74ismGU34AsZ5x-W4x7F3Zt2xc8NSYcCVMrCJBmdQ"",""DRP for 8 products!B:C""),2,0)"),"ONIADPIC2")</f>
        <v>ONIADPIC2</v>
      </c>
      <c r="I656" s="7">
        <f>IFERROR(__xludf.DUMMYFUNCTION("vlookup(C656,importrange(""1kw74ismGU34AsZ5x-W4x7F3Zt2xc8NSYcCVMrCJBmdQ"",""DRP for 8 products!B:E""),4,0)"),14.0)</f>
        <v>14</v>
      </c>
      <c r="J656" s="8" t="str">
        <f t="shared" si="1"/>
        <v>Tier 4</v>
      </c>
      <c r="K656" s="9" t="str">
        <f t="shared" si="2"/>
        <v>Active</v>
      </c>
      <c r="L656" s="4" t="str">
        <f>IFERROR(__xludf.DUMMYFUNCTION("vlookup(C656,importrange(""1kw74ismGU34AsZ5x-W4x7F3Zt2xc8NSYcCVMrCJBmdQ"",""DRP for 8 products!B:H""),6,0)"),"BigQuery")</f>
        <v>BigQuery</v>
      </c>
      <c r="M656" s="10" t="str">
        <f t="shared" si="3"/>
        <v>Yes</v>
      </c>
    </row>
    <row r="657">
      <c r="A657" s="4" t="str">
        <f>IFERROR(__xludf.DUMMYFUNCTION("vlookup(C657,IMPORTRANGE(""1Kgoo8qyo6zMtf_5B03ksZz228jg0XpZ4_KXsdHQ4Vks"",""14 Sept!A:B""),2,0)"),"DME2956")</f>
        <v>DME2956</v>
      </c>
      <c r="B657" s="5" t="str">
        <f>IFERROR(__xludf.DUMMYFUNCTION("""COMPUTED_VALUE"""),"Prachi Goyal")</f>
        <v>Prachi Goyal</v>
      </c>
      <c r="C657" s="5" t="str">
        <f>IFERROR(__xludf.DUMMYFUNCTION("""COMPUTED_VALUE"""),"prachi.goyal@onixnet.com")</f>
        <v>prachi.goyal@onixnet.com</v>
      </c>
      <c r="D657" s="4" t="s">
        <v>11</v>
      </c>
      <c r="E657" s="6" t="str">
        <f>IFERROR(__xludf.DUMMYFUNCTION("vlookup($A657,importrange(""1fyGnaViAX9kns28pvsfPvI9925sAI7kxPlM7jpuHVJM"",""Validation!A:Z""),11,0)"),"Delivery Services")</f>
        <v>Delivery Services</v>
      </c>
      <c r="F657" s="6" t="str">
        <f>IFERROR(__xludf.DUMMYFUNCTION("vlookup($A657,importrange(""1fyGnaViAX9kns28pvsfPvI9925sAI7kxPlM7jpuHVJM"",""Validation!A:Z""),23,0)"),"Mayur Kasar")</f>
        <v>Mayur Kasar</v>
      </c>
      <c r="G657" s="6" t="str">
        <f>IFERROR(__xludf.DUMMYFUNCTION("vlookup(A657,importrange(""1fyGnaViAX9kns28pvsfPvI9925sAI7kxPlM7jpuHVJM"",""Validation!A:Z""),22,0)"),"Cluster - Varun")</f>
        <v>Cluster - Varun</v>
      </c>
      <c r="H657" s="4" t="str">
        <f>IFERROR(__xludf.DUMMYFUNCTION("vlookup(C657,importrange(""1kw74ismGU34AsZ5x-W4x7F3Zt2xc8NSYcCVMrCJBmdQ"",""DRP for 8 products!B:C""),2,0)"),"ONIPGAWU3")</f>
        <v>ONIPGAWU3</v>
      </c>
      <c r="I657" s="7">
        <f>IFERROR(__xludf.DUMMYFUNCTION("vlookup(C657,importrange(""1kw74ismGU34AsZ5x-W4x7F3Zt2xc8NSYcCVMrCJBmdQ"",""DRP for 8 products!B:E""),4,0)"),52.0)</f>
        <v>52</v>
      </c>
      <c r="J657" s="8" t="str">
        <f t="shared" si="1"/>
        <v>Tier 1</v>
      </c>
      <c r="K657" s="9" t="str">
        <f t="shared" si="2"/>
        <v>Active</v>
      </c>
      <c r="L657" s="4" t="str">
        <f>IFERROR(__xludf.DUMMYFUNCTION("vlookup(C657,importrange(""1kw74ismGU34AsZ5x-W4x7F3Zt2xc8NSYcCVMrCJBmdQ"",""DRP for 8 products!B:H""),6,0)"),"BigQuery")</f>
        <v>BigQuery</v>
      </c>
      <c r="M657" s="10" t="str">
        <f t="shared" si="3"/>
        <v>Yes</v>
      </c>
    </row>
    <row r="658">
      <c r="A658" s="4" t="str">
        <f>IFERROR(__xludf.DUMMYFUNCTION("vlookup(C658,IMPORTRANGE(""1Kgoo8qyo6zMtf_5B03ksZz228jg0XpZ4_KXsdHQ4Vks"",""14 Sept!A:B""),2,0)"),"ONIX872")</f>
        <v>ONIX872</v>
      </c>
      <c r="B658" s="5" t="str">
        <f>IFERROR(__xludf.DUMMYFUNCTION("""COMPUTED_VALUE"""),"Shubham Deshmukh")</f>
        <v>Shubham Deshmukh</v>
      </c>
      <c r="C658" s="5" t="str">
        <f>IFERROR(__xludf.DUMMYFUNCTION("""COMPUTED_VALUE"""),"shubham.deshmukh@onixnet.com")</f>
        <v>shubham.deshmukh@onixnet.com</v>
      </c>
      <c r="D658" s="4" t="s">
        <v>11</v>
      </c>
      <c r="E658" s="6" t="str">
        <f>IFERROR(__xludf.DUMMYFUNCTION("vlookup($A658,importrange(""1fyGnaViAX9kns28pvsfPvI9925sAI7kxPlM7jpuHVJM"",""Validation!A:Z""),11,0)"),"Delivery Services")</f>
        <v>Delivery Services</v>
      </c>
      <c r="F658" s="6" t="str">
        <f>IFERROR(__xludf.DUMMYFUNCTION("vlookup($A658,importrange(""1fyGnaViAX9kns28pvsfPvI9925sAI7kxPlM7jpuHVJM"",""Validation!A:Z""),23,0)"),"Pawan Kamat")</f>
        <v>Pawan Kamat</v>
      </c>
      <c r="G658" s="6" t="str">
        <f>IFERROR(__xludf.DUMMYFUNCTION("vlookup(A658,importrange(""1fyGnaViAX9kns28pvsfPvI9925sAI7kxPlM7jpuHVJM"",""Validation!A:Z""),22,0)"),"Portfolio - Kanth")</f>
        <v>Portfolio - Kanth</v>
      </c>
      <c r="H658" s="4" t="str">
        <f>IFERROR(__xludf.DUMMYFUNCTION("vlookup(C658,importrange(""1kw74ismGU34AsZ5x-W4x7F3Zt2xc8NSYcCVMrCJBmdQ"",""DRP for 8 products!B:C""),2,0)"),"ONISDNIN4")</f>
        <v>ONISDNIN4</v>
      </c>
      <c r="I658" s="7">
        <f>IFERROR(__xludf.DUMMYFUNCTION("vlookup(C658,importrange(""1kw74ismGU34AsZ5x-W4x7F3Zt2xc8NSYcCVMrCJBmdQ"",""DRP for 8 products!B:E""),4,0)"),44.0)</f>
        <v>44</v>
      </c>
      <c r="J658" s="8" t="str">
        <f t="shared" si="1"/>
        <v>Tier 2</v>
      </c>
      <c r="K658" s="9" t="str">
        <f t="shared" si="2"/>
        <v>Active</v>
      </c>
      <c r="L658" s="4" t="str">
        <f>IFERROR(__xludf.DUMMYFUNCTION("vlookup(C658,importrange(""1kw74ismGU34AsZ5x-W4x7F3Zt2xc8NSYcCVMrCJBmdQ"",""DRP for 8 products!B:H""),6,0)"),"BigQuery")</f>
        <v>BigQuery</v>
      </c>
      <c r="M658" s="10" t="str">
        <f t="shared" si="3"/>
        <v>Yes</v>
      </c>
    </row>
    <row r="659">
      <c r="A659" s="4" t="str">
        <f>IFERROR(__xludf.DUMMYFUNCTION("vlookup(C659,IMPORTRANGE(""1Kgoo8qyo6zMtf_5B03ksZz228jg0XpZ4_KXsdHQ4Vks"",""14 Sept!A:B""),2,0)"),"DME3231")</f>
        <v>DME3231</v>
      </c>
      <c r="B659" s="5" t="str">
        <f>IFERROR(__xludf.DUMMYFUNCTION("""COMPUTED_VALUE"""),"shraddha kadam")</f>
        <v>shraddha kadam</v>
      </c>
      <c r="C659" s="5" t="str">
        <f>IFERROR(__xludf.DUMMYFUNCTION("""COMPUTED_VALUE"""),"shraddha.kadam@onixnet.com")</f>
        <v>shraddha.kadam@onixnet.com</v>
      </c>
      <c r="D659" s="4" t="s">
        <v>11</v>
      </c>
      <c r="E659" s="6" t="str">
        <f>IFERROR(__xludf.DUMMYFUNCTION("vlookup($A659,importrange(""1fyGnaViAX9kns28pvsfPvI9925sAI7kxPlM7jpuHVJM"",""Validation!A:Z""),11,0)"),"Delivery Services")</f>
        <v>Delivery Services</v>
      </c>
      <c r="F659" s="6" t="str">
        <f>IFERROR(__xludf.DUMMYFUNCTION("vlookup($A659,importrange(""1fyGnaViAX9kns28pvsfPvI9925sAI7kxPlM7jpuHVJM"",""Validation!A:Z""),23,0)"),"Vikram Mishra")</f>
        <v>Vikram Mishra</v>
      </c>
      <c r="G659" s="6" t="str">
        <f>IFERROR(__xludf.DUMMYFUNCTION("vlookup(A659,importrange(""1fyGnaViAX9kns28pvsfPvI9925sAI7kxPlM7jpuHVJM"",""Validation!A:Z""),22,0)"),"Cluster - Sandeep")</f>
        <v>Cluster - Sandeep</v>
      </c>
      <c r="H659" s="4" t="str">
        <f>IFERROR(__xludf.DUMMYFUNCTION("vlookup(C659,importrange(""1kw74ismGU34AsZ5x-W4x7F3Zt2xc8NSYcCVMrCJBmdQ"",""DRP for 8 products!B:C""),2,0)"),"ONISKCDK1")</f>
        <v>ONISKCDK1</v>
      </c>
      <c r="I659" s="7">
        <f>IFERROR(__xludf.DUMMYFUNCTION("vlookup(C659,importrange(""1kw74ismGU34AsZ5x-W4x7F3Zt2xc8NSYcCVMrCJBmdQ"",""DRP for 8 products!B:E""),4,0)"),9.0)</f>
        <v>9</v>
      </c>
      <c r="J659" s="8" t="str">
        <f t="shared" si="1"/>
        <v>Tier 4</v>
      </c>
      <c r="K659" s="9" t="str">
        <f t="shared" si="2"/>
        <v>Active</v>
      </c>
      <c r="L659" s="4" t="str">
        <f>IFERROR(__xludf.DUMMYFUNCTION("vlookup(C659,importrange(""1kw74ismGU34AsZ5x-W4x7F3Zt2xc8NSYcCVMrCJBmdQ"",""DRP for 8 products!B:H""),6,0)"),"BigQuery")</f>
        <v>BigQuery</v>
      </c>
      <c r="M659" s="10" t="str">
        <f t="shared" si="3"/>
        <v>Yes</v>
      </c>
    </row>
    <row r="660">
      <c r="A660" s="4" t="str">
        <f>IFERROR(__xludf.DUMMYFUNCTION("vlookup(C660,IMPORTRANGE(""1Kgoo8qyo6zMtf_5B03ksZz228jg0XpZ4_KXsdHQ4Vks"",""14 Sept!A:B""),2,0)"),"DME0675")</f>
        <v>DME0675</v>
      </c>
      <c r="B660" s="5" t="str">
        <f>IFERROR(__xludf.DUMMYFUNCTION("""COMPUTED_VALUE"""),"Dhananjay Sanap")</f>
        <v>Dhananjay Sanap</v>
      </c>
      <c r="C660" s="5" t="str">
        <f>IFERROR(__xludf.DUMMYFUNCTION("""COMPUTED_VALUE"""),"dhananjay.sanap@onixnet.com")</f>
        <v>dhananjay.sanap@onixnet.com</v>
      </c>
      <c r="D660" s="4" t="s">
        <v>11</v>
      </c>
      <c r="E660" s="6" t="str">
        <f>IFERROR(__xludf.DUMMYFUNCTION("vlookup($A660,importrange(""1fyGnaViAX9kns28pvsfPvI9925sAI7kxPlM7jpuHVJM"",""Validation!A:Z""),11,0)"),"Delivery Services")</f>
        <v>Delivery Services</v>
      </c>
      <c r="F660" s="6" t="str">
        <f>IFERROR(__xludf.DUMMYFUNCTION("vlookup($A660,importrange(""1fyGnaViAX9kns28pvsfPvI9925sAI7kxPlM7jpuHVJM"",""Validation!A:Z""),23,0)"),"Shubhendu Shubhendu")</f>
        <v>Shubhendu Shubhendu</v>
      </c>
      <c r="G660" s="6" t="str">
        <f>IFERROR(__xludf.DUMMYFUNCTION("vlookup(A660,importrange(""1fyGnaViAX9kns28pvsfPvI9925sAI7kxPlM7jpuHVJM"",""Validation!A:Z""),22,0)"),"Cluster - Kanhaiya")</f>
        <v>Cluster - Kanhaiya</v>
      </c>
      <c r="H660" s="4" t="str">
        <f>IFERROR(__xludf.DUMMYFUNCTION("vlookup(C660,importrange(""1kw74ismGU34AsZ5x-W4x7F3Zt2xc8NSYcCVMrCJBmdQ"",""DRP for 8 products!B:C""),2,0)"),"ONIDSOMN4")</f>
        <v>ONIDSOMN4</v>
      </c>
      <c r="I660" s="7">
        <f>IFERROR(__xludf.DUMMYFUNCTION("vlookup(C660,importrange(""1kw74ismGU34AsZ5x-W4x7F3Zt2xc8NSYcCVMrCJBmdQ"",""DRP for 8 products!B:E""),4,0)"),19.0)</f>
        <v>19</v>
      </c>
      <c r="J660" s="8" t="str">
        <f t="shared" si="1"/>
        <v>Tier 4</v>
      </c>
      <c r="K660" s="9" t="str">
        <f t="shared" si="2"/>
        <v>Active</v>
      </c>
      <c r="L660" s="4" t="str">
        <f>IFERROR(__xludf.DUMMYFUNCTION("vlookup(C660,importrange(""1kw74ismGU34AsZ5x-W4x7F3Zt2xc8NSYcCVMrCJBmdQ"",""DRP for 8 products!B:H""),6,0)"),"BigQuery")</f>
        <v>BigQuery</v>
      </c>
      <c r="M660" s="10" t="str">
        <f t="shared" si="3"/>
        <v>Yes</v>
      </c>
    </row>
    <row r="661">
      <c r="A661" s="4" t="str">
        <f>IFERROR(__xludf.DUMMYFUNCTION("vlookup(C661,IMPORTRANGE(""1Kgoo8qyo6zMtf_5B03ksZz228jg0XpZ4_KXsdHQ4Vks"",""14 Sept!A:B""),2,0)"),"DME2315")</f>
        <v>DME2315</v>
      </c>
      <c r="B661" s="5" t="str">
        <f>IFERROR(__xludf.DUMMYFUNCTION("""COMPUTED_VALUE"""),"Arun Kumar")</f>
        <v>Arun Kumar</v>
      </c>
      <c r="C661" s="5" t="str">
        <f>IFERROR(__xludf.DUMMYFUNCTION("""COMPUTED_VALUE"""),"arun.kumar@onixnet.com")</f>
        <v>arun.kumar@onixnet.com</v>
      </c>
      <c r="D661" s="4" t="s">
        <v>11</v>
      </c>
      <c r="E661" s="6" t="str">
        <f>IFERROR(__xludf.DUMMYFUNCTION("vlookup($A661,importrange(""1fyGnaViAX9kns28pvsfPvI9925sAI7kxPlM7jpuHVJM"",""Validation!A:Z""),11,0)"),"Delivery Services")</f>
        <v>Delivery Services</v>
      </c>
      <c r="F661" s="6" t="str">
        <f>IFERROR(__xludf.DUMMYFUNCTION("vlookup($A661,importrange(""1fyGnaViAX9kns28pvsfPvI9925sAI7kxPlM7jpuHVJM"",""Validation!A:Z""),23,0)"),"Vipul Nilapwar")</f>
        <v>Vipul Nilapwar</v>
      </c>
      <c r="G661" s="6" t="str">
        <f>IFERROR(__xludf.DUMMYFUNCTION("vlookup(A661,importrange(""1fyGnaViAX9kns28pvsfPvI9925sAI7kxPlM7jpuHVJM"",""Validation!A:Z""),22,0)"),"Cluster - Sachin")</f>
        <v>Cluster - Sachin</v>
      </c>
      <c r="H661" s="4" t="str">
        <f>IFERROR(__xludf.DUMMYFUNCTION("vlookup(C661,importrange(""1kw74ismGU34AsZ5x-W4x7F3Zt2xc8NSYcCVMrCJBmdQ"",""DRP for 8 products!B:C""),2,0)"),"ONIAKPTB4")</f>
        <v>ONIAKPTB4</v>
      </c>
      <c r="I661" s="7">
        <f>IFERROR(__xludf.DUMMYFUNCTION("vlookup(C661,importrange(""1kw74ismGU34AsZ5x-W4x7F3Zt2xc8NSYcCVMrCJBmdQ"",""DRP for 8 products!B:E""),4,0)"),29.0)</f>
        <v>29</v>
      </c>
      <c r="J661" s="8" t="str">
        <f t="shared" si="1"/>
        <v>Tier 3</v>
      </c>
      <c r="K661" s="9" t="str">
        <f t="shared" si="2"/>
        <v>Active</v>
      </c>
      <c r="L661" s="4" t="str">
        <f>IFERROR(__xludf.DUMMYFUNCTION("vlookup(C661,importrange(""1kw74ismGU34AsZ5x-W4x7F3Zt2xc8NSYcCVMrCJBmdQ"",""DRP for 8 products!B:H""),6,0)"),"BigQuery")</f>
        <v>BigQuery</v>
      </c>
      <c r="M661" s="10" t="str">
        <f t="shared" si="3"/>
        <v>Yes</v>
      </c>
    </row>
    <row r="662">
      <c r="A662" s="4" t="str">
        <f>IFERROR(__xludf.DUMMYFUNCTION("vlookup(C662,IMPORTRANGE(""1Kgoo8qyo6zMtf_5B03ksZz228jg0XpZ4_KXsdHQ4Vks"",""14 Sept!A:B""),2,0)"),"DMSI0119")</f>
        <v>DMSI0119</v>
      </c>
      <c r="B662" s="5" t="str">
        <f>IFERROR(__xludf.DUMMYFUNCTION("""COMPUTED_VALUE"""),"Avinash Vellanki")</f>
        <v>Avinash Vellanki</v>
      </c>
      <c r="C662" s="5" t="str">
        <f>IFERROR(__xludf.DUMMYFUNCTION("""COMPUTED_VALUE"""),"avinash.vellanki@onixnet.com")</f>
        <v>avinash.vellanki@onixnet.com</v>
      </c>
      <c r="D662" s="4" t="s">
        <v>11</v>
      </c>
      <c r="E662" s="6" t="str">
        <f>IFERROR(__xludf.DUMMYFUNCTION("vlookup($A662,importrange(""1fyGnaViAX9kns28pvsfPvI9925sAI7kxPlM7jpuHVJM"",""Validation!A:Z""),11,0)"),"Services")</f>
        <v>Services</v>
      </c>
      <c r="F662" s="6" t="str">
        <f>IFERROR(__xludf.DUMMYFUNCTION("vlookup($A662,importrange(""1fyGnaViAX9kns28pvsfPvI9925sAI7kxPlM7jpuHVJM"",""Validation!A:Z""),23,0)"),"Kavindra Yerolkar")</f>
        <v>Kavindra Yerolkar</v>
      </c>
      <c r="G662" s="6" t="str">
        <f>IFERROR(__xludf.DUMMYFUNCTION("vlookup(A662,importrange(""1fyGnaViAX9kns28pvsfPvI9925sAI7kxPlM7jpuHVJM"",""Validation!A:Z""),22,0)"),"Portfolio - Rajesh")</f>
        <v>Portfolio - Rajesh</v>
      </c>
      <c r="H662" s="4" t="str">
        <f>IFERROR(__xludf.DUMMYFUNCTION("vlookup(C662,importrange(""1kw74ismGU34AsZ5x-W4x7F3Zt2xc8NSYcCVMrCJBmdQ"",""DRP for 8 products!B:C""),2,0)"),"ONIAVRBV7")</f>
        <v>ONIAVRBV7</v>
      </c>
      <c r="I662" s="7">
        <f>IFERROR(__xludf.DUMMYFUNCTION("vlookup(C662,importrange(""1kw74ismGU34AsZ5x-W4x7F3Zt2xc8NSYcCVMrCJBmdQ"",""DRP for 8 products!B:E""),4,0)"),29.0)</f>
        <v>29</v>
      </c>
      <c r="J662" s="8" t="str">
        <f t="shared" si="1"/>
        <v>Tier 3</v>
      </c>
      <c r="K662" s="9" t="str">
        <f t="shared" si="2"/>
        <v>Active</v>
      </c>
      <c r="L662" s="4" t="str">
        <f>IFERROR(__xludf.DUMMYFUNCTION("vlookup(C662,importrange(""1kw74ismGU34AsZ5x-W4x7F3Zt2xc8NSYcCVMrCJBmdQ"",""DRP for 8 products!B:H""),6,0)"),"BigQuery")</f>
        <v>BigQuery</v>
      </c>
      <c r="M662" s="10" t="str">
        <f t="shared" si="3"/>
        <v>Yes</v>
      </c>
    </row>
    <row r="663">
      <c r="A663" s="4" t="str">
        <f>IFERROR(__xludf.DUMMYFUNCTION("vlookup(C663,IMPORTRANGE(""1Kgoo8qyo6zMtf_5B03ksZz228jg0XpZ4_KXsdHQ4Vks"",""14 Sept!A:B""),2,0)"),"DME2187")</f>
        <v>DME2187</v>
      </c>
      <c r="B663" s="5" t="str">
        <f>IFERROR(__xludf.DUMMYFUNCTION("""COMPUTED_VALUE"""),"Amol Patil")</f>
        <v>Amol Patil</v>
      </c>
      <c r="C663" s="5" t="str">
        <f>IFERROR(__xludf.DUMMYFUNCTION("""COMPUTED_VALUE"""),"amol.patil@onixnet.com")</f>
        <v>amol.patil@onixnet.com</v>
      </c>
      <c r="D663" s="4" t="s">
        <v>11</v>
      </c>
      <c r="E663" s="6" t="str">
        <f>IFERROR(__xludf.DUMMYFUNCTION("vlookup($A663,importrange(""1fyGnaViAX9kns28pvsfPvI9925sAI7kxPlM7jpuHVJM"",""Validation!A:Z""),11,0)"),"Delivery Services")</f>
        <v>Delivery Services</v>
      </c>
      <c r="F663" s="6" t="str">
        <f>IFERROR(__xludf.DUMMYFUNCTION("vlookup($A663,importrange(""1fyGnaViAX9kns28pvsfPvI9925sAI7kxPlM7jpuHVJM"",""Validation!A:Z""),23,0)"),"Varun Katyal")</f>
        <v>Varun Katyal</v>
      </c>
      <c r="G663" s="6" t="str">
        <f>IFERROR(__xludf.DUMMYFUNCTION("vlookup(A663,importrange(""1fyGnaViAX9kns28pvsfPvI9925sAI7kxPlM7jpuHVJM"",""Validation!A:Z""),22,0)"),"Cluster - Varun")</f>
        <v>Cluster - Varun</v>
      </c>
      <c r="H663" s="4" t="str">
        <f>IFERROR(__xludf.DUMMYFUNCTION("vlookup(C663,importrange(""1kw74ismGU34AsZ5x-W4x7F3Zt2xc8NSYcCVMrCJBmdQ"",""DRP for 8 products!B:C""),2,0)"),"ONIAPASR6")</f>
        <v>ONIAPASR6</v>
      </c>
      <c r="I663" s="7">
        <f>IFERROR(__xludf.DUMMYFUNCTION("vlookup(C663,importrange(""1kw74ismGU34AsZ5x-W4x7F3Zt2xc8NSYcCVMrCJBmdQ"",""DRP for 8 products!B:E""),4,0)"),14.0)</f>
        <v>14</v>
      </c>
      <c r="J663" s="8" t="str">
        <f t="shared" si="1"/>
        <v>Tier 4</v>
      </c>
      <c r="K663" s="9" t="str">
        <f t="shared" si="2"/>
        <v>Active</v>
      </c>
      <c r="L663" s="4" t="str">
        <f>IFERROR(__xludf.DUMMYFUNCTION("vlookup(C663,importrange(""1kw74ismGU34AsZ5x-W4x7F3Zt2xc8NSYcCVMrCJBmdQ"",""DRP for 8 products!B:H""),6,0)"),"AlloyDB for PostgreSQL")</f>
        <v>AlloyDB for PostgreSQL</v>
      </c>
      <c r="M663" s="10" t="str">
        <f t="shared" si="3"/>
        <v>Yes</v>
      </c>
    </row>
    <row r="664">
      <c r="A664" s="4" t="str">
        <f>IFERROR(__xludf.DUMMYFUNCTION("vlookup(C664,IMPORTRANGE(""1Kgoo8qyo6zMtf_5B03ksZz228jg0XpZ4_KXsdHQ4Vks"",""14 Sept!A:B""),2,0)"),"DME3063")</f>
        <v>DME3063</v>
      </c>
      <c r="B664" s="5" t="str">
        <f>IFERROR(__xludf.DUMMYFUNCTION("""COMPUTED_VALUE"""),"Chaitanya Avhad")</f>
        <v>Chaitanya Avhad</v>
      </c>
      <c r="C664" s="5" t="str">
        <f>IFERROR(__xludf.DUMMYFUNCTION("""COMPUTED_VALUE"""),"chaitanya.avhad@onixnet.com")</f>
        <v>chaitanya.avhad@onixnet.com</v>
      </c>
      <c r="D664" s="4" t="s">
        <v>11</v>
      </c>
      <c r="E664" s="6" t="str">
        <f>IFERROR(__xludf.DUMMYFUNCTION("vlookup($A664,importrange(""1fyGnaViAX9kns28pvsfPvI9925sAI7kxPlM7jpuHVJM"",""Validation!A:Z""),11,0)"),"Delivery Services")</f>
        <v>Delivery Services</v>
      </c>
      <c r="F664" s="6" t="str">
        <f>IFERROR(__xludf.DUMMYFUNCTION("vlookup($A664,importrange(""1fyGnaViAX9kns28pvsfPvI9925sAI7kxPlM7jpuHVJM"",""Validation!A:Z""),23,0)"),"Manoj Patil")</f>
        <v>Manoj Patil</v>
      </c>
      <c r="G664" s="6" t="str">
        <f>IFERROR(__xludf.DUMMYFUNCTION("vlookup(A664,importrange(""1fyGnaViAX9kns28pvsfPvI9925sAI7kxPlM7jpuHVJM"",""Validation!A:Z""),22,0)"),"Cluster - Shreepad")</f>
        <v>Cluster - Shreepad</v>
      </c>
      <c r="H664" s="4" t="str">
        <f>IFERROR(__xludf.DUMMYFUNCTION("vlookup(C664,importrange(""1kw74ismGU34AsZ5x-W4x7F3Zt2xc8NSYcCVMrCJBmdQ"",""DRP for 8 products!B:C""),2,0)"),"ONICAAUI6")</f>
        <v>ONICAAUI6</v>
      </c>
      <c r="I664" s="7">
        <f>IFERROR(__xludf.DUMMYFUNCTION("vlookup(C664,importrange(""1kw74ismGU34AsZ5x-W4x7F3Zt2xc8NSYcCVMrCJBmdQ"",""DRP for 8 products!B:E""),4,0)"),51.0)</f>
        <v>51</v>
      </c>
      <c r="J664" s="8" t="str">
        <f t="shared" si="1"/>
        <v>Tier 1</v>
      </c>
      <c r="K664" s="9" t="str">
        <f t="shared" si="2"/>
        <v>Active</v>
      </c>
      <c r="L664" s="4" t="str">
        <f>IFERROR(__xludf.DUMMYFUNCTION("vlookup(C664,importrange(""1kw74ismGU34AsZ5x-W4x7F3Zt2xc8NSYcCVMrCJBmdQ"",""DRP for 8 products!B:H""),6,0)"),"BigQuery")</f>
        <v>BigQuery</v>
      </c>
      <c r="M664" s="10" t="str">
        <f t="shared" si="3"/>
        <v>Yes</v>
      </c>
    </row>
    <row r="665">
      <c r="A665" s="4" t="str">
        <f>IFERROR(__xludf.DUMMYFUNCTION("vlookup(C665,IMPORTRANGE(""1Kgoo8qyo6zMtf_5B03ksZz228jg0XpZ4_KXsdHQ4Vks"",""14 Sept!A:B""),2,0)"),"DME3164")</f>
        <v>DME3164</v>
      </c>
      <c r="B665" s="5" t="str">
        <f>IFERROR(__xludf.DUMMYFUNCTION("""COMPUTED_VALUE"""),"Thirupathi Naidu Kakumani")</f>
        <v>Thirupathi Naidu Kakumani</v>
      </c>
      <c r="C665" s="5" t="str">
        <f>IFERROR(__xludf.DUMMYFUNCTION("""COMPUTED_VALUE"""),"thirupathi.kakumani@onixnet.com")</f>
        <v>thirupathi.kakumani@onixnet.com</v>
      </c>
      <c r="D665" s="4" t="s">
        <v>11</v>
      </c>
      <c r="E665" s="6" t="str">
        <f>IFERROR(__xludf.DUMMYFUNCTION("vlookup($A665,importrange(""1fyGnaViAX9kns28pvsfPvI9925sAI7kxPlM7jpuHVJM"",""Validation!A:Z""),11,0)"),"Delivery Services")</f>
        <v>Delivery Services</v>
      </c>
      <c r="F665" s="6" t="str">
        <f>IFERROR(__xludf.DUMMYFUNCTION("vlookup($A665,importrange(""1fyGnaViAX9kns28pvsfPvI9925sAI7kxPlM7jpuHVJM"",""Validation!A:Z""),23,0)"),"Jitender Singh")</f>
        <v>Jitender Singh</v>
      </c>
      <c r="G665" s="6" t="str">
        <f>IFERROR(__xludf.DUMMYFUNCTION("vlookup(A665,importrange(""1fyGnaViAX9kns28pvsfPvI9925sAI7kxPlM7jpuHVJM"",""Validation!A:Z""),22,0)"),"Cluster - Gaurav")</f>
        <v>Cluster - Gaurav</v>
      </c>
      <c r="H665" s="4" t="str">
        <f>IFERROR(__xludf.DUMMYFUNCTION("vlookup(C665,importrange(""1kw74ismGU34AsZ5x-W4x7F3Zt2xc8NSYcCVMrCJBmdQ"",""DRP for 8 products!B:C""),2,0)"),"ONITKBBV6")</f>
        <v>ONITKBBV6</v>
      </c>
      <c r="I665" s="7">
        <f>IFERROR(__xludf.DUMMYFUNCTION("vlookup(C665,importrange(""1kw74ismGU34AsZ5x-W4x7F3Zt2xc8NSYcCVMrCJBmdQ"",""DRP for 8 products!B:E""),4,0)"),15.0)</f>
        <v>15</v>
      </c>
      <c r="J665" s="8" t="str">
        <f t="shared" si="1"/>
        <v>Tier 4</v>
      </c>
      <c r="K665" s="9" t="str">
        <f t="shared" si="2"/>
        <v>Active</v>
      </c>
      <c r="L665" s="4" t="str">
        <f>IFERROR(__xludf.DUMMYFUNCTION("vlookup(C665,importrange(""1kw74ismGU34AsZ5x-W4x7F3Zt2xc8NSYcCVMrCJBmdQ"",""DRP for 8 products!B:H""),6,0)"),"BigQuery")</f>
        <v>BigQuery</v>
      </c>
      <c r="M665" s="10" t="str">
        <f t="shared" si="3"/>
        <v>Yes</v>
      </c>
    </row>
    <row r="666">
      <c r="A666" s="4" t="str">
        <f>IFERROR(__xludf.DUMMYFUNCTION("vlookup(C666,IMPORTRANGE(""1Kgoo8qyo6zMtf_5B03ksZz228jg0XpZ4_KXsdHQ4Vks"",""14 Sept!A:B""),2,0)"),"DME3186")</f>
        <v>DME3186</v>
      </c>
      <c r="B666" s="5" t="str">
        <f>IFERROR(__xludf.DUMMYFUNCTION("""COMPUTED_VALUE"""),"AjayKumar Boda")</f>
        <v>AjayKumar Boda</v>
      </c>
      <c r="C666" s="5" t="str">
        <f>IFERROR(__xludf.DUMMYFUNCTION("""COMPUTED_VALUE"""),"ajaykumar.boda@onixnet.com")</f>
        <v>ajaykumar.boda@onixnet.com</v>
      </c>
      <c r="D666" s="4" t="s">
        <v>11</v>
      </c>
      <c r="E666" s="6" t="str">
        <f>IFERROR(__xludf.DUMMYFUNCTION("vlookup($A666,importrange(""1fyGnaViAX9kns28pvsfPvI9925sAI7kxPlM7jpuHVJM"",""Validation!A:Z""),11,0)"),"Delivery Services")</f>
        <v>Delivery Services</v>
      </c>
      <c r="F666" s="6" t="str">
        <f>IFERROR(__xludf.DUMMYFUNCTION("vlookup($A666,importrange(""1fyGnaViAX9kns28pvsfPvI9925sAI7kxPlM7jpuHVJM"",""Validation!A:Z""),23,0)"),"Manoj Patil")</f>
        <v>Manoj Patil</v>
      </c>
      <c r="G666" s="6" t="str">
        <f>IFERROR(__xludf.DUMMYFUNCTION("vlookup(A666,importrange(""1fyGnaViAX9kns28pvsfPvI9925sAI7kxPlM7jpuHVJM"",""Validation!A:Z""),22,0)"),"Cluster - Shreepad")</f>
        <v>Cluster - Shreepad</v>
      </c>
      <c r="H666" s="4" t="str">
        <f>IFERROR(__xludf.DUMMYFUNCTION("vlookup(C666,importrange(""1kw74ismGU34AsZ5x-W4x7F3Zt2xc8NSYcCVMrCJBmdQ"",""DRP for 8 products!B:C""),2,0)"),"ONIABICA3")</f>
        <v>ONIABICA3</v>
      </c>
      <c r="I666" s="7">
        <f>IFERROR(__xludf.DUMMYFUNCTION("vlookup(C666,importrange(""1kw74ismGU34AsZ5x-W4x7F3Zt2xc8NSYcCVMrCJBmdQ"",""DRP for 8 products!B:E""),4,0)"),51.0)</f>
        <v>51</v>
      </c>
      <c r="J666" s="8" t="str">
        <f t="shared" si="1"/>
        <v>Tier 1</v>
      </c>
      <c r="K666" s="9" t="str">
        <f t="shared" si="2"/>
        <v>Active</v>
      </c>
      <c r="L666" s="4" t="str">
        <f>IFERROR(__xludf.DUMMYFUNCTION("vlookup(C666,importrange(""1kw74ismGU34AsZ5x-W4x7F3Zt2xc8NSYcCVMrCJBmdQ"",""DRP for 8 products!B:H""),6,0)"),"BigQuery")</f>
        <v>BigQuery</v>
      </c>
      <c r="M666" s="10" t="str">
        <f t="shared" si="3"/>
        <v>Yes</v>
      </c>
    </row>
    <row r="667">
      <c r="A667" s="4" t="str">
        <f>IFERROR(__xludf.DUMMYFUNCTION("vlookup(C667,IMPORTRANGE(""1Kgoo8qyo6zMtf_5B03ksZz228jg0XpZ4_KXsdHQ4Vks"",""14 Sept!A:B""),2,0)"),"DME3180")</f>
        <v>DME3180</v>
      </c>
      <c r="B667" s="5" t="str">
        <f>IFERROR(__xludf.DUMMYFUNCTION("""COMPUTED_VALUE"""),"Amit Chauhan")</f>
        <v>Amit Chauhan</v>
      </c>
      <c r="C667" s="5" t="str">
        <f>IFERROR(__xludf.DUMMYFUNCTION("""COMPUTED_VALUE"""),"amit.chauhan@onixnet.com")</f>
        <v>amit.chauhan@onixnet.com</v>
      </c>
      <c r="D667" s="4" t="s">
        <v>11</v>
      </c>
      <c r="E667" s="6" t="str">
        <f>IFERROR(__xludf.DUMMYFUNCTION("vlookup($A667,importrange(""1fyGnaViAX9kns28pvsfPvI9925sAI7kxPlM7jpuHVJM"",""Validation!A:Z""),11,0)"),"Product Engineering")</f>
        <v>Product Engineering</v>
      </c>
      <c r="F667" s="6" t="str">
        <f>IFERROR(__xludf.DUMMYFUNCTION("vlookup($A667,importrange(""1fyGnaViAX9kns28pvsfPvI9925sAI7kxPlM7jpuHVJM"",""Validation!A:Z""),23,0)"),"Pooja Kore")</f>
        <v>Pooja Kore</v>
      </c>
      <c r="G667" s="6" t="str">
        <f>IFERROR(__xludf.DUMMYFUNCTION("vlookup(A667,importrange(""1fyGnaViAX9kns28pvsfPvI9925sAI7kxPlM7jpuHVJM"",""Validation!A:Z""),22,0)"),"Cluster - Mayur")</f>
        <v>Cluster - Mayur</v>
      </c>
      <c r="H667" s="4" t="str">
        <f>IFERROR(__xludf.DUMMYFUNCTION("vlookup(C667,importrange(""1kw74ismGU34AsZ5x-W4x7F3Zt2xc8NSYcCVMrCJBmdQ"",""DRP for 8 products!B:C""),2,0)"),"ONIACCWA0")</f>
        <v>ONIACCWA0</v>
      </c>
      <c r="I667" s="7">
        <f>IFERROR(__xludf.DUMMYFUNCTION("vlookup(C667,importrange(""1kw74ismGU34AsZ5x-W4x7F3Zt2xc8NSYcCVMrCJBmdQ"",""DRP for 8 products!B:E""),4,0)"),8.0)</f>
        <v>8</v>
      </c>
      <c r="J667" s="8" t="str">
        <f t="shared" si="1"/>
        <v>Tier 4</v>
      </c>
      <c r="K667" s="9" t="str">
        <f t="shared" si="2"/>
        <v>Active</v>
      </c>
      <c r="L667" s="4" t="str">
        <f>IFERROR(__xludf.DUMMYFUNCTION("vlookup(C667,importrange(""1kw74ismGU34AsZ5x-W4x7F3Zt2xc8NSYcCVMrCJBmdQ"",""DRP for 8 products!B:H""),6,0)"),"BigQuery")</f>
        <v>BigQuery</v>
      </c>
      <c r="M667" s="10" t="str">
        <f t="shared" si="3"/>
        <v>Yes</v>
      </c>
    </row>
    <row r="668">
      <c r="A668" s="4" t="str">
        <f>IFERROR(__xludf.DUMMYFUNCTION("vlookup(C668,IMPORTRANGE(""1Kgoo8qyo6zMtf_5B03ksZz228jg0XpZ4_KXsdHQ4Vks"",""14 Sept!A:B""),2,0)"),"DME2328")</f>
        <v>DME2328</v>
      </c>
      <c r="B668" s="5" t="str">
        <f>IFERROR(__xludf.DUMMYFUNCTION("""COMPUTED_VALUE"""),"Shrutisree Maity")</f>
        <v>Shrutisree Maity</v>
      </c>
      <c r="C668" s="5" t="str">
        <f>IFERROR(__xludf.DUMMYFUNCTION("""COMPUTED_VALUE"""),"shrutisree.maity@onixnet.com")</f>
        <v>shrutisree.maity@onixnet.com</v>
      </c>
      <c r="D668" s="4" t="s">
        <v>11</v>
      </c>
      <c r="E668" s="6" t="str">
        <f>IFERROR(__xludf.DUMMYFUNCTION("vlookup($A668,importrange(""1fyGnaViAX9kns28pvsfPvI9925sAI7kxPlM7jpuHVJM"",""Validation!A:Z""),11,0)"),"Delivery Services")</f>
        <v>Delivery Services</v>
      </c>
      <c r="F668" s="6" t="str">
        <f>IFERROR(__xludf.DUMMYFUNCTION("vlookup($A668,importrange(""1fyGnaViAX9kns28pvsfPvI9925sAI7kxPlM7jpuHVJM"",""Validation!A:Z""),23,0)"),"Upendra Rangisetti")</f>
        <v>Upendra Rangisetti</v>
      </c>
      <c r="G668" s="6" t="str">
        <f>IFERROR(__xludf.DUMMYFUNCTION("vlookup(A668,importrange(""1fyGnaViAX9kns28pvsfPvI9925sAI7kxPlM7jpuHVJM"",""Validation!A:Z""),22,0)"),"Cluster - Shreepad")</f>
        <v>Cluster - Shreepad</v>
      </c>
      <c r="H668" s="4" t="str">
        <f>IFERROR(__xludf.DUMMYFUNCTION("vlookup(C668,importrange(""1kw74ismGU34AsZ5x-W4x7F3Zt2xc8NSYcCVMrCJBmdQ"",""DRP for 8 products!B:C""),2,0)"),"ONISMWHG5")</f>
        <v>ONISMWHG5</v>
      </c>
      <c r="I668" s="7">
        <f>IFERROR(__xludf.DUMMYFUNCTION("vlookup(C668,importrange(""1kw74ismGU34AsZ5x-W4x7F3Zt2xc8NSYcCVMrCJBmdQ"",""DRP for 8 products!B:E""),4,0)"),54.0)</f>
        <v>54</v>
      </c>
      <c r="J668" s="8" t="str">
        <f t="shared" si="1"/>
        <v>Tier 1</v>
      </c>
      <c r="K668" s="9" t="str">
        <f t="shared" si="2"/>
        <v>Active</v>
      </c>
      <c r="L668" s="4" t="str">
        <f>IFERROR(__xludf.DUMMYFUNCTION("vlookup(C668,importrange(""1kw74ismGU34AsZ5x-W4x7F3Zt2xc8NSYcCVMrCJBmdQ"",""DRP for 8 products!B:H""),6,0)"),"BigQuery")</f>
        <v>BigQuery</v>
      </c>
      <c r="M668" s="10" t="str">
        <f t="shared" si="3"/>
        <v>Yes</v>
      </c>
    </row>
    <row r="669">
      <c r="A669" s="4" t="str">
        <f>IFERROR(__xludf.DUMMYFUNCTION("vlookup(C669,IMPORTRANGE(""1Kgoo8qyo6zMtf_5B03ksZz228jg0XpZ4_KXsdHQ4Vks"",""14 Sept!A:B""),2,0)"),"DME3172")</f>
        <v>DME3172</v>
      </c>
      <c r="B669" s="5" t="str">
        <f>IFERROR(__xludf.DUMMYFUNCTION("""COMPUTED_VALUE"""),"Pragya Kushwah")</f>
        <v>Pragya Kushwah</v>
      </c>
      <c r="C669" s="5" t="str">
        <f>IFERROR(__xludf.DUMMYFUNCTION("""COMPUTED_VALUE"""),"pragya.kushwah@onixnet.com")</f>
        <v>pragya.kushwah@onixnet.com</v>
      </c>
      <c r="D669" s="4" t="s">
        <v>11</v>
      </c>
      <c r="E669" s="6" t="str">
        <f>IFERROR(__xludf.DUMMYFUNCTION("vlookup($A669,importrange(""1fyGnaViAX9kns28pvsfPvI9925sAI7kxPlM7jpuHVJM"",""Validation!A:Z""),11,0)"),"Delivery Services")</f>
        <v>Delivery Services</v>
      </c>
      <c r="F669" s="6" t="str">
        <f>IFERROR(__xludf.DUMMYFUNCTION("vlookup($A669,importrange(""1fyGnaViAX9kns28pvsfPvI9925sAI7kxPlM7jpuHVJM"",""Validation!A:Z""),23,0)"),"Dinesh Bhamare")</f>
        <v>Dinesh Bhamare</v>
      </c>
      <c r="G669" s="6" t="str">
        <f>IFERROR(__xludf.DUMMYFUNCTION("vlookup(A669,importrange(""1fyGnaViAX9kns28pvsfPvI9925sAI7kxPlM7jpuHVJM"",""Validation!A:Z""),22,0)"),"Cluster - Shreepad")</f>
        <v>Cluster - Shreepad</v>
      </c>
      <c r="H669" s="4" t="str">
        <f>IFERROR(__xludf.DUMMYFUNCTION("vlookup(C669,importrange(""1kw74ismGU34AsZ5x-W4x7F3Zt2xc8NSYcCVMrCJBmdQ"",""DRP for 8 products!B:C""),2,0)"),"ONIPKPOT4")</f>
        <v>ONIPKPOT4</v>
      </c>
      <c r="I669" s="7">
        <f>IFERROR(__xludf.DUMMYFUNCTION("vlookup(C669,importrange(""1kw74ismGU34AsZ5x-W4x7F3Zt2xc8NSYcCVMrCJBmdQ"",""DRP for 8 products!B:E""),4,0)"),31.0)</f>
        <v>31</v>
      </c>
      <c r="J669" s="8" t="str">
        <f t="shared" si="1"/>
        <v>Tier 3</v>
      </c>
      <c r="K669" s="9" t="str">
        <f t="shared" si="2"/>
        <v>Active</v>
      </c>
      <c r="L669" s="4" t="str">
        <f>IFERROR(__xludf.DUMMYFUNCTION("vlookup(C669,importrange(""1kw74ismGU34AsZ5x-W4x7F3Zt2xc8NSYcCVMrCJBmdQ"",""DRP for 8 products!B:H""),6,0)"),"BigQuery")</f>
        <v>BigQuery</v>
      </c>
      <c r="M669" s="10" t="str">
        <f t="shared" si="3"/>
        <v>Yes</v>
      </c>
    </row>
    <row r="670">
      <c r="A670" s="4" t="str">
        <f>IFERROR(__xludf.DUMMYFUNCTION("vlookup(C670,IMPORTRANGE(""1Kgoo8qyo6zMtf_5B03ksZz228jg0XpZ4_KXsdHQ4Vks"",""14 Sept!A:B""),2,0)"),"ONIX765")</f>
        <v>ONIX765</v>
      </c>
      <c r="B670" s="5" t="str">
        <f>IFERROR(__xludf.DUMMYFUNCTION("""COMPUTED_VALUE"""),"Charles Alvear")</f>
        <v>Charles Alvear</v>
      </c>
      <c r="C670" s="5" t="str">
        <f>IFERROR(__xludf.DUMMYFUNCTION("""COMPUTED_VALUE"""),"charles.alvear@onixnet.com")</f>
        <v>charles.alvear@onixnet.com</v>
      </c>
      <c r="D670" s="4" t="s">
        <v>11</v>
      </c>
      <c r="E670" s="6" t="str">
        <f>IFERROR(__xludf.DUMMYFUNCTION("vlookup($A670,importrange(""1fyGnaViAX9kns28pvsfPvI9925sAI7kxPlM7jpuHVJM"",""Validation!A:Z""),11,0)"),"Delivery")</f>
        <v>Delivery</v>
      </c>
      <c r="F670" s="6" t="str">
        <f>IFERROR(__xludf.DUMMYFUNCTION("vlookup($A670,importrange(""1fyGnaViAX9kns28pvsfPvI9925sAI7kxPlM7jpuHVJM"",""Validation!A:Z""),23,0)"),"Bob Cielenski")</f>
        <v>Bob Cielenski</v>
      </c>
      <c r="G670" s="6" t="str">
        <f>IFERROR(__xludf.DUMMYFUNCTION("vlookup(A670,importrange(""1fyGnaViAX9kns28pvsfPvI9925sAI7kxPlM7jpuHVJM"",""Validation!A:Z""),22,0)"),"Portfolio - Rick")</f>
        <v>Portfolio - Rick</v>
      </c>
      <c r="H670" s="4" t="str">
        <f>IFERROR(__xludf.DUMMYFUNCTION("vlookup(C670,importrange(""1kw74ismGU34AsZ5x-W4x7F3Zt2xc8NSYcCVMrCJBmdQ"",""DRP for 8 products!B:C""),2,0)"),"ONICALBT3")</f>
        <v>ONICALBT3</v>
      </c>
      <c r="I670" s="7">
        <f>IFERROR(__xludf.DUMMYFUNCTION("vlookup(C670,importrange(""1kw74ismGU34AsZ5x-W4x7F3Zt2xc8NSYcCVMrCJBmdQ"",""DRP for 8 products!B:E""),4,0)"),5.0)</f>
        <v>5</v>
      </c>
      <c r="J670" s="8" t="str">
        <f t="shared" si="1"/>
        <v>Tier 4</v>
      </c>
      <c r="K670" s="9" t="str">
        <f t="shared" si="2"/>
        <v>Active</v>
      </c>
      <c r="L670" s="4" t="str">
        <f>IFERROR(__xludf.DUMMYFUNCTION("vlookup(C670,importrange(""1kw74ismGU34AsZ5x-W4x7F3Zt2xc8NSYcCVMrCJBmdQ"",""DRP for 8 products!B:H""),6,0)"),"Looker")</f>
        <v>Looker</v>
      </c>
      <c r="M670" s="10" t="str">
        <f t="shared" si="3"/>
        <v>Yes</v>
      </c>
    </row>
    <row r="671">
      <c r="A671" s="4" t="str">
        <f>IFERROR(__xludf.DUMMYFUNCTION("vlookup(C671,IMPORTRANGE(""1Kgoo8qyo6zMtf_5B03ksZz228jg0XpZ4_KXsdHQ4Vks"",""14 Sept!A:B""),2,0)"),"DME1849")</f>
        <v>DME1849</v>
      </c>
      <c r="B671" s="5" t="str">
        <f>IFERROR(__xludf.DUMMYFUNCTION("""COMPUTED_VALUE"""),"Kishore Nagella")</f>
        <v>Kishore Nagella</v>
      </c>
      <c r="C671" s="5" t="str">
        <f>IFERROR(__xludf.DUMMYFUNCTION("""COMPUTED_VALUE"""),"kishore.nagella@onixnet.com")</f>
        <v>kishore.nagella@onixnet.com</v>
      </c>
      <c r="D671" s="4" t="s">
        <v>11</v>
      </c>
      <c r="E671" s="6" t="str">
        <f>IFERROR(__xludf.DUMMYFUNCTION("vlookup($A671,importrange(""1fyGnaViAX9kns28pvsfPvI9925sAI7kxPlM7jpuHVJM"",""Validation!A:Z""),11,0)"),"Delivery Services")</f>
        <v>Delivery Services</v>
      </c>
      <c r="F671" s="6" t="str">
        <f>IFERROR(__xludf.DUMMYFUNCTION("vlookup($A671,importrange(""1fyGnaViAX9kns28pvsfPvI9925sAI7kxPlM7jpuHVJM"",""Validation!A:Z""),23,0)"),"Deshabhotla Sravan")</f>
        <v>Deshabhotla Sravan</v>
      </c>
      <c r="G671" s="6" t="str">
        <f>IFERROR(__xludf.DUMMYFUNCTION("vlookup(A671,importrange(""1fyGnaViAX9kns28pvsfPvI9925sAI7kxPlM7jpuHVJM"",""Validation!A:Z""),22,0)"),"Cluster - Shreepad")</f>
        <v>Cluster - Shreepad</v>
      </c>
      <c r="H671" s="4" t="str">
        <f>IFERROR(__xludf.DUMMYFUNCTION("vlookup(C671,importrange(""1kw74ismGU34AsZ5x-W4x7F3Zt2xc8NSYcCVMrCJBmdQ"",""DRP for 8 products!B:C""),2,0)"),"ONIKNFBX8")</f>
        <v>ONIKNFBX8</v>
      </c>
      <c r="I671" s="7">
        <f>IFERROR(__xludf.DUMMYFUNCTION("vlookup(C671,importrange(""1kw74ismGU34AsZ5x-W4x7F3Zt2xc8NSYcCVMrCJBmdQ"",""DRP for 8 products!B:E""),4,0)"),34.0)</f>
        <v>34</v>
      </c>
      <c r="J671" s="8" t="str">
        <f t="shared" si="1"/>
        <v>Tier 3</v>
      </c>
      <c r="K671" s="9" t="str">
        <f t="shared" si="2"/>
        <v>Active</v>
      </c>
      <c r="L671" s="4" t="str">
        <f>IFERROR(__xludf.DUMMYFUNCTION("vlookup(C671,importrange(""1kw74ismGU34AsZ5x-W4x7F3Zt2xc8NSYcCVMrCJBmdQ"",""DRP for 8 products!B:H""),6,0)"),"BigQuery")</f>
        <v>BigQuery</v>
      </c>
      <c r="M671" s="10" t="str">
        <f t="shared" si="3"/>
        <v>Yes</v>
      </c>
    </row>
    <row r="672">
      <c r="A672" s="4" t="str">
        <f>IFERROR(__xludf.DUMMYFUNCTION("vlookup(C672,IMPORTRANGE(""1Kgoo8qyo6zMtf_5B03ksZz228jg0XpZ4_KXsdHQ4Vks"",""14 Sept!A:B""),2,0)"),"DME2567")</f>
        <v>DME2567</v>
      </c>
      <c r="B672" s="5" t="str">
        <f>IFERROR(__xludf.DUMMYFUNCTION("""COMPUTED_VALUE"""),"Bhargesh Mehta")</f>
        <v>Bhargesh Mehta</v>
      </c>
      <c r="C672" s="5" t="str">
        <f>IFERROR(__xludf.DUMMYFUNCTION("""COMPUTED_VALUE"""),"bhargesh.mehta@onixnet.com")</f>
        <v>bhargesh.mehta@onixnet.com</v>
      </c>
      <c r="D672" s="4" t="s">
        <v>11</v>
      </c>
      <c r="E672" s="6" t="str">
        <f>IFERROR(__xludf.DUMMYFUNCTION("vlookup($A672,importrange(""1fyGnaViAX9kns28pvsfPvI9925sAI7kxPlM7jpuHVJM"",""Validation!A:Z""),11,0)"),"Delivery Services")</f>
        <v>Delivery Services</v>
      </c>
      <c r="F672" s="6" t="str">
        <f>IFERROR(__xludf.DUMMYFUNCTION("vlookup($A672,importrange(""1fyGnaViAX9kns28pvsfPvI9925sAI7kxPlM7jpuHVJM"",""Validation!A:Z""),23,0)"),"Jitender Singh")</f>
        <v>Jitender Singh</v>
      </c>
      <c r="G672" s="6" t="str">
        <f>IFERROR(__xludf.DUMMYFUNCTION("vlookup(A672,importrange(""1fyGnaViAX9kns28pvsfPvI9925sAI7kxPlM7jpuHVJM"",""Validation!A:Z""),22,0)"),"Cluster - Shreepad")</f>
        <v>Cluster - Shreepad</v>
      </c>
      <c r="H672" s="4" t="str">
        <f>IFERROR(__xludf.DUMMYFUNCTION("vlookup(C672,importrange(""1kw74ismGU34AsZ5x-W4x7F3Zt2xc8NSYcCVMrCJBmdQ"",""DRP for 8 products!B:C""),2,0)"),"ONIBMRAI6")</f>
        <v>ONIBMRAI6</v>
      </c>
      <c r="I672" s="7">
        <f>IFERROR(__xludf.DUMMYFUNCTION("vlookup(C672,importrange(""1kw74ismGU34AsZ5x-W4x7F3Zt2xc8NSYcCVMrCJBmdQ"",""DRP for 8 products!B:E""),4,0)"),19.0)</f>
        <v>19</v>
      </c>
      <c r="J672" s="8" t="str">
        <f t="shared" si="1"/>
        <v>Tier 4</v>
      </c>
      <c r="K672" s="9" t="str">
        <f t="shared" si="2"/>
        <v>Active</v>
      </c>
      <c r="L672" s="4" t="str">
        <f>IFERROR(__xludf.DUMMYFUNCTION("vlookup(C672,importrange(""1kw74ismGU34AsZ5x-W4x7F3Zt2xc8NSYcCVMrCJBmdQ"",""DRP for 8 products!B:H""),6,0)"),"BigQuery")</f>
        <v>BigQuery</v>
      </c>
      <c r="M672" s="10" t="str">
        <f t="shared" si="3"/>
        <v>Yes</v>
      </c>
    </row>
    <row r="673">
      <c r="A673" s="4" t="str">
        <f>IFERROR(__xludf.DUMMYFUNCTION("vlookup(C673,IMPORTRANGE(""1Kgoo8qyo6zMtf_5B03ksZz228jg0XpZ4_KXsdHQ4Vks"",""14 Sept!A:B""),2,0)"),"DME2907")</f>
        <v>DME2907</v>
      </c>
      <c r="B673" s="5" t="str">
        <f>IFERROR(__xludf.DUMMYFUNCTION("""COMPUTED_VALUE"""),"Birendra Negi")</f>
        <v>Birendra Negi</v>
      </c>
      <c r="C673" s="5" t="str">
        <f>IFERROR(__xludf.DUMMYFUNCTION("""COMPUTED_VALUE"""),"birendra.negi@onixnet.com")</f>
        <v>birendra.negi@onixnet.com</v>
      </c>
      <c r="D673" s="4" t="s">
        <v>11</v>
      </c>
      <c r="E673" s="6" t="str">
        <f>IFERROR(__xludf.DUMMYFUNCTION("vlookup($A673,importrange(""1fyGnaViAX9kns28pvsfPvI9925sAI7kxPlM7jpuHVJM"",""Validation!A:Z""),11,0)"),"Delivery Services")</f>
        <v>Delivery Services</v>
      </c>
      <c r="F673" s="6" t="str">
        <f>IFERROR(__xludf.DUMMYFUNCTION("vlookup($A673,importrange(""1fyGnaViAX9kns28pvsfPvI9925sAI7kxPlM7jpuHVJM"",""Validation!A:Z""),23,0)"),"Bhupesh Chauhan")</f>
        <v>Bhupesh Chauhan</v>
      </c>
      <c r="G673" s="6" t="str">
        <f>IFERROR(__xludf.DUMMYFUNCTION("vlookup(A673,importrange(""1fyGnaViAX9kns28pvsfPvI9925sAI7kxPlM7jpuHVJM"",""Validation!A:Z""),22,0)"),"Cluster - Sachin")</f>
        <v>Cluster - Sachin</v>
      </c>
      <c r="H673" s="4" t="str">
        <f>IFERROR(__xludf.DUMMYFUNCTION("vlookup(C673,importrange(""1kw74ismGU34AsZ5x-W4x7F3Zt2xc8NSYcCVMrCJBmdQ"",""DRP for 8 products!B:C""),2,0)"),"ONIBNZER1")</f>
        <v>ONIBNZER1</v>
      </c>
      <c r="I673" s="7">
        <f>IFERROR(__xludf.DUMMYFUNCTION("vlookup(C673,importrange(""1kw74ismGU34AsZ5x-W4x7F3Zt2xc8NSYcCVMrCJBmdQ"",""DRP for 8 products!B:E""),4,0)"),44.0)</f>
        <v>44</v>
      </c>
      <c r="J673" s="8" t="str">
        <f t="shared" si="1"/>
        <v>Tier 2</v>
      </c>
      <c r="K673" s="9" t="str">
        <f t="shared" si="2"/>
        <v>Active</v>
      </c>
      <c r="L673" s="4" t="str">
        <f>IFERROR(__xludf.DUMMYFUNCTION("vlookup(C673,importrange(""1kw74ismGU34AsZ5x-W4x7F3Zt2xc8NSYcCVMrCJBmdQ"",""DRP for 8 products!B:H""),6,0)"),"BigQuery")</f>
        <v>BigQuery</v>
      </c>
      <c r="M673" s="10" t="str">
        <f t="shared" si="3"/>
        <v>Yes</v>
      </c>
    </row>
    <row r="674">
      <c r="A674" s="4" t="str">
        <f>IFERROR(__xludf.DUMMYFUNCTION("vlookup(C674,IMPORTRANGE(""1Kgoo8qyo6zMtf_5B03ksZz228jg0XpZ4_KXsdHQ4Vks"",""14 Sept!A:B""),2,0)"),"DME3051")</f>
        <v>DME3051</v>
      </c>
      <c r="B674" s="5" t="str">
        <f>IFERROR(__xludf.DUMMYFUNCTION("""COMPUTED_VALUE"""),"Shrived Kurapati")</f>
        <v>Shrived Kurapati</v>
      </c>
      <c r="C674" s="5" t="str">
        <f>IFERROR(__xludf.DUMMYFUNCTION("""COMPUTED_VALUE"""),"shrived.kurapati@onixnet.com")</f>
        <v>shrived.kurapati@onixnet.com</v>
      </c>
      <c r="D674" s="4" t="s">
        <v>11</v>
      </c>
      <c r="E674" s="6" t="str">
        <f>IFERROR(__xludf.DUMMYFUNCTION("vlookup($A674,importrange(""1fyGnaViAX9kns28pvsfPvI9925sAI7kxPlM7jpuHVJM"",""Validation!A:Z""),11,0)"),"Product Engineering")</f>
        <v>Product Engineering</v>
      </c>
      <c r="F674" s="6" t="str">
        <f>IFERROR(__xludf.DUMMYFUNCTION("vlookup($A674,importrange(""1fyGnaViAX9kns28pvsfPvI9925sAI7kxPlM7jpuHVJM"",""Validation!A:Z""),23,0)"),"Sachin Sakle")</f>
        <v>Sachin Sakle</v>
      </c>
      <c r="G674" s="6" t="str">
        <f>IFERROR(__xludf.DUMMYFUNCTION("vlookup(A674,importrange(""1fyGnaViAX9kns28pvsfPvI9925sAI7kxPlM7jpuHVJM"",""Validation!A:Z""),22,0)"),"Cluster - Mayur")</f>
        <v>Cluster - Mayur</v>
      </c>
      <c r="H674" s="4" t="str">
        <f>IFERROR(__xludf.DUMMYFUNCTION("vlookup(C674,importrange(""1kw74ismGU34AsZ5x-W4x7F3Zt2xc8NSYcCVMrCJBmdQ"",""DRP for 8 products!B:C""),2,0)"),"ONISKGVE4")</f>
        <v>ONISKGVE4</v>
      </c>
      <c r="I674" s="7">
        <f>IFERROR(__xludf.DUMMYFUNCTION("vlookup(C674,importrange(""1kw74ismGU34AsZ5x-W4x7F3Zt2xc8NSYcCVMrCJBmdQ"",""DRP for 8 products!B:E""),4,0)"),10.0)</f>
        <v>10</v>
      </c>
      <c r="J674" s="8" t="str">
        <f t="shared" si="1"/>
        <v>Tier 4</v>
      </c>
      <c r="K674" s="9" t="str">
        <f t="shared" si="2"/>
        <v>Active</v>
      </c>
      <c r="L674" s="4" t="str">
        <f>IFERROR(__xludf.DUMMYFUNCTION("vlookup(C674,importrange(""1kw74ismGU34AsZ5x-W4x7F3Zt2xc8NSYcCVMrCJBmdQ"",""DRP for 8 products!B:H""),6,0)"),"BigQuery")</f>
        <v>BigQuery</v>
      </c>
      <c r="M674" s="10" t="str">
        <f t="shared" si="3"/>
        <v>Yes</v>
      </c>
    </row>
    <row r="675">
      <c r="A675" s="4" t="str">
        <f>IFERROR(__xludf.DUMMYFUNCTION("vlookup(C675,IMPORTRANGE(""1Kgoo8qyo6zMtf_5B03ksZz228jg0XpZ4_KXsdHQ4Vks"",""14 Sept!A:B""),2,0)"),"DME3149")</f>
        <v>DME3149</v>
      </c>
      <c r="B675" s="5" t="str">
        <f>IFERROR(__xludf.DUMMYFUNCTION("""COMPUTED_VALUE"""),"Chirag Patil")</f>
        <v>Chirag Patil</v>
      </c>
      <c r="C675" s="5" t="str">
        <f>IFERROR(__xludf.DUMMYFUNCTION("""COMPUTED_VALUE"""),"chirag.patil@onixnet.com")</f>
        <v>chirag.patil@onixnet.com</v>
      </c>
      <c r="D675" s="4" t="s">
        <v>11</v>
      </c>
      <c r="E675" s="6" t="str">
        <f>IFERROR(__xludf.DUMMYFUNCTION("vlookup($A675,importrange(""1fyGnaViAX9kns28pvsfPvI9925sAI7kxPlM7jpuHVJM"",""Validation!A:Z""),11,0)"),"Delivery Services")</f>
        <v>Delivery Services</v>
      </c>
      <c r="F675" s="6" t="str">
        <f>IFERROR(__xludf.DUMMYFUNCTION("vlookup($A675,importrange(""1fyGnaViAX9kns28pvsfPvI9925sAI7kxPlM7jpuHVJM"",""Validation!A:Z""),23,0)"),"Lanyo Francis")</f>
        <v>Lanyo Francis</v>
      </c>
      <c r="G675" s="6" t="str">
        <f>IFERROR(__xludf.DUMMYFUNCTION("vlookup(A675,importrange(""1fyGnaViAX9kns28pvsfPvI9925sAI7kxPlM7jpuHVJM"",""Validation!A:Z""),22,0)"),"Cluster - Devayani")</f>
        <v>Cluster - Devayani</v>
      </c>
      <c r="H675" s="4" t="str">
        <f>IFERROR(__xludf.DUMMYFUNCTION("vlookup(C675,importrange(""1kw74ismGU34AsZ5x-W4x7F3Zt2xc8NSYcCVMrCJBmdQ"",""DRP for 8 products!B:C""),2,0)"),"ONICPEQB2")</f>
        <v>ONICPEQB2</v>
      </c>
      <c r="I675" s="7">
        <f>IFERROR(__xludf.DUMMYFUNCTION("vlookup(C675,importrange(""1kw74ismGU34AsZ5x-W4x7F3Zt2xc8NSYcCVMrCJBmdQ"",""DRP for 8 products!B:E""),4,0)"),10.0)</f>
        <v>10</v>
      </c>
      <c r="J675" s="8" t="str">
        <f t="shared" si="1"/>
        <v>Tier 4</v>
      </c>
      <c r="K675" s="9" t="str">
        <f t="shared" si="2"/>
        <v>Active</v>
      </c>
      <c r="L675" s="4" t="str">
        <f>IFERROR(__xludf.DUMMYFUNCTION("vlookup(C675,importrange(""1kw74ismGU34AsZ5x-W4x7F3Zt2xc8NSYcCVMrCJBmdQ"",""DRP for 8 products!B:H""),6,0)"),"BigQuery")</f>
        <v>BigQuery</v>
      </c>
      <c r="M675" s="10" t="str">
        <f t="shared" si="3"/>
        <v>Yes</v>
      </c>
    </row>
    <row r="676">
      <c r="A676" s="4" t="str">
        <f>IFERROR(__xludf.DUMMYFUNCTION("vlookup(C676,IMPORTRANGE(""1Kgoo8qyo6zMtf_5B03ksZz228jg0XpZ4_KXsdHQ4Vks"",""14 Sept!A:B""),2,0)"),"DME3152")</f>
        <v>DME3152</v>
      </c>
      <c r="B676" s="5" t="str">
        <f>IFERROR(__xludf.DUMMYFUNCTION("""COMPUTED_VALUE"""),"Amol Shinde")</f>
        <v>Amol Shinde</v>
      </c>
      <c r="C676" s="5" t="str">
        <f>IFERROR(__xludf.DUMMYFUNCTION("""COMPUTED_VALUE"""),"amol.shinde@onixnet.com")</f>
        <v>amol.shinde@onixnet.com</v>
      </c>
      <c r="D676" s="4" t="s">
        <v>11</v>
      </c>
      <c r="E676" s="6" t="str">
        <f>IFERROR(__xludf.DUMMYFUNCTION("vlookup($A676,importrange(""1fyGnaViAX9kns28pvsfPvI9925sAI7kxPlM7jpuHVJM"",""Validation!A:Z""),11,0)"),"Delivery Services")</f>
        <v>Delivery Services</v>
      </c>
      <c r="F676" s="6" t="str">
        <f>IFERROR(__xludf.DUMMYFUNCTION("vlookup($A676,importrange(""1fyGnaViAX9kns28pvsfPvI9925sAI7kxPlM7jpuHVJM"",""Validation!A:Z""),23,0)"),"Manoj Patil")</f>
        <v>Manoj Patil</v>
      </c>
      <c r="G676" s="6" t="str">
        <f>IFERROR(__xludf.DUMMYFUNCTION("vlookup(A676,importrange(""1fyGnaViAX9kns28pvsfPvI9925sAI7kxPlM7jpuHVJM"",""Validation!A:Z""),22,0)"),"Cluster - Shreepad")</f>
        <v>Cluster - Shreepad</v>
      </c>
      <c r="H676" s="4" t="str">
        <f>IFERROR(__xludf.DUMMYFUNCTION("vlookup(C676,importrange(""1kw74ismGU34AsZ5x-W4x7F3Zt2xc8NSYcCVMrCJBmdQ"",""DRP for 8 products!B:C""),2,0)"),"ONIASIXY3")</f>
        <v>ONIASIXY3</v>
      </c>
      <c r="I676" s="7">
        <f>IFERROR(__xludf.DUMMYFUNCTION("vlookup(C676,importrange(""1kw74ismGU34AsZ5x-W4x7F3Zt2xc8NSYcCVMrCJBmdQ"",""DRP for 8 products!B:E""),4,0)"),14.0)</f>
        <v>14</v>
      </c>
      <c r="J676" s="8" t="str">
        <f t="shared" si="1"/>
        <v>Tier 4</v>
      </c>
      <c r="K676" s="9" t="str">
        <f t="shared" si="2"/>
        <v>Active</v>
      </c>
      <c r="L676" s="4" t="str">
        <f>IFERROR(__xludf.DUMMYFUNCTION("vlookup(C676,importrange(""1kw74ismGU34AsZ5x-W4x7F3Zt2xc8NSYcCVMrCJBmdQ"",""DRP for 8 products!B:H""),6,0)"),"Cloud SQL")</f>
        <v>Cloud SQL</v>
      </c>
      <c r="M676" s="10" t="str">
        <f t="shared" si="3"/>
        <v>Yes</v>
      </c>
    </row>
    <row r="677">
      <c r="A677" s="4" t="str">
        <f>IFERROR(__xludf.DUMMYFUNCTION("vlookup(C677,IMPORTRANGE(""1Kgoo8qyo6zMtf_5B03ksZz228jg0XpZ4_KXsdHQ4Vks"",""14 Sept!A:B""),2,0)"),"DME3257")</f>
        <v>DME3257</v>
      </c>
      <c r="B677" s="5" t="str">
        <f>IFERROR(__xludf.DUMMYFUNCTION("""COMPUTED_VALUE"""),"Rucha Kulkarni")</f>
        <v>Rucha Kulkarni</v>
      </c>
      <c r="C677" s="5" t="str">
        <f>IFERROR(__xludf.DUMMYFUNCTION("""COMPUTED_VALUE"""),"rucha.kulkarni@onixnet.com")</f>
        <v>rucha.kulkarni@onixnet.com</v>
      </c>
      <c r="D677" s="4" t="s">
        <v>11</v>
      </c>
      <c r="E677" s="6" t="str">
        <f>IFERROR(__xludf.DUMMYFUNCTION("vlookup($A677,importrange(""1fyGnaViAX9kns28pvsfPvI9925sAI7kxPlM7jpuHVJM"",""Validation!A:Z""),11,0)"),"Delivery Services")</f>
        <v>Delivery Services</v>
      </c>
      <c r="F677" s="6" t="str">
        <f>IFERROR(__xludf.DUMMYFUNCTION("vlookup($A677,importrange(""1fyGnaViAX9kns28pvsfPvI9925sAI7kxPlM7jpuHVJM"",""Validation!A:Z""),23,0)"),"Rashid Anwar")</f>
        <v>Rashid Anwar</v>
      </c>
      <c r="G677" s="6" t="str">
        <f>IFERROR(__xludf.DUMMYFUNCTION("vlookup(A677,importrange(""1fyGnaViAX9kns28pvsfPvI9925sAI7kxPlM7jpuHVJM"",""Validation!A:Z""),22,0)"),"Cluster - Sagar")</f>
        <v>Cluster - Sagar</v>
      </c>
      <c r="H677" s="4" t="str">
        <f>IFERROR(__xludf.DUMMYFUNCTION("vlookup(C677,importrange(""1kw74ismGU34AsZ5x-W4x7F3Zt2xc8NSYcCVMrCJBmdQ"",""DRP for 8 products!B:C""),2,0)"),"ONIRKAYU6")</f>
        <v>ONIRKAYU6</v>
      </c>
      <c r="I677" s="7">
        <f>IFERROR(__xludf.DUMMYFUNCTION("vlookup(C677,importrange(""1kw74ismGU34AsZ5x-W4x7F3Zt2xc8NSYcCVMrCJBmdQ"",""DRP for 8 products!B:E""),4,0)"),16.0)</f>
        <v>16</v>
      </c>
      <c r="J677" s="8" t="str">
        <f t="shared" si="1"/>
        <v>Tier 4</v>
      </c>
      <c r="K677" s="9" t="str">
        <f t="shared" si="2"/>
        <v>Active</v>
      </c>
      <c r="L677" s="4" t="str">
        <f>IFERROR(__xludf.DUMMYFUNCTION("vlookup(C677,importrange(""1kw74ismGU34AsZ5x-W4x7F3Zt2xc8NSYcCVMrCJBmdQ"",""DRP for 8 products!B:H""),6,0)"),"BigQuery")</f>
        <v>BigQuery</v>
      </c>
      <c r="M677" s="10" t="str">
        <f t="shared" si="3"/>
        <v>Yes</v>
      </c>
    </row>
    <row r="678">
      <c r="A678" s="4" t="str">
        <f>IFERROR(__xludf.DUMMYFUNCTION("vlookup(C678,IMPORTRANGE(""1Kgoo8qyo6zMtf_5B03ksZz228jg0XpZ4_KXsdHQ4Vks"",""14 Sept!A:B""),2,0)"),"DME2716")</f>
        <v>DME2716</v>
      </c>
      <c r="B678" s="5" t="str">
        <f>IFERROR(__xludf.DUMMYFUNCTION("""COMPUTED_VALUE"""),"Niraj Kacholia")</f>
        <v>Niraj Kacholia</v>
      </c>
      <c r="C678" s="5" t="str">
        <f>IFERROR(__xludf.DUMMYFUNCTION("""COMPUTED_VALUE"""),"niraj.kacholia@onixnet.com")</f>
        <v>niraj.kacholia@onixnet.com</v>
      </c>
      <c r="D678" s="4" t="s">
        <v>11</v>
      </c>
      <c r="E678" s="6" t="str">
        <f>IFERROR(__xludf.DUMMYFUNCTION("vlookup($A678,importrange(""1fyGnaViAX9kns28pvsfPvI9925sAI7kxPlM7jpuHVJM"",""Validation!A:Z""),11,0)"),"Delivery Services")</f>
        <v>Delivery Services</v>
      </c>
      <c r="F678" s="6" t="str">
        <f>IFERROR(__xludf.DUMMYFUNCTION("vlookup($A678,importrange(""1fyGnaViAX9kns28pvsfPvI9925sAI7kxPlM7jpuHVJM"",""Validation!A:Z""),23,0)"),"Mayuresh Kedari")</f>
        <v>Mayuresh Kedari</v>
      </c>
      <c r="G678" s="6" t="str">
        <f>IFERROR(__xludf.DUMMYFUNCTION("vlookup(A678,importrange(""1fyGnaViAX9kns28pvsfPvI9925sAI7kxPlM7jpuHVJM"",""Validation!A:Z""),22,0)"),"Cluster - Gaurav")</f>
        <v>Cluster - Gaurav</v>
      </c>
      <c r="H678" s="4" t="str">
        <f>IFERROR(__xludf.DUMMYFUNCTION("vlookup(C678,importrange(""1kw74ismGU34AsZ5x-W4x7F3Zt2xc8NSYcCVMrCJBmdQ"",""DRP for 8 products!B:C""),2,0)"),"ONINKEDR6")</f>
        <v>ONINKEDR6</v>
      </c>
      <c r="I678" s="7">
        <f>IFERROR(__xludf.DUMMYFUNCTION("vlookup(C678,importrange(""1kw74ismGU34AsZ5x-W4x7F3Zt2xc8NSYcCVMrCJBmdQ"",""DRP for 8 products!B:E""),4,0)"),62.0)</f>
        <v>62</v>
      </c>
      <c r="J678" s="8" t="str">
        <f t="shared" si="1"/>
        <v>Tier 1</v>
      </c>
      <c r="K678" s="9" t="str">
        <f t="shared" si="2"/>
        <v>Active</v>
      </c>
      <c r="L678" s="4" t="str">
        <f>IFERROR(__xludf.DUMMYFUNCTION("vlookup(C678,importrange(""1kw74ismGU34AsZ5x-W4x7F3Zt2xc8NSYcCVMrCJBmdQ"",""DRP for 8 products!B:H""),6,0)"),"BigQuery")</f>
        <v>BigQuery</v>
      </c>
      <c r="M678" s="10" t="str">
        <f t="shared" si="3"/>
        <v>Yes</v>
      </c>
    </row>
    <row r="679">
      <c r="A679" s="4" t="str">
        <f>IFERROR(__xludf.DUMMYFUNCTION("vlookup(C679,IMPORTRANGE(""1Kgoo8qyo6zMtf_5B03ksZz228jg0XpZ4_KXsdHQ4Vks"",""14 Sept!A:B""),2,0)"),"DME3281")</f>
        <v>DME3281</v>
      </c>
      <c r="B679" s="5" t="str">
        <f>IFERROR(__xludf.DUMMYFUNCTION("""COMPUTED_VALUE"""),"Devayani Pillai")</f>
        <v>Devayani Pillai</v>
      </c>
      <c r="C679" s="5" t="str">
        <f>IFERROR(__xludf.DUMMYFUNCTION("""COMPUTED_VALUE"""),"devayani.pillai@onixnet.com")</f>
        <v>devayani.pillai@onixnet.com</v>
      </c>
      <c r="D679" s="4" t="s">
        <v>11</v>
      </c>
      <c r="E679" s="6" t="str">
        <f>IFERROR(__xludf.DUMMYFUNCTION("vlookup($A679,importrange(""1fyGnaViAX9kns28pvsfPvI9925sAI7kxPlM7jpuHVJM"",""Validation!A:Z""),11,0)"),"Delivery Services")</f>
        <v>Delivery Services</v>
      </c>
      <c r="F679" s="6" t="str">
        <f>IFERROR(__xludf.DUMMYFUNCTION("vlookup($A679,importrange(""1fyGnaViAX9kns28pvsfPvI9925sAI7kxPlM7jpuHVJM"",""Validation!A:Z""),23,0)"),"Gaurav Bharara")</f>
        <v>Gaurav Bharara</v>
      </c>
      <c r="G679" s="6" t="str">
        <f>IFERROR(__xludf.DUMMYFUNCTION("vlookup(A679,importrange(""1fyGnaViAX9kns28pvsfPvI9925sAI7kxPlM7jpuHVJM"",""Validation!A:Z""),22,0)"),"Cluster - Devayani")</f>
        <v>Cluster - Devayani</v>
      </c>
      <c r="H679" s="4" t="str">
        <f>IFERROR(__xludf.DUMMYFUNCTION("vlookup(C679,importrange(""1kw74ismGU34AsZ5x-W4x7F3Zt2xc8NSYcCVMrCJBmdQ"",""DRP for 8 products!B:C""),2,0)"),"ONIDPGEU1")</f>
        <v>ONIDPGEU1</v>
      </c>
      <c r="I679" s="7">
        <f>IFERROR(__xludf.DUMMYFUNCTION("vlookup(C679,importrange(""1kw74ismGU34AsZ5x-W4x7F3Zt2xc8NSYcCVMrCJBmdQ"",""DRP for 8 products!B:E""),4,0)"),14.0)</f>
        <v>14</v>
      </c>
      <c r="J679" s="8" t="str">
        <f t="shared" si="1"/>
        <v>Tier 4</v>
      </c>
      <c r="K679" s="9" t="str">
        <f t="shared" si="2"/>
        <v>Active</v>
      </c>
      <c r="L679" s="4" t="str">
        <f>IFERROR(__xludf.DUMMYFUNCTION("vlookup(C679,importrange(""1kw74ismGU34AsZ5x-W4x7F3Zt2xc8NSYcCVMrCJBmdQ"",""DRP for 8 products!B:H""),6,0)"),"BigQuery")</f>
        <v>BigQuery</v>
      </c>
      <c r="M679" s="10" t="str">
        <f t="shared" si="3"/>
        <v>Yes</v>
      </c>
    </row>
    <row r="680">
      <c r="A680" s="4" t="str">
        <f>IFERROR(__xludf.DUMMYFUNCTION("vlookup(C680,IMPORTRANGE(""1Kgoo8qyo6zMtf_5B03ksZz228jg0XpZ4_KXsdHQ4Vks"",""14 Sept!A:B""),2,0)"),"DMC1055")</f>
        <v>DMC1055</v>
      </c>
      <c r="B680" s="5" t="str">
        <f>IFERROR(__xludf.DUMMYFUNCTION("""COMPUTED_VALUE"""),"MEENAKSHI TRIPATHI")</f>
        <v>MEENAKSHI TRIPATHI</v>
      </c>
      <c r="C680" s="5" t="str">
        <f>IFERROR(__xludf.DUMMYFUNCTION("""COMPUTED_VALUE"""),"meenakshi.tripathi@onixnet.com")</f>
        <v>meenakshi.tripathi@onixnet.com</v>
      </c>
      <c r="D680" s="4" t="s">
        <v>11</v>
      </c>
      <c r="E680" s="6" t="str">
        <f>IFERROR(__xludf.DUMMYFUNCTION("vlookup($A680,importrange(""1fyGnaViAX9kns28pvsfPvI9925sAI7kxPlM7jpuHVJM"",""Validation!A:Z""),11,0)"),"Delivery Services")</f>
        <v>Delivery Services</v>
      </c>
      <c r="F680" s="6" t="str">
        <f>IFERROR(__xludf.DUMMYFUNCTION("vlookup($A680,importrange(""1fyGnaViAX9kns28pvsfPvI9925sAI7kxPlM7jpuHVJM"",""Validation!A:Z""),23,0)"),"Mayur Kasar")</f>
        <v>Mayur Kasar</v>
      </c>
      <c r="G680" s="6" t="str">
        <f>IFERROR(__xludf.DUMMYFUNCTION("vlookup(A680,importrange(""1fyGnaViAX9kns28pvsfPvI9925sAI7kxPlM7jpuHVJM"",""Validation!A:Z""),22,0)"),"Cluster - Varun")</f>
        <v>Cluster - Varun</v>
      </c>
      <c r="H680" s="4" t="str">
        <f>IFERROR(__xludf.DUMMYFUNCTION("vlookup(C680,importrange(""1kw74ismGU34AsZ5x-W4x7F3Zt2xc8NSYcCVMrCJBmdQ"",""DRP for 8 products!B:C""),2,0)"),"ONIMTKTH1")</f>
        <v>ONIMTKTH1</v>
      </c>
      <c r="I680" s="7">
        <f>IFERROR(__xludf.DUMMYFUNCTION("vlookup(C680,importrange(""1kw74ismGU34AsZ5x-W4x7F3Zt2xc8NSYcCVMrCJBmdQ"",""DRP for 8 products!B:E""),4,0)"),5.0)</f>
        <v>5</v>
      </c>
      <c r="J680" s="8" t="str">
        <f t="shared" si="1"/>
        <v>Tier 4</v>
      </c>
      <c r="K680" s="9" t="str">
        <f t="shared" si="2"/>
        <v>Active</v>
      </c>
      <c r="L680" s="4" t="str">
        <f>IFERROR(__xludf.DUMMYFUNCTION("vlookup(C680,importrange(""1kw74ismGU34AsZ5x-W4x7F3Zt2xc8NSYcCVMrCJBmdQ"",""DRP for 8 products!B:H""),6,0)"),"Cloud SQL")</f>
        <v>Cloud SQL</v>
      </c>
      <c r="M680" s="10" t="str">
        <f t="shared" si="3"/>
        <v>Yes</v>
      </c>
    </row>
    <row r="681">
      <c r="A681" s="4" t="str">
        <f>IFERROR(__xludf.DUMMYFUNCTION("vlookup(C681,IMPORTRANGE(""1Kgoo8qyo6zMtf_5B03ksZz228jg0XpZ4_KXsdHQ4Vks"",""14 Sept!A:B""),2,0)"),"DME2965")</f>
        <v>DME2965</v>
      </c>
      <c r="B681" s="5" t="str">
        <f>IFERROR(__xludf.DUMMYFUNCTION("""COMPUTED_VALUE"""),"Vaishnavi Gundgire")</f>
        <v>Vaishnavi Gundgire</v>
      </c>
      <c r="C681" s="5" t="str">
        <f>IFERROR(__xludf.DUMMYFUNCTION("""COMPUTED_VALUE"""),"vaishnavi.gundgire@onixnet.com")</f>
        <v>vaishnavi.gundgire@onixnet.com</v>
      </c>
      <c r="D681" s="4" t="s">
        <v>11</v>
      </c>
      <c r="E681" s="6" t="str">
        <f>IFERROR(__xludf.DUMMYFUNCTION("vlookup($A681,importrange(""1fyGnaViAX9kns28pvsfPvI9925sAI7kxPlM7jpuHVJM"",""Validation!A:Z""),11,0)"),"Delivery Services")</f>
        <v>Delivery Services</v>
      </c>
      <c r="F681" s="6" t="str">
        <f>IFERROR(__xludf.DUMMYFUNCTION("vlookup($A681,importrange(""1fyGnaViAX9kns28pvsfPvI9925sAI7kxPlM7jpuHVJM"",""Validation!A:Z""),23,0)"),"Punam S Paliwal")</f>
        <v>Punam S Paliwal</v>
      </c>
      <c r="G681" s="6" t="str">
        <f>IFERROR(__xludf.DUMMYFUNCTION("vlookup(A681,importrange(""1fyGnaViAX9kns28pvsfPvI9925sAI7kxPlM7jpuHVJM"",""Validation!A:Z""),22,0)"),"Cluster - Sagar")</f>
        <v>Cluster - Sagar</v>
      </c>
      <c r="H681" s="4" t="str">
        <f>IFERROR(__xludf.DUMMYFUNCTION("vlookup(C681,importrange(""1kw74ismGU34AsZ5x-W4x7F3Zt2xc8NSYcCVMrCJBmdQ"",""DRP for 8 products!B:C""),2,0)"),"ONIVGZPY0")</f>
        <v>ONIVGZPY0</v>
      </c>
      <c r="I681" s="7">
        <f>IFERROR(__xludf.DUMMYFUNCTION("vlookup(C681,importrange(""1kw74ismGU34AsZ5x-W4x7F3Zt2xc8NSYcCVMrCJBmdQ"",""DRP for 8 products!B:E""),4,0)"),21.0)</f>
        <v>21</v>
      </c>
      <c r="J681" s="8" t="str">
        <f t="shared" si="1"/>
        <v>Tier 3</v>
      </c>
      <c r="K681" s="9" t="str">
        <f t="shared" si="2"/>
        <v>Active</v>
      </c>
      <c r="L681" s="4" t="str">
        <f>IFERROR(__xludf.DUMMYFUNCTION("vlookup(C681,importrange(""1kw74ismGU34AsZ5x-W4x7F3Zt2xc8NSYcCVMrCJBmdQ"",""DRP for 8 products!B:H""),6,0)"),"BigQuery")</f>
        <v>BigQuery</v>
      </c>
      <c r="M681" s="10" t="str">
        <f t="shared" si="3"/>
        <v>Yes</v>
      </c>
    </row>
    <row r="682">
      <c r="A682" s="4" t="str">
        <f>IFERROR(__xludf.DUMMYFUNCTION("vlookup(C682,IMPORTRANGE(""1Kgoo8qyo6zMtf_5B03ksZz228jg0XpZ4_KXsdHQ4Vks"",""14 Sept!A:B""),2,0)"),"DME3365")</f>
        <v>DME3365</v>
      </c>
      <c r="B682" s="5" t="str">
        <f>IFERROR(__xludf.DUMMYFUNCTION("""COMPUTED_VALUE"""),"Atharva Pedgulwar")</f>
        <v>Atharva Pedgulwar</v>
      </c>
      <c r="C682" s="5" t="str">
        <f>IFERROR(__xludf.DUMMYFUNCTION("""COMPUTED_VALUE"""),"atharva.pedgulwar@onixnet.com")</f>
        <v>atharva.pedgulwar@onixnet.com</v>
      </c>
      <c r="D682" s="4" t="s">
        <v>11</v>
      </c>
      <c r="E682" s="6" t="str">
        <f>IFERROR(__xludf.DUMMYFUNCTION("vlookup($A682,importrange(""1fyGnaViAX9kns28pvsfPvI9925sAI7kxPlM7jpuHVJM"",""Validation!A:Z""),11,0)"),"Delivery Services")</f>
        <v>Delivery Services</v>
      </c>
      <c r="F682" s="6" t="str">
        <f>IFERROR(__xludf.DUMMYFUNCTION("vlookup($A682,importrange(""1fyGnaViAX9kns28pvsfPvI9925sAI7kxPlM7jpuHVJM"",""Validation!A:Z""),23,0)"),"Chetana Hande")</f>
        <v>Chetana Hande</v>
      </c>
      <c r="G682" s="6" t="str">
        <f>IFERROR(__xludf.DUMMYFUNCTION("vlookup(A682,importrange(""1fyGnaViAX9kns28pvsfPvI9925sAI7kxPlM7jpuHVJM"",""Validation!A:Z""),22,0)"),"Cluster - Sagar")</f>
        <v>Cluster - Sagar</v>
      </c>
      <c r="H682" s="4" t="str">
        <f>IFERROR(__xludf.DUMMYFUNCTION("vlookup(C682,importrange(""1kw74ismGU34AsZ5x-W4x7F3Zt2xc8NSYcCVMrCJBmdQ"",""DRP for 8 products!B:C""),2,0)"),"ONIAPTJC0")</f>
        <v>ONIAPTJC0</v>
      </c>
      <c r="I682" s="7">
        <f>IFERROR(__xludf.DUMMYFUNCTION("vlookup(C682,importrange(""1kw74ismGU34AsZ5x-W4x7F3Zt2xc8NSYcCVMrCJBmdQ"",""DRP for 8 products!B:E""),4,0)"),11.0)</f>
        <v>11</v>
      </c>
      <c r="J682" s="8" t="str">
        <f t="shared" si="1"/>
        <v>Tier 4</v>
      </c>
      <c r="K682" s="9" t="str">
        <f t="shared" si="2"/>
        <v>Active</v>
      </c>
      <c r="L682" s="4" t="str">
        <f>IFERROR(__xludf.DUMMYFUNCTION("vlookup(C682,importrange(""1kw74ismGU34AsZ5x-W4x7F3Zt2xc8NSYcCVMrCJBmdQ"",""DRP for 8 products!B:H""),6,0)"),"BigQuery")</f>
        <v>BigQuery</v>
      </c>
      <c r="M682" s="10" t="str">
        <f t="shared" si="3"/>
        <v>Yes</v>
      </c>
    </row>
    <row r="683">
      <c r="A683" s="4" t="str">
        <f>IFERROR(__xludf.DUMMYFUNCTION("vlookup(C683,IMPORTRANGE(""1Kgoo8qyo6zMtf_5B03ksZz228jg0XpZ4_KXsdHQ4Vks"",""14 Sept!A:B""),2,0)"),"DME2451")</f>
        <v>DME2451</v>
      </c>
      <c r="B683" s="5" t="str">
        <f>IFERROR(__xludf.DUMMYFUNCTION("""COMPUTED_VALUE"""),"Omkar Shivarkar")</f>
        <v>Omkar Shivarkar</v>
      </c>
      <c r="C683" s="5" t="str">
        <f>IFERROR(__xludf.DUMMYFUNCTION("""COMPUTED_VALUE"""),"omkar.shivarkar@onixnet.com")</f>
        <v>omkar.shivarkar@onixnet.com</v>
      </c>
      <c r="D683" s="4" t="s">
        <v>11</v>
      </c>
      <c r="E683" s="6" t="str">
        <f>IFERROR(__xludf.DUMMYFUNCTION("vlookup($A683,importrange(""1fyGnaViAX9kns28pvsfPvI9925sAI7kxPlM7jpuHVJM"",""Validation!A:Z""),11,0)"),"Delivery Services")</f>
        <v>Delivery Services</v>
      </c>
      <c r="F683" s="6" t="str">
        <f>IFERROR(__xludf.DUMMYFUNCTION("vlookup($A683,importrange(""1fyGnaViAX9kns28pvsfPvI9925sAI7kxPlM7jpuHVJM"",""Validation!A:Z""),23,0)"),"Shreyas Meshram")</f>
        <v>Shreyas Meshram</v>
      </c>
      <c r="G683" s="6" t="str">
        <f>IFERROR(__xludf.DUMMYFUNCTION("vlookup(A683,importrange(""1fyGnaViAX9kns28pvsfPvI9925sAI7kxPlM7jpuHVJM"",""Validation!A:Z""),22,0)"),"Cluster - Gaurav")</f>
        <v>Cluster - Gaurav</v>
      </c>
      <c r="H683" s="4" t="str">
        <f>IFERROR(__xludf.DUMMYFUNCTION("vlookup(C683,importrange(""1kw74ismGU34AsZ5x-W4x7F3Zt2xc8NSYcCVMrCJBmdQ"",""DRP for 8 products!B:C""),2,0)"),"ONIOSHKR0")</f>
        <v>ONIOSHKR0</v>
      </c>
      <c r="I683" s="7">
        <f>IFERROR(__xludf.DUMMYFUNCTION("vlookup(C683,importrange(""1kw74ismGU34AsZ5x-W4x7F3Zt2xc8NSYcCVMrCJBmdQ"",""DRP for 8 products!B:E""),4,0)"),7.0)</f>
        <v>7</v>
      </c>
      <c r="J683" s="8" t="str">
        <f t="shared" si="1"/>
        <v>Tier 4</v>
      </c>
      <c r="K683" s="9" t="str">
        <f t="shared" si="2"/>
        <v>Active</v>
      </c>
      <c r="L683" s="4" t="str">
        <f>IFERROR(__xludf.DUMMYFUNCTION("vlookup(C683,importrange(""1kw74ismGU34AsZ5x-W4x7F3Zt2xc8NSYcCVMrCJBmdQ"",""DRP for 8 products!B:H""),6,0)"),"BigQuery")</f>
        <v>BigQuery</v>
      </c>
      <c r="M683" s="10" t="str">
        <f t="shared" si="3"/>
        <v>Yes</v>
      </c>
    </row>
    <row r="684">
      <c r="A684" s="4" t="str">
        <f>IFERROR(__xludf.DUMMYFUNCTION("vlookup(C684,IMPORTRANGE(""1Kgoo8qyo6zMtf_5B03ksZz228jg0XpZ4_KXsdHQ4Vks"",""14 Sept!A:B""),2,0)"),"DME3282")</f>
        <v>DME3282</v>
      </c>
      <c r="B684" s="5" t="str">
        <f>IFERROR(__xludf.DUMMYFUNCTION("""COMPUTED_VALUE"""),"Aishwarya Pinna")</f>
        <v>Aishwarya Pinna</v>
      </c>
      <c r="C684" s="5" t="str">
        <f>IFERROR(__xludf.DUMMYFUNCTION("""COMPUTED_VALUE"""),"aishwarya.pinna@onixnet.com")</f>
        <v>aishwarya.pinna@onixnet.com</v>
      </c>
      <c r="D684" s="4" t="s">
        <v>11</v>
      </c>
      <c r="E684" s="6" t="str">
        <f>IFERROR(__xludf.DUMMYFUNCTION("vlookup($A684,importrange(""1fyGnaViAX9kns28pvsfPvI9925sAI7kxPlM7jpuHVJM"",""Validation!A:Z""),11,0)"),"Delivery Services")</f>
        <v>Delivery Services</v>
      </c>
      <c r="F684" s="6" t="str">
        <f>IFERROR(__xludf.DUMMYFUNCTION("vlookup($A684,importrange(""1fyGnaViAX9kns28pvsfPvI9925sAI7kxPlM7jpuHVJM"",""Validation!A:Z""),23,0)"),"Vedant Bhogawade")</f>
        <v>Vedant Bhogawade</v>
      </c>
      <c r="G684" s="6" t="str">
        <f>IFERROR(__xludf.DUMMYFUNCTION("vlookup(A684,importrange(""1fyGnaViAX9kns28pvsfPvI9925sAI7kxPlM7jpuHVJM"",""Validation!A:Z""),22,0)"),"Cluster - Varun")</f>
        <v>Cluster - Varun</v>
      </c>
      <c r="H684" s="4" t="str">
        <f>IFERROR(__xludf.DUMMYFUNCTION("vlookup(C684,importrange(""1kw74ismGU34AsZ5x-W4x7F3Zt2xc8NSYcCVMrCJBmdQ"",""DRP for 8 products!B:C""),2,0)"),"ONIAPWEP8")</f>
        <v>ONIAPWEP8</v>
      </c>
      <c r="I684" s="7">
        <f>IFERROR(__xludf.DUMMYFUNCTION("vlookup(C684,importrange(""1kw74ismGU34AsZ5x-W4x7F3Zt2xc8NSYcCVMrCJBmdQ"",""DRP for 8 products!B:E""),4,0)"),14.0)</f>
        <v>14</v>
      </c>
      <c r="J684" s="8" t="str">
        <f t="shared" si="1"/>
        <v>Tier 4</v>
      </c>
      <c r="K684" s="9" t="str">
        <f t="shared" si="2"/>
        <v>Active</v>
      </c>
      <c r="L684" s="4" t="str">
        <f>IFERROR(__xludf.DUMMYFUNCTION("vlookup(C684,importrange(""1kw74ismGU34AsZ5x-W4x7F3Zt2xc8NSYcCVMrCJBmdQ"",""DRP for 8 products!B:H""),6,0)"),"AlloyDB for PostgreSQL")</f>
        <v>AlloyDB for PostgreSQL</v>
      </c>
      <c r="M684" s="10" t="str">
        <f t="shared" si="3"/>
        <v>Yes</v>
      </c>
    </row>
    <row r="685">
      <c r="A685" s="4" t="str">
        <f>IFERROR(__xludf.DUMMYFUNCTION("vlookup(C685,IMPORTRANGE(""1Kgoo8qyo6zMtf_5B03ksZz228jg0XpZ4_KXsdHQ4Vks"",""14 Sept!A:B""),2,0)"),"DME1165")</f>
        <v>DME1165</v>
      </c>
      <c r="B685" s="5" t="str">
        <f>IFERROR(__xludf.DUMMYFUNCTION("""COMPUTED_VALUE"""),"Ajit Kumar Rangnath Mohite")</f>
        <v>Ajit Kumar Rangnath Mohite</v>
      </c>
      <c r="C685" s="5" t="str">
        <f>IFERROR(__xludf.DUMMYFUNCTION("""COMPUTED_VALUE"""),"ajit.mohite@onixnet.com")</f>
        <v>ajit.mohite@onixnet.com</v>
      </c>
      <c r="D685" s="4" t="s">
        <v>11</v>
      </c>
      <c r="E685" s="6" t="str">
        <f>IFERROR(__xludf.DUMMYFUNCTION("vlookup($A685,importrange(""1fyGnaViAX9kns28pvsfPvI9925sAI7kxPlM7jpuHVJM"",""Validation!A:Z""),11,0)"),"Delivery Services")</f>
        <v>Delivery Services</v>
      </c>
      <c r="F685" s="6" t="str">
        <f>IFERROR(__xludf.DUMMYFUNCTION("vlookup($A685,importrange(""1fyGnaViAX9kns28pvsfPvI9925sAI7kxPlM7jpuHVJM"",""Validation!A:Z""),23,0)"),"Shreepad Dhok")</f>
        <v>Shreepad Dhok</v>
      </c>
      <c r="G685" s="6" t="str">
        <f>IFERROR(__xludf.DUMMYFUNCTION("vlookup(A685,importrange(""1fyGnaViAX9kns28pvsfPvI9925sAI7kxPlM7jpuHVJM"",""Validation!A:Z""),22,0)"),"Cluster - Shreepad")</f>
        <v>Cluster - Shreepad</v>
      </c>
      <c r="H685" s="4" t="str">
        <f>IFERROR(__xludf.DUMMYFUNCTION("vlookup(C685,importrange(""1kw74ismGU34AsZ5x-W4x7F3Zt2xc8NSYcCVMrCJBmdQ"",""DRP for 8 products!B:C""),2,0)"),"ONIAMPTQ5")</f>
        <v>ONIAMPTQ5</v>
      </c>
      <c r="I685" s="7">
        <f>IFERROR(__xludf.DUMMYFUNCTION("vlookup(C685,importrange(""1kw74ismGU34AsZ5x-W4x7F3Zt2xc8NSYcCVMrCJBmdQ"",""DRP for 8 products!B:E""),4,0)"),5.0)</f>
        <v>5</v>
      </c>
      <c r="J685" s="8" t="str">
        <f t="shared" si="1"/>
        <v>Tier 4</v>
      </c>
      <c r="K685" s="9" t="str">
        <f t="shared" si="2"/>
        <v>Active</v>
      </c>
      <c r="L685" s="4" t="str">
        <f>IFERROR(__xludf.DUMMYFUNCTION("vlookup(C685,importrange(""1kw74ismGU34AsZ5x-W4x7F3Zt2xc8NSYcCVMrCJBmdQ"",""DRP for 8 products!B:H""),6,0)"),"BigQuery")</f>
        <v>BigQuery</v>
      </c>
      <c r="M685" s="10" t="str">
        <f t="shared" si="3"/>
        <v>Yes</v>
      </c>
    </row>
    <row r="686">
      <c r="A686" s="4" t="str">
        <f>IFERROR(__xludf.DUMMYFUNCTION("vlookup(C686,IMPORTRANGE(""1Kgoo8qyo6zMtf_5B03ksZz228jg0XpZ4_KXsdHQ4Vks"",""14 Sept!A:B""),2,0)"),"DME3252")</f>
        <v>DME3252</v>
      </c>
      <c r="B686" s="5" t="str">
        <f>IFERROR(__xludf.DUMMYFUNCTION("""COMPUTED_VALUE"""),"Sadaf Perveen")</f>
        <v>Sadaf Perveen</v>
      </c>
      <c r="C686" s="5" t="str">
        <f>IFERROR(__xludf.DUMMYFUNCTION("""COMPUTED_VALUE"""),"sadaf.perveen@onixnet.com")</f>
        <v>sadaf.perveen@onixnet.com</v>
      </c>
      <c r="D686" s="4" t="s">
        <v>11</v>
      </c>
      <c r="E686" s="6" t="str">
        <f>IFERROR(__xludf.DUMMYFUNCTION("vlookup($A686,importrange(""1fyGnaViAX9kns28pvsfPvI9925sAI7kxPlM7jpuHVJM"",""Validation!A:Z""),11,0)"),"Delivery Services")</f>
        <v>Delivery Services</v>
      </c>
      <c r="F686" s="6" t="str">
        <f>IFERROR(__xludf.DUMMYFUNCTION("vlookup($A686,importrange(""1fyGnaViAX9kns28pvsfPvI9925sAI7kxPlM7jpuHVJM"",""Validation!A:Z""),23,0)"),"Vijender Bhardwaj")</f>
        <v>Vijender Bhardwaj</v>
      </c>
      <c r="G686" s="6" t="str">
        <f>IFERROR(__xludf.DUMMYFUNCTION("vlookup(A686,importrange(""1fyGnaViAX9kns28pvsfPvI9925sAI7kxPlM7jpuHVJM"",""Validation!A:Z""),22,0)"),"Cluster - Varun")</f>
        <v>Cluster - Varun</v>
      </c>
      <c r="H686" s="4" t="str">
        <f>IFERROR(__xludf.DUMMYFUNCTION("vlookup(C686,importrange(""1kw74ismGU34AsZ5x-W4x7F3Zt2xc8NSYcCVMrCJBmdQ"",""DRP for 8 products!B:C""),2,0)"),"ONISPRCG0")</f>
        <v>ONISPRCG0</v>
      </c>
      <c r="I686" s="7">
        <f>IFERROR(__xludf.DUMMYFUNCTION("vlookup(C686,importrange(""1kw74ismGU34AsZ5x-W4x7F3Zt2xc8NSYcCVMrCJBmdQ"",""DRP for 8 products!B:E""),4,0)"),10.0)</f>
        <v>10</v>
      </c>
      <c r="J686" s="8" t="str">
        <f t="shared" si="1"/>
        <v>Tier 4</v>
      </c>
      <c r="K686" s="9" t="str">
        <f t="shared" si="2"/>
        <v>Active</v>
      </c>
      <c r="L686" s="4" t="str">
        <f>IFERROR(__xludf.DUMMYFUNCTION("vlookup(C686,importrange(""1kw74ismGU34AsZ5x-W4x7F3Zt2xc8NSYcCVMrCJBmdQ"",""DRP for 8 products!B:H""),6,0)"),"BigQuery")</f>
        <v>BigQuery</v>
      </c>
      <c r="M686" s="10" t="str">
        <f t="shared" si="3"/>
        <v>Yes</v>
      </c>
    </row>
    <row r="687">
      <c r="A687" s="4" t="str">
        <f>IFERROR(__xludf.DUMMYFUNCTION("vlookup(C687,IMPORTRANGE(""1Kgoo8qyo6zMtf_5B03ksZz228jg0XpZ4_KXsdHQ4Vks"",""14 Sept!A:B""),2,0)"),"DME2655")</f>
        <v>DME2655</v>
      </c>
      <c r="B687" s="5" t="str">
        <f>IFERROR(__xludf.DUMMYFUNCTION("""COMPUTED_VALUE"""),"Amit Garg")</f>
        <v>Amit Garg</v>
      </c>
      <c r="C687" s="5" t="str">
        <f>IFERROR(__xludf.DUMMYFUNCTION("""COMPUTED_VALUE"""),"amit.garg@onixnet.com")</f>
        <v>amit.garg@onixnet.com</v>
      </c>
      <c r="D687" s="4" t="s">
        <v>11</v>
      </c>
      <c r="E687" s="6" t="str">
        <f>IFERROR(__xludf.DUMMYFUNCTION("vlookup($A687,importrange(""1fyGnaViAX9kns28pvsfPvI9925sAI7kxPlM7jpuHVJM"",""Validation!A:Z""),11,0)"),"Solutions and Pre-Sales")</f>
        <v>Solutions and Pre-Sales</v>
      </c>
      <c r="F687" s="6" t="str">
        <f>IFERROR(__xludf.DUMMYFUNCTION("vlookup($A687,importrange(""1fyGnaViAX9kns28pvsfPvI9925sAI7kxPlM7jpuHVJM"",""Validation!A:Z""),23,0)"),"Gaurav Agarwaal")</f>
        <v>Gaurav Agarwaal</v>
      </c>
      <c r="G687" s="6" t="str">
        <f>IFERROR(__xludf.DUMMYFUNCTION("vlookup(A687,importrange(""1fyGnaViAX9kns28pvsfPvI9925sAI7kxPlM7jpuHVJM"",""Validation!A:Z""),22,0)"),"Portfolio - Gaurav A (Presales)")</f>
        <v>Portfolio - Gaurav A (Presales)</v>
      </c>
      <c r="H687" s="4" t="str">
        <f>IFERROR(__xludf.DUMMYFUNCTION("vlookup(C687,importrange(""1kw74ismGU34AsZ5x-W4x7F3Zt2xc8NSYcCVMrCJBmdQ"",""DRP for 8 products!B:C""),2,0)"),"ONIAGJOE3")</f>
        <v>ONIAGJOE3</v>
      </c>
      <c r="I687" s="7">
        <f>IFERROR(__xludf.DUMMYFUNCTION("vlookup(C687,importrange(""1kw74ismGU34AsZ5x-W4x7F3Zt2xc8NSYcCVMrCJBmdQ"",""DRP for 8 products!B:E""),4,0)"),5.0)</f>
        <v>5</v>
      </c>
      <c r="J687" s="8" t="str">
        <f t="shared" si="1"/>
        <v>Tier 4</v>
      </c>
      <c r="K687" s="9" t="str">
        <f t="shared" si="2"/>
        <v>Active</v>
      </c>
      <c r="L687" s="4" t="str">
        <f>IFERROR(__xludf.DUMMYFUNCTION("vlookup(C687,importrange(""1kw74ismGU34AsZ5x-W4x7F3Zt2xc8NSYcCVMrCJBmdQ"",""DRP for 8 products!B:H""),6,0)"),"Looker")</f>
        <v>Looker</v>
      </c>
      <c r="M687" s="10" t="str">
        <f t="shared" si="3"/>
        <v>Yes</v>
      </c>
    </row>
    <row r="688">
      <c r="A688" s="4" t="str">
        <f>IFERROR(__xludf.DUMMYFUNCTION("vlookup(C688,IMPORTRANGE(""1Kgoo8qyo6zMtf_5B03ksZz228jg0XpZ4_KXsdHQ4Vks"",""14 Sept!A:B""),2,0)"),"DMC0939")</f>
        <v>DMC0939</v>
      </c>
      <c r="B688" s="5" t="str">
        <f>IFERROR(__xludf.DUMMYFUNCTION("""COMPUTED_VALUE"""),"surbhi gupta")</f>
        <v>surbhi gupta</v>
      </c>
      <c r="C688" s="5" t="str">
        <f>IFERROR(__xludf.DUMMYFUNCTION("""COMPUTED_VALUE"""),"om.parkash@onixnet.com")</f>
        <v>om.parkash@onixnet.com</v>
      </c>
      <c r="D688" s="4" t="s">
        <v>11</v>
      </c>
      <c r="E688" s="6" t="str">
        <f>IFERROR(__xludf.DUMMYFUNCTION("vlookup($A688,importrange(""1fyGnaViAX9kns28pvsfPvI9925sAI7kxPlM7jpuHVJM"",""Validation!A:Z""),11,0)"),"Delivery Services")</f>
        <v>Delivery Services</v>
      </c>
      <c r="F688" s="6" t="str">
        <f>IFERROR(__xludf.DUMMYFUNCTION("vlookup($A688,importrange(""1fyGnaViAX9kns28pvsfPvI9925sAI7kxPlM7jpuHVJM"",""Validation!A:Z""),23,0)"),"Mayur Tawhare")</f>
        <v>Mayur Tawhare</v>
      </c>
      <c r="G688" s="6" t="str">
        <f>IFERROR(__xludf.DUMMYFUNCTION("vlookup(A688,importrange(""1fyGnaViAX9kns28pvsfPvI9925sAI7kxPlM7jpuHVJM"",""Validation!A:Z""),22,0)"),"Cluster - Varun")</f>
        <v>Cluster - Varun</v>
      </c>
      <c r="H688" s="4" t="str">
        <f>IFERROR(__xludf.DUMMYFUNCTION("vlookup(C688,importrange(""1kw74ismGU34AsZ5x-W4x7F3Zt2xc8NSYcCVMrCJBmdQ"",""DRP for 8 products!B:C""),2,0)"),"ONISGADA9")</f>
        <v>ONISGADA9</v>
      </c>
      <c r="I688" s="7">
        <f>IFERROR(__xludf.DUMMYFUNCTION("vlookup(C688,importrange(""1kw74ismGU34AsZ5x-W4x7F3Zt2xc8NSYcCVMrCJBmdQ"",""DRP for 8 products!B:E""),4,0)"),55.0)</f>
        <v>55</v>
      </c>
      <c r="J688" s="8" t="str">
        <f t="shared" si="1"/>
        <v>Tier 1</v>
      </c>
      <c r="K688" s="9" t="str">
        <f t="shared" si="2"/>
        <v>Active</v>
      </c>
      <c r="L688" s="4" t="str">
        <f>IFERROR(__xludf.DUMMYFUNCTION("vlookup(C688,importrange(""1kw74ismGU34AsZ5x-W4x7F3Zt2xc8NSYcCVMrCJBmdQ"",""DRP for 8 products!B:H""),6,0)"),"Dataproc")</f>
        <v>Dataproc</v>
      </c>
      <c r="M688" s="10" t="str">
        <f t="shared" si="3"/>
        <v>Yes</v>
      </c>
    </row>
    <row r="689">
      <c r="A689" s="4" t="str">
        <f>IFERROR(__xludf.DUMMYFUNCTION("vlookup(C689,IMPORTRANGE(""1Kgoo8qyo6zMtf_5B03ksZz228jg0XpZ4_KXsdHQ4Vks"",""14 Sept!A:B""),2,0)"),"DME2165")</f>
        <v>DME2165</v>
      </c>
      <c r="B689" s="5" t="str">
        <f>IFERROR(__xludf.DUMMYFUNCTION("""COMPUTED_VALUE"""),"Poonam Sharma")</f>
        <v>Poonam Sharma</v>
      </c>
      <c r="C689" s="5" t="str">
        <f>IFERROR(__xludf.DUMMYFUNCTION("""COMPUTED_VALUE"""),"poonam.sharma@onixnet.com")</f>
        <v>poonam.sharma@onixnet.com</v>
      </c>
      <c r="D689" s="4" t="s">
        <v>11</v>
      </c>
      <c r="E689" s="6" t="str">
        <f>IFERROR(__xludf.DUMMYFUNCTION("vlookup($A689,importrange(""1fyGnaViAX9kns28pvsfPvI9925sAI7kxPlM7jpuHVJM"",""Validation!A:Z""),11,0)"),"Delivery Services")</f>
        <v>Delivery Services</v>
      </c>
      <c r="F689" s="6" t="str">
        <f>IFERROR(__xludf.DUMMYFUNCTION("vlookup($A689,importrange(""1fyGnaViAX9kns28pvsfPvI9925sAI7kxPlM7jpuHVJM"",""Validation!A:Z""),23,0)"),"Aakash Vinod Tolani")</f>
        <v>Aakash Vinod Tolani</v>
      </c>
      <c r="G689" s="6" t="str">
        <f>IFERROR(__xludf.DUMMYFUNCTION("vlookup(A689,importrange(""1fyGnaViAX9kns28pvsfPvI9925sAI7kxPlM7jpuHVJM"",""Validation!A:Z""),22,0)"),"Cluster - Shreepad")</f>
        <v>Cluster - Shreepad</v>
      </c>
      <c r="H689" s="4" t="str">
        <f>IFERROR(__xludf.DUMMYFUNCTION("vlookup(C689,importrange(""1kw74ismGU34AsZ5x-W4x7F3Zt2xc8NSYcCVMrCJBmdQ"",""DRP for 8 products!B:C""),2,0)"),"ONIPSAQF0")</f>
        <v>ONIPSAQF0</v>
      </c>
      <c r="I689" s="7">
        <f>IFERROR(__xludf.DUMMYFUNCTION("vlookup(C689,importrange(""1kw74ismGU34AsZ5x-W4x7F3Zt2xc8NSYcCVMrCJBmdQ"",""DRP for 8 products!B:E""),4,0)"),18.0)</f>
        <v>18</v>
      </c>
      <c r="J689" s="8" t="str">
        <f t="shared" si="1"/>
        <v>Tier 4</v>
      </c>
      <c r="K689" s="9" t="str">
        <f t="shared" si="2"/>
        <v>Active</v>
      </c>
      <c r="L689" s="4" t="str">
        <f>IFERROR(__xludf.DUMMYFUNCTION("vlookup(C689,importrange(""1kw74ismGU34AsZ5x-W4x7F3Zt2xc8NSYcCVMrCJBmdQ"",""DRP for 8 products!B:H""),6,0)"),"BigQuery")</f>
        <v>BigQuery</v>
      </c>
      <c r="M689" s="10" t="str">
        <f t="shared" si="3"/>
        <v>Yes</v>
      </c>
    </row>
    <row r="690">
      <c r="A690" s="4" t="str">
        <f>IFERROR(__xludf.DUMMYFUNCTION("vlookup(C690,IMPORTRANGE(""1Kgoo8qyo6zMtf_5B03ksZz228jg0XpZ4_KXsdHQ4Vks"",""14 Sept!A:B""),2,0)"),"DME3058")</f>
        <v>DME3058</v>
      </c>
      <c r="B690" s="5" t="str">
        <f>IFERROR(__xludf.DUMMYFUNCTION("""COMPUTED_VALUE"""),"Aditya Agarwal")</f>
        <v>Aditya Agarwal</v>
      </c>
      <c r="C690" s="5" t="str">
        <f>IFERROR(__xludf.DUMMYFUNCTION("""COMPUTED_VALUE"""),"aditya.agarwal@onixnet.com")</f>
        <v>aditya.agarwal@onixnet.com</v>
      </c>
      <c r="D690" s="4" t="s">
        <v>11</v>
      </c>
      <c r="E690" s="6" t="str">
        <f>IFERROR(__xludf.DUMMYFUNCTION("vlookup($A690,importrange(""1fyGnaViAX9kns28pvsfPvI9925sAI7kxPlM7jpuHVJM"",""Validation!A:Z""),11,0)"),"Delivery Services")</f>
        <v>Delivery Services</v>
      </c>
      <c r="F690" s="6" t="str">
        <f>IFERROR(__xludf.DUMMYFUNCTION("vlookup($A690,importrange(""1fyGnaViAX9kns28pvsfPvI9925sAI7kxPlM7jpuHVJM"",""Validation!A:Z""),23,0)"),"Ravi Shankar")</f>
        <v>Ravi Shankar</v>
      </c>
      <c r="G690" s="6" t="str">
        <f>IFERROR(__xludf.DUMMYFUNCTION("vlookup(A690,importrange(""1fyGnaViAX9kns28pvsfPvI9925sAI7kxPlM7jpuHVJM"",""Validation!A:Z""),22,0)"),"Cluster - Sagar")</f>
        <v>Cluster - Sagar</v>
      </c>
      <c r="H690" s="4" t="str">
        <f>IFERROR(__xludf.DUMMYFUNCTION("vlookup(C690,importrange(""1kw74ismGU34AsZ5x-W4x7F3Zt2xc8NSYcCVMrCJBmdQ"",""DRP for 8 products!B:C""),2,0)"),"ONIAAWDY8")</f>
        <v>ONIAAWDY8</v>
      </c>
      <c r="I690" s="7">
        <f>IFERROR(__xludf.DUMMYFUNCTION("vlookup(C690,importrange(""1kw74ismGU34AsZ5x-W4x7F3Zt2xc8NSYcCVMrCJBmdQ"",""DRP for 8 products!B:E""),4,0)"),29.0)</f>
        <v>29</v>
      </c>
      <c r="J690" s="8" t="str">
        <f t="shared" si="1"/>
        <v>Tier 3</v>
      </c>
      <c r="K690" s="9" t="str">
        <f t="shared" si="2"/>
        <v>Active</v>
      </c>
      <c r="L690" s="4" t="str">
        <f>IFERROR(__xludf.DUMMYFUNCTION("vlookup(C690,importrange(""1kw74ismGU34AsZ5x-W4x7F3Zt2xc8NSYcCVMrCJBmdQ"",""DRP for 8 products!B:H""),6,0)"),"BigQuery")</f>
        <v>BigQuery</v>
      </c>
      <c r="M690" s="10" t="str">
        <f t="shared" si="3"/>
        <v>Yes</v>
      </c>
    </row>
    <row r="691">
      <c r="A691" s="4" t="str">
        <f>IFERROR(__xludf.DUMMYFUNCTION("vlookup(C691,IMPORTRANGE(""1Kgoo8qyo6zMtf_5B03ksZz228jg0XpZ4_KXsdHQ4Vks"",""14 Sept!A:B""),2,0)"),"DME3004")</f>
        <v>DME3004</v>
      </c>
      <c r="B691" s="5" t="str">
        <f>IFERROR(__xludf.DUMMYFUNCTION("""COMPUTED_VALUE"""),"Rushikesh Salke")</f>
        <v>Rushikesh Salke</v>
      </c>
      <c r="C691" s="5" t="str">
        <f>IFERROR(__xludf.DUMMYFUNCTION("""COMPUTED_VALUE"""),"rushikesh.salke@onixnet.com")</f>
        <v>rushikesh.salke@onixnet.com</v>
      </c>
      <c r="D691" s="4" t="s">
        <v>11</v>
      </c>
      <c r="E691" s="6" t="str">
        <f>IFERROR(__xludf.DUMMYFUNCTION("vlookup($A691,importrange(""1fyGnaViAX9kns28pvsfPvI9925sAI7kxPlM7jpuHVJM"",""Validation!A:Z""),11,0)"),"Delivery Services")</f>
        <v>Delivery Services</v>
      </c>
      <c r="F691" s="6" t="str">
        <f>IFERROR(__xludf.DUMMYFUNCTION("vlookup($A691,importrange(""1fyGnaViAX9kns28pvsfPvI9925sAI7kxPlM7jpuHVJM"",""Validation!A:Z""),23,0)"),"Ravindra Pujari")</f>
        <v>Ravindra Pujari</v>
      </c>
      <c r="G691" s="6" t="str">
        <f>IFERROR(__xludf.DUMMYFUNCTION("vlookup(A691,importrange(""1fyGnaViAX9kns28pvsfPvI9925sAI7kxPlM7jpuHVJM"",""Validation!A:Z""),22,0)"),"Cluster - Sachin")</f>
        <v>Cluster - Sachin</v>
      </c>
      <c r="H691" s="4" t="str">
        <f>IFERROR(__xludf.DUMMYFUNCTION("vlookup(C691,importrange(""1kw74ismGU34AsZ5x-W4x7F3Zt2xc8NSYcCVMrCJBmdQ"",""DRP for 8 products!B:C""),2,0)"),"ONIRSZDT4")</f>
        <v>ONIRSZDT4</v>
      </c>
      <c r="I691" s="7">
        <f>IFERROR(__xludf.DUMMYFUNCTION("vlookup(C691,importrange(""1kw74ismGU34AsZ5x-W4x7F3Zt2xc8NSYcCVMrCJBmdQ"",""DRP for 8 products!B:E""),4,0)"),7.0)</f>
        <v>7</v>
      </c>
      <c r="J691" s="8" t="str">
        <f t="shared" si="1"/>
        <v>Tier 4</v>
      </c>
      <c r="K691" s="9" t="str">
        <f t="shared" si="2"/>
        <v>Active</v>
      </c>
      <c r="L691" s="4" t="str">
        <f>IFERROR(__xludf.DUMMYFUNCTION("vlookup(C691,importrange(""1kw74ismGU34AsZ5x-W4x7F3Zt2xc8NSYcCVMrCJBmdQ"",""DRP for 8 products!B:H""),6,0)"),"BigQuery")</f>
        <v>BigQuery</v>
      </c>
      <c r="M691" s="10" t="str">
        <f t="shared" si="3"/>
        <v>Yes</v>
      </c>
    </row>
    <row r="692">
      <c r="A692" s="4" t="str">
        <f>IFERROR(__xludf.DUMMYFUNCTION("vlookup(C692,IMPORTRANGE(""1Kgoo8qyo6zMtf_5B03ksZz228jg0XpZ4_KXsdHQ4Vks"",""14 Sept!A:B""),2,0)"),"DME3173")</f>
        <v>DME3173</v>
      </c>
      <c r="B692" s="5" t="str">
        <f>IFERROR(__xludf.DUMMYFUNCTION("""COMPUTED_VALUE"""),"Vikramsingh Wagh")</f>
        <v>Vikramsingh Wagh</v>
      </c>
      <c r="C692" s="5" t="str">
        <f>IFERROR(__xludf.DUMMYFUNCTION("""COMPUTED_VALUE"""),"vikramsingh.wagh@onixnet.com")</f>
        <v>vikramsingh.wagh@onixnet.com</v>
      </c>
      <c r="D692" s="4" t="s">
        <v>11</v>
      </c>
      <c r="E692" s="6" t="str">
        <f>IFERROR(__xludf.DUMMYFUNCTION("vlookup($A692,importrange(""1fyGnaViAX9kns28pvsfPvI9925sAI7kxPlM7jpuHVJM"",""Validation!A:Z""),11,0)"),"Delivery Services")</f>
        <v>Delivery Services</v>
      </c>
      <c r="F692" s="6" t="str">
        <f>IFERROR(__xludf.DUMMYFUNCTION("vlookup($A692,importrange(""1fyGnaViAX9kns28pvsfPvI9925sAI7kxPlM7jpuHVJM"",""Validation!A:Z""),23,0)"),"Vedant Bhogawade")</f>
        <v>Vedant Bhogawade</v>
      </c>
      <c r="G692" s="6" t="str">
        <f>IFERROR(__xludf.DUMMYFUNCTION("vlookup(A692,importrange(""1fyGnaViAX9kns28pvsfPvI9925sAI7kxPlM7jpuHVJM"",""Validation!A:Z""),22,0)"),"Cluster - Varun")</f>
        <v>Cluster - Varun</v>
      </c>
      <c r="H692" s="4" t="str">
        <f>IFERROR(__xludf.DUMMYFUNCTION("vlookup(C692,importrange(""1kw74ismGU34AsZ5x-W4x7F3Zt2xc8NSYcCVMrCJBmdQ"",""DRP for 8 products!B:C""),2,0)"),"ONIVWJDU1")</f>
        <v>ONIVWJDU1</v>
      </c>
      <c r="I692" s="7">
        <f>IFERROR(__xludf.DUMMYFUNCTION("vlookup(C692,importrange(""1kw74ismGU34AsZ5x-W4x7F3Zt2xc8NSYcCVMrCJBmdQ"",""DRP for 8 products!B:E""),4,0)"),58.0)</f>
        <v>58</v>
      </c>
      <c r="J692" s="8" t="str">
        <f t="shared" si="1"/>
        <v>Tier 1</v>
      </c>
      <c r="K692" s="9" t="str">
        <f t="shared" si="2"/>
        <v>Active</v>
      </c>
      <c r="L692" s="4" t="str">
        <f>IFERROR(__xludf.DUMMYFUNCTION("vlookup(C692,importrange(""1kw74ismGU34AsZ5x-W4x7F3Zt2xc8NSYcCVMrCJBmdQ"",""DRP for 8 products!B:H""),6,0)"),"BigQuery")</f>
        <v>BigQuery</v>
      </c>
      <c r="M692" s="10" t="str">
        <f t="shared" si="3"/>
        <v>Yes</v>
      </c>
    </row>
    <row r="693">
      <c r="A693" s="4" t="str">
        <f>IFERROR(__xludf.DUMMYFUNCTION("vlookup(C693,IMPORTRANGE(""1Kgoo8qyo6zMtf_5B03ksZz228jg0XpZ4_KXsdHQ4Vks"",""14 Sept!A:B""),2,0)"),"ONIX869")</f>
        <v>ONIX869</v>
      </c>
      <c r="B693" s="5" t="str">
        <f>IFERROR(__xludf.DUMMYFUNCTION("""COMPUTED_VALUE"""),"Sanjana Radhakrishnan")</f>
        <v>Sanjana Radhakrishnan</v>
      </c>
      <c r="C693" s="5" t="str">
        <f>IFERROR(__xludf.DUMMYFUNCTION("""COMPUTED_VALUE"""),"sanjana.r@onixnet.com")</f>
        <v>sanjana.r@onixnet.com</v>
      </c>
      <c r="D693" s="4" t="s">
        <v>11</v>
      </c>
      <c r="E693" s="6" t="str">
        <f>IFERROR(__xludf.DUMMYFUNCTION("vlookup($A693,importrange(""1fyGnaViAX9kns28pvsfPvI9925sAI7kxPlM7jpuHVJM"",""Validation!A:Z""),11,0)"),"Delivery Services")</f>
        <v>Delivery Services</v>
      </c>
      <c r="F693" s="6" t="str">
        <f>IFERROR(__xludf.DUMMYFUNCTION("vlookup($A693,importrange(""1fyGnaViAX9kns28pvsfPvI9925sAI7kxPlM7jpuHVJM"",""Validation!A:Z""),23,0)"),"Vrushali Srivastava")</f>
        <v>Vrushali Srivastava</v>
      </c>
      <c r="G693" s="6" t="str">
        <f>IFERROR(__xludf.DUMMYFUNCTION("vlookup(A693,importrange(""1fyGnaViAX9kns28pvsfPvI9925sAI7kxPlM7jpuHVJM"",""Validation!A:Z""),22,0)"),"Portfolio - Rajesh")</f>
        <v>Portfolio - Rajesh</v>
      </c>
      <c r="H693" s="4" t="str">
        <f>IFERROR(__xludf.DUMMYFUNCTION("vlookup(C693,importrange(""1kw74ismGU34AsZ5x-W4x7F3Zt2xc8NSYcCVMrCJBmdQ"",""DRP for 8 products!B:C""),2,0)"),"ONISRTEB5")</f>
        <v>ONISRTEB5</v>
      </c>
      <c r="I693" s="7">
        <f>IFERROR(__xludf.DUMMYFUNCTION("vlookup(C693,importrange(""1kw74ismGU34AsZ5x-W4x7F3Zt2xc8NSYcCVMrCJBmdQ"",""DRP for 8 products!B:E""),4,0)"),14.0)</f>
        <v>14</v>
      </c>
      <c r="J693" s="8" t="str">
        <f t="shared" si="1"/>
        <v>Tier 4</v>
      </c>
      <c r="K693" s="9" t="str">
        <f t="shared" si="2"/>
        <v>Active</v>
      </c>
      <c r="L693" s="4" t="str">
        <f>IFERROR(__xludf.DUMMYFUNCTION("vlookup(C693,importrange(""1kw74ismGU34AsZ5x-W4x7F3Zt2xc8NSYcCVMrCJBmdQ"",""DRP for 8 products!B:H""),6,0)"),"BigQuery")</f>
        <v>BigQuery</v>
      </c>
      <c r="M693" s="10" t="str">
        <f t="shared" si="3"/>
        <v>Yes</v>
      </c>
    </row>
    <row r="694">
      <c r="A694" s="4" t="str">
        <f>IFERROR(__xludf.DUMMYFUNCTION("vlookup(C694,IMPORTRANGE(""1Kgoo8qyo6zMtf_5B03ksZz228jg0XpZ4_KXsdHQ4Vks"",""14 Sept!A:B""),2,0)"),"DME2666")</f>
        <v>DME2666</v>
      </c>
      <c r="B694" s="5" t="str">
        <f>IFERROR(__xludf.DUMMYFUNCTION("""COMPUTED_VALUE"""),"Vishal Verma")</f>
        <v>Vishal Verma</v>
      </c>
      <c r="C694" s="5" t="str">
        <f>IFERROR(__xludf.DUMMYFUNCTION("""COMPUTED_VALUE"""),"vishal.verma@onixnet.com")</f>
        <v>vishal.verma@onixnet.com</v>
      </c>
      <c r="D694" s="4" t="s">
        <v>11</v>
      </c>
      <c r="E694" s="6" t="str">
        <f>IFERROR(__xludf.DUMMYFUNCTION("vlookup($A694,importrange(""1fyGnaViAX9kns28pvsfPvI9925sAI7kxPlM7jpuHVJM"",""Validation!A:Z""),11,0)"),"Delivery Services")</f>
        <v>Delivery Services</v>
      </c>
      <c r="F694" s="6" t="str">
        <f>IFERROR(__xludf.DUMMYFUNCTION("vlookup($A694,importrange(""1fyGnaViAX9kns28pvsfPvI9925sAI7kxPlM7jpuHVJM"",""Validation!A:Z""),23,0)"),"Rahul Gupta")</f>
        <v>Rahul Gupta</v>
      </c>
      <c r="G694" s="6" t="str">
        <f>IFERROR(__xludf.DUMMYFUNCTION("vlookup(A694,importrange(""1fyGnaViAX9kns28pvsfPvI9925sAI7kxPlM7jpuHVJM"",""Validation!A:Z""),22,0)"),"Cluster - Sachin")</f>
        <v>Cluster - Sachin</v>
      </c>
      <c r="H694" s="4" t="str">
        <f>IFERROR(__xludf.DUMMYFUNCTION("vlookup(C694,importrange(""1kw74ismGU34AsZ5x-W4x7F3Zt2xc8NSYcCVMrCJBmdQ"",""DRP for 8 products!B:C""),2,0)"),"ONIVVQIL9")</f>
        <v>ONIVVQIL9</v>
      </c>
      <c r="I694" s="7">
        <f>IFERROR(__xludf.DUMMYFUNCTION("vlookup(C694,importrange(""1kw74ismGU34AsZ5x-W4x7F3Zt2xc8NSYcCVMrCJBmdQ"",""DRP for 8 products!B:E""),4,0)"),44.0)</f>
        <v>44</v>
      </c>
      <c r="J694" s="8" t="str">
        <f t="shared" si="1"/>
        <v>Tier 2</v>
      </c>
      <c r="K694" s="9" t="str">
        <f t="shared" si="2"/>
        <v>Active</v>
      </c>
      <c r="L694" s="4" t="str">
        <f>IFERROR(__xludf.DUMMYFUNCTION("vlookup(C694,importrange(""1kw74ismGU34AsZ5x-W4x7F3Zt2xc8NSYcCVMrCJBmdQ"",""DRP for 8 products!B:H""),6,0)"),"BigQuery")</f>
        <v>BigQuery</v>
      </c>
      <c r="M694" s="10" t="str">
        <f t="shared" si="3"/>
        <v>Yes</v>
      </c>
    </row>
    <row r="695">
      <c r="A695" s="4" t="str">
        <f>IFERROR(__xludf.DUMMYFUNCTION("vlookup(C695,IMPORTRANGE(""1Kgoo8qyo6zMtf_5B03ksZz228jg0XpZ4_KXsdHQ4Vks"",""14 Sept!A:B""),2,0)"),"DME3119")</f>
        <v>DME3119</v>
      </c>
      <c r="B695" s="5" t="str">
        <f>IFERROR(__xludf.DUMMYFUNCTION("""COMPUTED_VALUE"""),"Mohit Matte")</f>
        <v>Mohit Matte</v>
      </c>
      <c r="C695" s="5" t="str">
        <f>IFERROR(__xludf.DUMMYFUNCTION("""COMPUTED_VALUE"""),"mohit.matte@onixnet.com")</f>
        <v>mohit.matte@onixnet.com</v>
      </c>
      <c r="D695" s="4" t="s">
        <v>11</v>
      </c>
      <c r="E695" s="6" t="str">
        <f>IFERROR(__xludf.DUMMYFUNCTION("vlookup($A695,importrange(""1fyGnaViAX9kns28pvsfPvI9925sAI7kxPlM7jpuHVJM"",""Validation!A:Z""),11,0)"),"Delivery Services")</f>
        <v>Delivery Services</v>
      </c>
      <c r="F695" s="6" t="str">
        <f>IFERROR(__xludf.DUMMYFUNCTION("vlookup($A695,importrange(""1fyGnaViAX9kns28pvsfPvI9925sAI7kxPlM7jpuHVJM"",""Validation!A:Z""),23,0)"),"Mangesh Borade")</f>
        <v>Mangesh Borade</v>
      </c>
      <c r="G695" s="6" t="str">
        <f>IFERROR(__xludf.DUMMYFUNCTION("vlookup(A695,importrange(""1fyGnaViAX9kns28pvsfPvI9925sAI7kxPlM7jpuHVJM"",""Validation!A:Z""),22,0)"),"Cluster - Devayani")</f>
        <v>Cluster - Devayani</v>
      </c>
      <c r="H695" s="4" t="str">
        <f>IFERROR(__xludf.DUMMYFUNCTION("vlookup(C695,importrange(""1kw74ismGU34AsZ5x-W4x7F3Zt2xc8NSYcCVMrCJBmdQ"",""DRP for 8 products!B:C""),2,0)"),"ONIMMVWQ3")</f>
        <v>ONIMMVWQ3</v>
      </c>
      <c r="I695" s="7">
        <f>IFERROR(__xludf.DUMMYFUNCTION("vlookup(C695,importrange(""1kw74ismGU34AsZ5x-W4x7F3Zt2xc8NSYcCVMrCJBmdQ"",""DRP for 8 products!B:E""),4,0)"),53.0)</f>
        <v>53</v>
      </c>
      <c r="J695" s="8" t="str">
        <f t="shared" si="1"/>
        <v>Tier 1</v>
      </c>
      <c r="K695" s="9" t="str">
        <f t="shared" si="2"/>
        <v>Active</v>
      </c>
      <c r="L695" s="4" t="str">
        <f>IFERROR(__xludf.DUMMYFUNCTION("vlookup(C695,importrange(""1kw74ismGU34AsZ5x-W4x7F3Zt2xc8NSYcCVMrCJBmdQ"",""DRP for 8 products!B:H""),6,0)"),"BigQuery")</f>
        <v>BigQuery</v>
      </c>
      <c r="M695" s="10" t="str">
        <f t="shared" si="3"/>
        <v>Yes</v>
      </c>
    </row>
    <row r="696">
      <c r="A696" s="4" t="str">
        <f>IFERROR(__xludf.DUMMYFUNCTION("vlookup(C696,IMPORTRANGE(""1Kgoo8qyo6zMtf_5B03ksZz228jg0XpZ4_KXsdHQ4Vks"",""14 Sept!A:B""),2,0)"),"ONIX717")</f>
        <v>ONIX717</v>
      </c>
      <c r="B696" s="5" t="str">
        <f>IFERROR(__xludf.DUMMYFUNCTION("""COMPUTED_VALUE"""),"Pawan Kamat")</f>
        <v>Pawan Kamat</v>
      </c>
      <c r="C696" s="5" t="str">
        <f>IFERROR(__xludf.DUMMYFUNCTION("""COMPUTED_VALUE"""),"pawan.kamat@onixnet.com")</f>
        <v>pawan.kamat@onixnet.com</v>
      </c>
      <c r="D696" s="4" t="s">
        <v>11</v>
      </c>
      <c r="E696" s="6" t="str">
        <f>IFERROR(__xludf.DUMMYFUNCTION("vlookup($A696,importrange(""1fyGnaViAX9kns28pvsfPvI9925sAI7kxPlM7jpuHVJM"",""Validation!A:Z""),11,0)"),"Services")</f>
        <v>Services</v>
      </c>
      <c r="F696" s="6" t="str">
        <f>IFERROR(__xludf.DUMMYFUNCTION("vlookup($A696,importrange(""1fyGnaViAX9kns28pvsfPvI9925sAI7kxPlM7jpuHVJM"",""Validation!A:Z""),23,0)"),"Kanth Nagapudi")</f>
        <v>Kanth Nagapudi</v>
      </c>
      <c r="G696" s="6" t="str">
        <f>IFERROR(__xludf.DUMMYFUNCTION("vlookup(A696,importrange(""1fyGnaViAX9kns28pvsfPvI9925sAI7kxPlM7jpuHVJM"",""Validation!A:Z""),22,0)"),"Portfolio - Kanth")</f>
        <v>Portfolio - Kanth</v>
      </c>
      <c r="H696" s="4" t="str">
        <f>IFERROR(__xludf.DUMMYFUNCTION("vlookup(C696,importrange(""1kw74ismGU34AsZ5x-W4x7F3Zt2xc8NSYcCVMrCJBmdQ"",""DRP for 8 products!B:C""),2,0)"),"ONIPKONJ6")</f>
        <v>ONIPKONJ6</v>
      </c>
      <c r="I696" s="7">
        <f>IFERROR(__xludf.DUMMYFUNCTION("vlookup(C696,importrange(""1kw74ismGU34AsZ5x-W4x7F3Zt2xc8NSYcCVMrCJBmdQ"",""DRP for 8 products!B:E""),4,0)"),34.0)</f>
        <v>34</v>
      </c>
      <c r="J696" s="8" t="str">
        <f t="shared" si="1"/>
        <v>Tier 3</v>
      </c>
      <c r="K696" s="9" t="str">
        <f t="shared" si="2"/>
        <v>Active</v>
      </c>
      <c r="L696" s="4" t="str">
        <f>IFERROR(__xludf.DUMMYFUNCTION("vlookup(C696,importrange(""1kw74ismGU34AsZ5x-W4x7F3Zt2xc8NSYcCVMrCJBmdQ"",""DRP for 8 products!B:H""),6,0)"),"AlloyDB for PostgreSQL")</f>
        <v>AlloyDB for PostgreSQL</v>
      </c>
      <c r="M696" s="10" t="str">
        <f t="shared" si="3"/>
        <v>Yes</v>
      </c>
    </row>
    <row r="697">
      <c r="A697" s="4" t="str">
        <f>IFERROR(__xludf.DUMMYFUNCTION("vlookup(C697,IMPORTRANGE(""1Kgoo8qyo6zMtf_5B03ksZz228jg0XpZ4_KXsdHQ4Vks"",""14 Sept!A:B""),2,0)"),"DME1822")</f>
        <v>DME1822</v>
      </c>
      <c r="B697" s="5" t="str">
        <f>IFERROR(__xludf.DUMMYFUNCTION("""COMPUTED_VALUE"""),"Tejashri Tilekar")</f>
        <v>Tejashri Tilekar</v>
      </c>
      <c r="C697" s="5" t="str">
        <f>IFERROR(__xludf.DUMMYFUNCTION("""COMPUTED_VALUE"""),"tejashri.tilekar@onixnet.com")</f>
        <v>tejashri.tilekar@onixnet.com</v>
      </c>
      <c r="D697" s="4" t="s">
        <v>11</v>
      </c>
      <c r="E697" s="6" t="str">
        <f>IFERROR(__xludf.DUMMYFUNCTION("vlookup($A697,importrange(""1fyGnaViAX9kns28pvsfPvI9925sAI7kxPlM7jpuHVJM"",""Validation!A:Z""),11,0)"),"Delivery Services")</f>
        <v>Delivery Services</v>
      </c>
      <c r="F697" s="6" t="str">
        <f>IFERROR(__xludf.DUMMYFUNCTION("vlookup($A697,importrange(""1fyGnaViAX9kns28pvsfPvI9925sAI7kxPlM7jpuHVJM"",""Validation!A:Z""),23,0)"),"Sneha Bhatambrekar")</f>
        <v>Sneha Bhatambrekar</v>
      </c>
      <c r="G697" s="6" t="str">
        <f>IFERROR(__xludf.DUMMYFUNCTION("vlookup(A697,importrange(""1fyGnaViAX9kns28pvsfPvI9925sAI7kxPlM7jpuHVJM"",""Validation!A:Z""),22,0)"),"Cluster - Sandeep")</f>
        <v>Cluster - Sandeep</v>
      </c>
      <c r="H697" s="4" t="str">
        <f>IFERROR(__xludf.DUMMYFUNCTION("vlookup(C697,importrange(""1kw74ismGU34AsZ5x-W4x7F3Zt2xc8NSYcCVMrCJBmdQ"",""DRP for 8 products!B:C""),2,0)"),"ONITTELG0")</f>
        <v>ONITTELG0</v>
      </c>
      <c r="I697" s="7">
        <f>IFERROR(__xludf.DUMMYFUNCTION("vlookup(C697,importrange(""1kw74ismGU34AsZ5x-W4x7F3Zt2xc8NSYcCVMrCJBmdQ"",""DRP for 8 products!B:E""),4,0)"),24.0)</f>
        <v>24</v>
      </c>
      <c r="J697" s="8" t="str">
        <f t="shared" si="1"/>
        <v>Tier 3</v>
      </c>
      <c r="K697" s="9" t="str">
        <f t="shared" si="2"/>
        <v>Active</v>
      </c>
      <c r="L697" s="4" t="str">
        <f>IFERROR(__xludf.DUMMYFUNCTION("vlookup(C697,importrange(""1kw74ismGU34AsZ5x-W4x7F3Zt2xc8NSYcCVMrCJBmdQ"",""DRP for 8 products!B:H""),6,0)"),"BigQuery")</f>
        <v>BigQuery</v>
      </c>
      <c r="M697" s="10" t="str">
        <f t="shared" si="3"/>
        <v>Yes</v>
      </c>
    </row>
    <row r="698">
      <c r="A698" s="4" t="str">
        <f>IFERROR(__xludf.DUMMYFUNCTION("vlookup(C698,IMPORTRANGE(""1Kgoo8qyo6zMtf_5B03ksZz228jg0XpZ4_KXsdHQ4Vks"",""14 Sept!A:B""),2,0)"),"ONIX800")</f>
        <v>ONIX800</v>
      </c>
      <c r="B698" s="5" t="str">
        <f>IFERROR(__xludf.DUMMYFUNCTION("""COMPUTED_VALUE"""),"Cheryl Saunoris")</f>
        <v>Cheryl Saunoris</v>
      </c>
      <c r="C698" s="5" t="str">
        <f>IFERROR(__xludf.DUMMYFUNCTION("""COMPUTED_VALUE"""),"cheryl.saunoris@onixnet.com")</f>
        <v>cheryl.saunoris@onixnet.com</v>
      </c>
      <c r="D698" s="4" t="s">
        <v>11</v>
      </c>
      <c r="E698" s="6" t="str">
        <f>IFERROR(__xludf.DUMMYFUNCTION("vlookup($A698,importrange(""1fyGnaViAX9kns28pvsfPvI9925sAI7kxPlM7jpuHVJM"",""Validation!A:Z""),11,0)"),"Sales Services")</f>
        <v>Sales Services</v>
      </c>
      <c r="F698" s="6" t="str">
        <f>IFERROR(__xludf.DUMMYFUNCTION("vlookup($A698,importrange(""1fyGnaViAX9kns28pvsfPvI9925sAI7kxPlM7jpuHVJM"",""Validation!A:Z""),23,0)"),"Sanjiv Chawla")</f>
        <v>Sanjiv Chawla</v>
      </c>
      <c r="G698" s="6" t="str">
        <f>IFERROR(__xludf.DUMMYFUNCTION("vlookup(A698,importrange(""1fyGnaViAX9kns28pvsfPvI9925sAI7kxPlM7jpuHVJM"",""Validation!A:Z""),22,0)"),"Portfolio - Ankur (Sales)")</f>
        <v>Portfolio - Ankur (Sales)</v>
      </c>
      <c r="H698" s="4" t="str">
        <f>IFERROR(__xludf.DUMMYFUNCTION("vlookup(C698,importrange(""1kw74ismGU34AsZ5x-W4x7F3Zt2xc8NSYcCVMrCJBmdQ"",""DRP for 8 products!B:C""),2,0)"),"ONICSFBN2")</f>
        <v>ONICSFBN2</v>
      </c>
      <c r="I698" s="7">
        <f>IFERROR(__xludf.DUMMYFUNCTION("vlookup(C698,importrange(""1kw74ismGU34AsZ5x-W4x7F3Zt2xc8NSYcCVMrCJBmdQ"",""DRP for 8 products!B:E""),4,0)"),14.0)</f>
        <v>14</v>
      </c>
      <c r="J698" s="8" t="str">
        <f t="shared" si="1"/>
        <v>Tier 4</v>
      </c>
      <c r="K698" s="9" t="str">
        <f t="shared" si="2"/>
        <v>Active</v>
      </c>
      <c r="L698" s="4" t="str">
        <f>IFERROR(__xludf.DUMMYFUNCTION("vlookup(C698,importrange(""1kw74ismGU34AsZ5x-W4x7F3Zt2xc8NSYcCVMrCJBmdQ"",""DRP for 8 products!B:H""),6,0)"),"BigQuery")</f>
        <v>BigQuery</v>
      </c>
      <c r="M698" s="10" t="str">
        <f t="shared" si="3"/>
        <v>Yes</v>
      </c>
    </row>
    <row r="699">
      <c r="A699" s="4" t="str">
        <f>IFERROR(__xludf.DUMMYFUNCTION("vlookup(C699,IMPORTRANGE(""1Kgoo8qyo6zMtf_5B03ksZz228jg0XpZ4_KXsdHQ4Vks"",""14 Sept!A:B""),2,0)"),"DME2648")</f>
        <v>DME2648</v>
      </c>
      <c r="B699" s="5" t="str">
        <f>IFERROR(__xludf.DUMMYFUNCTION("""COMPUTED_VALUE"""),"Mithilesh Pardeshi")</f>
        <v>Mithilesh Pardeshi</v>
      </c>
      <c r="C699" s="5" t="str">
        <f>IFERROR(__xludf.DUMMYFUNCTION("""COMPUTED_VALUE"""),"mithilesh.pardeshi@onixnet.com")</f>
        <v>mithilesh.pardeshi@onixnet.com</v>
      </c>
      <c r="D699" s="4" t="s">
        <v>11</v>
      </c>
      <c r="E699" s="6" t="str">
        <f>IFERROR(__xludf.DUMMYFUNCTION("vlookup($A699,importrange(""1fyGnaViAX9kns28pvsfPvI9925sAI7kxPlM7jpuHVJM"",""Validation!A:Z""),11,0)"),"Delivery Services")</f>
        <v>Delivery Services</v>
      </c>
      <c r="F699" s="6" t="str">
        <f>IFERROR(__xludf.DUMMYFUNCTION("vlookup($A699,importrange(""1fyGnaViAX9kns28pvsfPvI9925sAI7kxPlM7jpuHVJM"",""Validation!A:Z""),23,0)"),"Sheela Sawant")</f>
        <v>Sheela Sawant</v>
      </c>
      <c r="G699" s="6" t="str">
        <f>IFERROR(__xludf.DUMMYFUNCTION("vlookup(A699,importrange(""1fyGnaViAX9kns28pvsfPvI9925sAI7kxPlM7jpuHVJM"",""Validation!A:Z""),22,0)"),"Cluster - Sagar")</f>
        <v>Cluster - Sagar</v>
      </c>
      <c r="H699" s="4" t="str">
        <f>IFERROR(__xludf.DUMMYFUNCTION("vlookup(C699,importrange(""1kw74ismGU34AsZ5x-W4x7F3Zt2xc8NSYcCVMrCJBmdQ"",""DRP for 8 products!B:C""),2,0)"),"ONIMPJIY4")</f>
        <v>ONIMPJIY4</v>
      </c>
      <c r="I699" s="7">
        <f>IFERROR(__xludf.DUMMYFUNCTION("vlookup(C699,importrange(""1kw74ismGU34AsZ5x-W4x7F3Zt2xc8NSYcCVMrCJBmdQ"",""DRP for 8 products!B:E""),4,0)"),22.0)</f>
        <v>22</v>
      </c>
      <c r="J699" s="8" t="str">
        <f t="shared" si="1"/>
        <v>Tier 3</v>
      </c>
      <c r="K699" s="9" t="str">
        <f t="shared" si="2"/>
        <v>Active</v>
      </c>
      <c r="L699" s="4" t="str">
        <f>IFERROR(__xludf.DUMMYFUNCTION("vlookup(C699,importrange(""1kw74ismGU34AsZ5x-W4x7F3Zt2xc8NSYcCVMrCJBmdQ"",""DRP for 8 products!B:H""),6,0)"),"BigQuery")</f>
        <v>BigQuery</v>
      </c>
      <c r="M699" s="10" t="str">
        <f t="shared" si="3"/>
        <v>Yes</v>
      </c>
    </row>
    <row r="700">
      <c r="A700" s="4" t="str">
        <f>IFERROR(__xludf.DUMMYFUNCTION("vlookup(C700,IMPORTRANGE(""1Kgoo8qyo6zMtf_5B03ksZz228jg0XpZ4_KXsdHQ4Vks"",""14 Sept!A:B""),2,0)"),"DME2680")</f>
        <v>DME2680</v>
      </c>
      <c r="B700" s="5" t="str">
        <f>IFERROR(__xludf.DUMMYFUNCTION("""COMPUTED_VALUE"""),"pranali Jadhav")</f>
        <v>pranali Jadhav</v>
      </c>
      <c r="C700" s="5" t="str">
        <f>IFERROR(__xludf.DUMMYFUNCTION("""COMPUTED_VALUE"""),"pranali.jadhav@onixnet.com")</f>
        <v>pranali.jadhav@onixnet.com</v>
      </c>
      <c r="D700" s="4" t="s">
        <v>11</v>
      </c>
      <c r="E700" s="6" t="str">
        <f>IFERROR(__xludf.DUMMYFUNCTION("vlookup($A700,importrange(""1fyGnaViAX9kns28pvsfPvI9925sAI7kxPlM7jpuHVJM"",""Validation!A:Z""),11,0)"),"Delivery Services")</f>
        <v>Delivery Services</v>
      </c>
      <c r="F700" s="6" t="str">
        <f>IFERROR(__xludf.DUMMYFUNCTION("vlookup($A700,importrange(""1fyGnaViAX9kns28pvsfPvI9925sAI7kxPlM7jpuHVJM"",""Validation!A:Z""),23,0)"),"Poonam Sharma")</f>
        <v>Poonam Sharma</v>
      </c>
      <c r="G700" s="6" t="str">
        <f>IFERROR(__xludf.DUMMYFUNCTION("vlookup(A700,importrange(""1fyGnaViAX9kns28pvsfPvI9925sAI7kxPlM7jpuHVJM"",""Validation!A:Z""),22,0)"),"Cluster - Gaurav")</f>
        <v>Cluster - Gaurav</v>
      </c>
      <c r="H700" s="4" t="str">
        <f>IFERROR(__xludf.DUMMYFUNCTION("vlookup(C700,importrange(""1kw74ismGU34AsZ5x-W4x7F3Zt2xc8NSYcCVMrCJBmdQ"",""DRP for 8 products!B:C""),2,0)"),"ONIPJQHM2")</f>
        <v>ONIPJQHM2</v>
      </c>
      <c r="I700" s="7">
        <f>IFERROR(__xludf.DUMMYFUNCTION("vlookup(C700,importrange(""1kw74ismGU34AsZ5x-W4x7F3Zt2xc8NSYcCVMrCJBmdQ"",""DRP for 8 products!B:E""),4,0)"),10.0)</f>
        <v>10</v>
      </c>
      <c r="J700" s="8" t="str">
        <f t="shared" si="1"/>
        <v>Tier 4</v>
      </c>
      <c r="K700" s="9" t="str">
        <f t="shared" si="2"/>
        <v>Active</v>
      </c>
      <c r="L700" s="4" t="str">
        <f>IFERROR(__xludf.DUMMYFUNCTION("vlookup(C700,importrange(""1kw74ismGU34AsZ5x-W4x7F3Zt2xc8NSYcCVMrCJBmdQ"",""DRP for 8 products!B:H""),6,0)"),"AlloyDB for PostgreSQL")</f>
        <v>AlloyDB for PostgreSQL</v>
      </c>
      <c r="M700" s="10" t="str">
        <f t="shared" si="3"/>
        <v>Yes</v>
      </c>
    </row>
    <row r="701">
      <c r="A701" s="4" t="str">
        <f>IFERROR(__xludf.DUMMYFUNCTION("vlookup(C701,IMPORTRANGE(""1Kgoo8qyo6zMtf_5B03ksZz228jg0XpZ4_KXsdHQ4Vks"",""14 Sept!A:B""),2,0)"),"DME2863")</f>
        <v>DME2863</v>
      </c>
      <c r="B701" s="5" t="str">
        <f>IFERROR(__xludf.DUMMYFUNCTION("""COMPUTED_VALUE"""),"Laxman Tiwari")</f>
        <v>Laxman Tiwari</v>
      </c>
      <c r="C701" s="5" t="str">
        <f>IFERROR(__xludf.DUMMYFUNCTION("""COMPUTED_VALUE"""),"laxman.tiwari@onixnet.com")</f>
        <v>laxman.tiwari@onixnet.com</v>
      </c>
      <c r="D701" s="4" t="s">
        <v>11</v>
      </c>
      <c r="E701" s="6" t="str">
        <f>IFERROR(__xludf.DUMMYFUNCTION("vlookup($A701,importrange(""1fyGnaViAX9kns28pvsfPvI9925sAI7kxPlM7jpuHVJM"",""Validation!A:Z""),11,0)"),"Delivery Services")</f>
        <v>Delivery Services</v>
      </c>
      <c r="F701" s="6" t="str">
        <f>IFERROR(__xludf.DUMMYFUNCTION("vlookup($A701,importrange(""1fyGnaViAX9kns28pvsfPvI9925sAI7kxPlM7jpuHVJM"",""Validation!A:Z""),23,0)"),"Rahul Gupta")</f>
        <v>Rahul Gupta</v>
      </c>
      <c r="G701" s="6" t="str">
        <f>IFERROR(__xludf.DUMMYFUNCTION("vlookup(A701,importrange(""1fyGnaViAX9kns28pvsfPvI9925sAI7kxPlM7jpuHVJM"",""Validation!A:Z""),22,0)"),"Cluster - Sachin")</f>
        <v>Cluster - Sachin</v>
      </c>
      <c r="H701" s="4" t="str">
        <f>IFERROR(__xludf.DUMMYFUNCTION("vlookup(C701,importrange(""1kw74ismGU34AsZ5x-W4x7F3Zt2xc8NSYcCVMrCJBmdQ"",""DRP for 8 products!B:C""),2,0)"),"ONILTYPM6")</f>
        <v>ONILTYPM6</v>
      </c>
      <c r="I701" s="7">
        <f>IFERROR(__xludf.DUMMYFUNCTION("vlookup(C701,importrange(""1kw74ismGU34AsZ5x-W4x7F3Zt2xc8NSYcCVMrCJBmdQ"",""DRP for 8 products!B:E""),4,0)"),30.0)</f>
        <v>30</v>
      </c>
      <c r="J701" s="8" t="str">
        <f t="shared" si="1"/>
        <v>Tier 3</v>
      </c>
      <c r="K701" s="9" t="str">
        <f t="shared" si="2"/>
        <v>Active</v>
      </c>
      <c r="L701" s="4" t="str">
        <f>IFERROR(__xludf.DUMMYFUNCTION("vlookup(C701,importrange(""1kw74ismGU34AsZ5x-W4x7F3Zt2xc8NSYcCVMrCJBmdQ"",""DRP for 8 products!B:H""),6,0)"),"BigQuery")</f>
        <v>BigQuery</v>
      </c>
      <c r="M701" s="10" t="str">
        <f t="shared" si="3"/>
        <v>Yes</v>
      </c>
    </row>
    <row r="702">
      <c r="A702" s="4" t="str">
        <f>IFERROR(__xludf.DUMMYFUNCTION("vlookup(C702,IMPORTRANGE(""1Kgoo8qyo6zMtf_5B03ksZz228jg0XpZ4_KXsdHQ4Vks"",""14 Sept!A:B""),2,0)"),"ONIX817")</f>
        <v>ONIX817</v>
      </c>
      <c r="B702" s="5" t="str">
        <f>IFERROR(__xludf.DUMMYFUNCTION("""COMPUTED_VALUE"""),"Sergio Gardea")</f>
        <v>Sergio Gardea</v>
      </c>
      <c r="C702" s="5" t="str">
        <f>IFERROR(__xludf.DUMMYFUNCTION("""COMPUTED_VALUE"""),"sergio.gardea@onixnet.com")</f>
        <v>sergio.gardea@onixnet.com</v>
      </c>
      <c r="D702" s="4" t="s">
        <v>11</v>
      </c>
      <c r="E702" s="6" t="str">
        <f>IFERROR(__xludf.DUMMYFUNCTION("vlookup($A702,importrange(""1fyGnaViAX9kns28pvsfPvI9925sAI7kxPlM7jpuHVJM"",""Validation!A:Z""),11,0)"),"Maps")</f>
        <v>Maps</v>
      </c>
      <c r="F702" s="6" t="str">
        <f>IFERROR(__xludf.DUMMYFUNCTION("vlookup($A702,importrange(""1fyGnaViAX9kns28pvsfPvI9925sAI7kxPlM7jpuHVJM"",""Validation!A:Z""),23,0)"),"Scott Fleming")</f>
        <v>Scott Fleming</v>
      </c>
      <c r="G702" s="6" t="str">
        <f>IFERROR(__xludf.DUMMYFUNCTION("vlookup(A702,importrange(""1fyGnaViAX9kns28pvsfPvI9925sAI7kxPlM7jpuHVJM"",""Validation!A:Z""),22,0)"),"Portfolio - Scott")</f>
        <v>Portfolio - Scott</v>
      </c>
      <c r="H702" s="4" t="str">
        <f>IFERROR(__xludf.DUMMYFUNCTION("vlookup(C702,importrange(""1kw74ismGU34AsZ5x-W4x7F3Zt2xc8NSYcCVMrCJBmdQ"",""DRP for 8 products!B:C""),2,0)"),"ONISGHEO4")</f>
        <v>ONISGHEO4</v>
      </c>
      <c r="I702" s="7">
        <f>IFERROR(__xludf.DUMMYFUNCTION("vlookup(C702,importrange(""1kw74ismGU34AsZ5x-W4x7F3Zt2xc8NSYcCVMrCJBmdQ"",""DRP for 8 products!B:E""),4,0)"),6.0)</f>
        <v>6</v>
      </c>
      <c r="J702" s="8" t="str">
        <f t="shared" si="1"/>
        <v>Tier 4</v>
      </c>
      <c r="K702" s="9" t="str">
        <f t="shared" si="2"/>
        <v>Active</v>
      </c>
      <c r="L702" s="4" t="str">
        <f>IFERROR(__xludf.DUMMYFUNCTION("vlookup(C702,importrange(""1kw74ismGU34AsZ5x-W4x7F3Zt2xc8NSYcCVMrCJBmdQ"",""DRP for 8 products!B:H""),6,0)"),"BigQuery")</f>
        <v>BigQuery</v>
      </c>
      <c r="M702" s="10" t="str">
        <f t="shared" si="3"/>
        <v>Yes</v>
      </c>
    </row>
    <row r="703">
      <c r="A703" s="4" t="str">
        <f>IFERROR(__xludf.DUMMYFUNCTION("vlookup(C703,IMPORTRANGE(""1Kgoo8qyo6zMtf_5B03ksZz228jg0XpZ4_KXsdHQ4Vks"",""14 Sept!A:B""),2,0)"),"DME2912")</f>
        <v>DME2912</v>
      </c>
      <c r="B703" s="5" t="str">
        <f>IFERROR(__xludf.DUMMYFUNCTION("""COMPUTED_VALUE"""),"Avinash R")</f>
        <v>Avinash R</v>
      </c>
      <c r="C703" s="5" t="str">
        <f>IFERROR(__xludf.DUMMYFUNCTION("""COMPUTED_VALUE"""),"avinash.r@onixnet.com")</f>
        <v>avinash.r@onixnet.com</v>
      </c>
      <c r="D703" s="4" t="s">
        <v>11</v>
      </c>
      <c r="E703" s="6" t="str">
        <f>IFERROR(__xludf.DUMMYFUNCTION("vlookup($A703,importrange(""1fyGnaViAX9kns28pvsfPvI9925sAI7kxPlM7jpuHVJM"",""Validation!A:Z""),11,0)"),"Delivery Services")</f>
        <v>Delivery Services</v>
      </c>
      <c r="F703" s="6" t="str">
        <f>IFERROR(__xludf.DUMMYFUNCTION("vlookup($A703,importrange(""1fyGnaViAX9kns28pvsfPvI9925sAI7kxPlM7jpuHVJM"",""Validation!A:Z""),23,0)"),"Naveen Harish")</f>
        <v>Naveen Harish</v>
      </c>
      <c r="G703" s="6" t="str">
        <f>IFERROR(__xludf.DUMMYFUNCTION("vlookup(A703,importrange(""1fyGnaViAX9kns28pvsfPvI9925sAI7kxPlM7jpuHVJM"",""Validation!A:Z""),22,0)"),"Cluster - Varun")</f>
        <v>Cluster - Varun</v>
      </c>
      <c r="H703" s="4" t="str">
        <f>IFERROR(__xludf.DUMMYFUNCTION("vlookup(C703,importrange(""1kw74ismGU34AsZ5x-W4x7F3Zt2xc8NSYcCVMrCJBmdQ"",""DRP for 8 products!B:C""),2,0)"),"ONIAROQI7")</f>
        <v>ONIAROQI7</v>
      </c>
      <c r="I703" s="7">
        <f>IFERROR(__xludf.DUMMYFUNCTION("vlookup(C703,importrange(""1kw74ismGU34AsZ5x-W4x7F3Zt2xc8NSYcCVMrCJBmdQ"",""DRP for 8 products!B:E""),4,0)"),9.0)</f>
        <v>9</v>
      </c>
      <c r="J703" s="8" t="str">
        <f t="shared" si="1"/>
        <v>Tier 4</v>
      </c>
      <c r="K703" s="9" t="str">
        <f t="shared" si="2"/>
        <v>Active</v>
      </c>
      <c r="L703" s="4" t="str">
        <f>IFERROR(__xludf.DUMMYFUNCTION("vlookup(C703,importrange(""1kw74ismGU34AsZ5x-W4x7F3Zt2xc8NSYcCVMrCJBmdQ"",""DRP for 8 products!B:H""),6,0)"),"BigQuery")</f>
        <v>BigQuery</v>
      </c>
      <c r="M703" s="10" t="str">
        <f t="shared" si="3"/>
        <v>Yes</v>
      </c>
    </row>
    <row r="704">
      <c r="A704" s="4" t="str">
        <f>IFERROR(__xludf.DUMMYFUNCTION("vlookup(C704,IMPORTRANGE(""1Kgoo8qyo6zMtf_5B03ksZz228jg0XpZ4_KXsdHQ4Vks"",""14 Sept!A:B""),2,0)"),"DME3268")</f>
        <v>DME3268</v>
      </c>
      <c r="B704" s="5" t="str">
        <f>IFERROR(__xludf.DUMMYFUNCTION("""COMPUTED_VALUE"""),"Harshika Magaraiya")</f>
        <v>Harshika Magaraiya</v>
      </c>
      <c r="C704" s="5" t="str">
        <f>IFERROR(__xludf.DUMMYFUNCTION("""COMPUTED_VALUE"""),"harshika.magaraiya@onixnet.com")</f>
        <v>harshika.magaraiya@onixnet.com</v>
      </c>
      <c r="D704" s="4" t="s">
        <v>11</v>
      </c>
      <c r="E704" s="6" t="str">
        <f>IFERROR(__xludf.DUMMYFUNCTION("vlookup($A704,importrange(""1fyGnaViAX9kns28pvsfPvI9925sAI7kxPlM7jpuHVJM"",""Validation!A:Z""),11,0)"),"Delivery Services")</f>
        <v>Delivery Services</v>
      </c>
      <c r="F704" s="6" t="str">
        <f>IFERROR(__xludf.DUMMYFUNCTION("vlookup($A704,importrange(""1fyGnaViAX9kns28pvsfPvI9925sAI7kxPlM7jpuHVJM"",""Validation!A:Z""),23,0)"),"Sneha Bhatambrekar")</f>
        <v>Sneha Bhatambrekar</v>
      </c>
      <c r="G704" s="6" t="str">
        <f>IFERROR(__xludf.DUMMYFUNCTION("vlookup(A704,importrange(""1fyGnaViAX9kns28pvsfPvI9925sAI7kxPlM7jpuHVJM"",""Validation!A:Z""),22,0)"),"Cluster - Sandeep")</f>
        <v>Cluster - Sandeep</v>
      </c>
      <c r="H704" s="4" t="str">
        <f>IFERROR(__xludf.DUMMYFUNCTION("vlookup(C704,importrange(""1kw74ismGU34AsZ5x-W4x7F3Zt2xc8NSYcCVMrCJBmdQ"",""DRP for 8 products!B:C""),2,0)"),"ONIHMQKW5")</f>
        <v>ONIHMQKW5</v>
      </c>
      <c r="I704" s="7">
        <f>IFERROR(__xludf.DUMMYFUNCTION("vlookup(C704,importrange(""1kw74ismGU34AsZ5x-W4x7F3Zt2xc8NSYcCVMrCJBmdQ"",""DRP for 8 products!B:E""),4,0)"),14.0)</f>
        <v>14</v>
      </c>
      <c r="J704" s="8" t="str">
        <f t="shared" si="1"/>
        <v>Tier 4</v>
      </c>
      <c r="K704" s="9" t="str">
        <f t="shared" si="2"/>
        <v>Active</v>
      </c>
      <c r="L704" s="4" t="str">
        <f>IFERROR(__xludf.DUMMYFUNCTION("vlookup(C704,importrange(""1kw74ismGU34AsZ5x-W4x7F3Zt2xc8NSYcCVMrCJBmdQ"",""DRP for 8 products!B:H""),6,0)"),"BigQuery")</f>
        <v>BigQuery</v>
      </c>
      <c r="M704" s="10" t="str">
        <f t="shared" si="3"/>
        <v>Yes</v>
      </c>
    </row>
    <row r="705">
      <c r="A705" s="4" t="str">
        <f>IFERROR(__xludf.DUMMYFUNCTION("vlookup(C705,IMPORTRANGE(""1Kgoo8qyo6zMtf_5B03ksZz228jg0XpZ4_KXsdHQ4Vks"",""14 Sept!A:B""),2,0)"),"DME2240")</f>
        <v>DME2240</v>
      </c>
      <c r="B705" s="5" t="str">
        <f>IFERROR(__xludf.DUMMYFUNCTION("""COMPUTED_VALUE"""),"Shubham Dak")</f>
        <v>Shubham Dak</v>
      </c>
      <c r="C705" s="5" t="str">
        <f>IFERROR(__xludf.DUMMYFUNCTION("""COMPUTED_VALUE"""),"shubham.dak@onixnet.com")</f>
        <v>shubham.dak@onixnet.com</v>
      </c>
      <c r="D705" s="4" t="s">
        <v>11</v>
      </c>
      <c r="E705" s="6" t="str">
        <f>IFERROR(__xludf.DUMMYFUNCTION("vlookup($A705,importrange(""1fyGnaViAX9kns28pvsfPvI9925sAI7kxPlM7jpuHVJM"",""Validation!A:Z""),11,0)"),"Delivery Services")</f>
        <v>Delivery Services</v>
      </c>
      <c r="F705" s="6" t="str">
        <f>IFERROR(__xludf.DUMMYFUNCTION("vlookup($A705,importrange(""1fyGnaViAX9kns28pvsfPvI9925sAI7kxPlM7jpuHVJM"",""Validation!A:Z""),23,0)"),"Pooja Chawda")</f>
        <v>Pooja Chawda</v>
      </c>
      <c r="G705" s="6" t="str">
        <f>IFERROR(__xludf.DUMMYFUNCTION("vlookup(A705,importrange(""1fyGnaViAX9kns28pvsfPvI9925sAI7kxPlM7jpuHVJM"",""Validation!A:Z""),22,0)"),"Cluster - Sandeep")</f>
        <v>Cluster - Sandeep</v>
      </c>
      <c r="H705" s="4" t="str">
        <f>IFERROR(__xludf.DUMMYFUNCTION("vlookup(C705,importrange(""1kw74ismGU34AsZ5x-W4x7F3Zt2xc8NSYcCVMrCJBmdQ"",""DRP for 8 products!B:C""),2,0)"),"ONISDQSH5")</f>
        <v>ONISDQSH5</v>
      </c>
      <c r="I705" s="7">
        <f>IFERROR(__xludf.DUMMYFUNCTION("vlookup(C705,importrange(""1kw74ismGU34AsZ5x-W4x7F3Zt2xc8NSYcCVMrCJBmdQ"",""DRP for 8 products!B:E""),4,0)"),9.0)</f>
        <v>9</v>
      </c>
      <c r="J705" s="8" t="str">
        <f t="shared" si="1"/>
        <v>Tier 4</v>
      </c>
      <c r="K705" s="9" t="str">
        <f t="shared" si="2"/>
        <v>Active</v>
      </c>
      <c r="L705" s="4" t="str">
        <f>IFERROR(__xludf.DUMMYFUNCTION("vlookup(C705,importrange(""1kw74ismGU34AsZ5x-W4x7F3Zt2xc8NSYcCVMrCJBmdQ"",""DRP for 8 products!B:H""),6,0)"),"Dataproc")</f>
        <v>Dataproc</v>
      </c>
      <c r="M705" s="10" t="str">
        <f t="shared" si="3"/>
        <v>Yes</v>
      </c>
    </row>
    <row r="706">
      <c r="A706" s="4" t="str">
        <f>IFERROR(__xludf.DUMMYFUNCTION("vlookup(C706,IMPORTRANGE(""1Kgoo8qyo6zMtf_5B03ksZz228jg0XpZ4_KXsdHQ4Vks"",""14 Sept!A:B""),2,0)"),"ONIX864")</f>
        <v>ONIX864</v>
      </c>
      <c r="B706" s="5" t="str">
        <f>IFERROR(__xludf.DUMMYFUNCTION("""COMPUTED_VALUE"""),"Jonathan Winters")</f>
        <v>Jonathan Winters</v>
      </c>
      <c r="C706" s="5" t="str">
        <f>IFERROR(__xludf.DUMMYFUNCTION("""COMPUTED_VALUE"""),"jonathan.winters@onixnet.com")</f>
        <v>jonathan.winters@onixnet.com</v>
      </c>
      <c r="D706" s="4" t="s">
        <v>11</v>
      </c>
      <c r="E706" s="6" t="str">
        <f>IFERROR(__xludf.DUMMYFUNCTION("vlookup($A706,importrange(""1fyGnaViAX9kns28pvsfPvI9925sAI7kxPlM7jpuHVJM"",""Validation!A:Z""),11,0)"),"Delivery")</f>
        <v>Delivery</v>
      </c>
      <c r="F706" s="6" t="str">
        <f>IFERROR(__xludf.DUMMYFUNCTION("vlookup($A706,importrange(""1fyGnaViAX9kns28pvsfPvI9925sAI7kxPlM7jpuHVJM"",""Validation!A:Z""),23,0)"),"LeePatrick McIntire")</f>
        <v>LeePatrick McIntire</v>
      </c>
      <c r="G706" s="6" t="str">
        <f>IFERROR(__xludf.DUMMYFUNCTION("vlookup(A706,importrange(""1fyGnaViAX9kns28pvsfPvI9925sAI7kxPlM7jpuHVJM"",""Validation!A:Z""),22,0)"),"Portfolio - Thomas (AI)")</f>
        <v>Portfolio - Thomas (AI)</v>
      </c>
      <c r="H706" s="4" t="str">
        <f>IFERROR(__xludf.DUMMYFUNCTION("vlookup(C706,importrange(""1kw74ismGU34AsZ5x-W4x7F3Zt2xc8NSYcCVMrCJBmdQ"",""DRP for 8 products!B:C""),2,0)"),"ONIJWYZL3")</f>
        <v>ONIJWYZL3</v>
      </c>
      <c r="I706" s="7">
        <f>IFERROR(__xludf.DUMMYFUNCTION("vlookup(C706,importrange(""1kw74ismGU34AsZ5x-W4x7F3Zt2xc8NSYcCVMrCJBmdQ"",""DRP for 8 products!B:E""),4,0)"),9.0)</f>
        <v>9</v>
      </c>
      <c r="J706" s="8" t="str">
        <f t="shared" si="1"/>
        <v>Tier 4</v>
      </c>
      <c r="K706" s="9" t="str">
        <f t="shared" si="2"/>
        <v>Active</v>
      </c>
      <c r="L706" s="4" t="str">
        <f>IFERROR(__xludf.DUMMYFUNCTION("vlookup(C706,importrange(""1kw74ismGU34AsZ5x-W4x7F3Zt2xc8NSYcCVMrCJBmdQ"",""DRP for 8 products!B:H""),6,0)"),"BigQuery")</f>
        <v>BigQuery</v>
      </c>
      <c r="M706" s="10" t="str">
        <f t="shared" si="3"/>
        <v>Yes</v>
      </c>
    </row>
    <row r="707">
      <c r="A707" s="4" t="str">
        <f>IFERROR(__xludf.DUMMYFUNCTION("vlookup(C707,IMPORTRANGE(""1Kgoo8qyo6zMtf_5B03ksZz228jg0XpZ4_KXsdHQ4Vks"",""14 Sept!A:B""),2,0)"),"ONIX808")</f>
        <v>ONIX808</v>
      </c>
      <c r="B707" s="5" t="str">
        <f>IFERROR(__xludf.DUMMYFUNCTION("""COMPUTED_VALUE"""),"Priyanka Nikam")</f>
        <v>Priyanka Nikam</v>
      </c>
      <c r="C707" s="5" t="str">
        <f>IFERROR(__xludf.DUMMYFUNCTION("""COMPUTED_VALUE"""),"priyanka.nikam@onixnet.com")</f>
        <v>priyanka.nikam@onixnet.com</v>
      </c>
      <c r="D707" s="4" t="s">
        <v>11</v>
      </c>
      <c r="E707" s="6" t="str">
        <f>IFERROR(__xludf.DUMMYFUNCTION("vlookup($A707,importrange(""1fyGnaViAX9kns28pvsfPvI9925sAI7kxPlM7jpuHVJM"",""Validation!A:Z""),11,0)"),"Delivery")</f>
        <v>Delivery</v>
      </c>
      <c r="F707" s="6" t="str">
        <f>IFERROR(__xludf.DUMMYFUNCTION("vlookup($A707,importrange(""1fyGnaViAX9kns28pvsfPvI9925sAI7kxPlM7jpuHVJM"",""Validation!A:Z""),23,0)"),"Joshua Shnider")</f>
        <v>Joshua Shnider</v>
      </c>
      <c r="G707" s="6" t="str">
        <f>IFERROR(__xludf.DUMMYFUNCTION("vlookup(A707,importrange(""1fyGnaViAX9kns28pvsfPvI9925sAI7kxPlM7jpuHVJM"",""Validation!A:Z""),22,0)"),"Portfolio - Kanth")</f>
        <v>Portfolio - Kanth</v>
      </c>
      <c r="H707" s="4" t="str">
        <f>IFERROR(__xludf.DUMMYFUNCTION("vlookup(C707,importrange(""1kw74ismGU34AsZ5x-W4x7F3Zt2xc8NSYcCVMrCJBmdQ"",""DRP for 8 products!B:C""),2,0)"),"ONIPNDZL0")</f>
        <v>ONIPNDZL0</v>
      </c>
      <c r="I707" s="7">
        <f>IFERROR(__xludf.DUMMYFUNCTION("vlookup(C707,importrange(""1kw74ismGU34AsZ5x-W4x7F3Zt2xc8NSYcCVMrCJBmdQ"",""DRP for 8 products!B:E""),4,0)"),29.0)</f>
        <v>29</v>
      </c>
      <c r="J707" s="8" t="str">
        <f t="shared" si="1"/>
        <v>Tier 3</v>
      </c>
      <c r="K707" s="9" t="str">
        <f t="shared" si="2"/>
        <v>Active</v>
      </c>
      <c r="L707" s="4" t="str">
        <f>IFERROR(__xludf.DUMMYFUNCTION("vlookup(C707,importrange(""1kw74ismGU34AsZ5x-W4x7F3Zt2xc8NSYcCVMrCJBmdQ"",""DRP for 8 products!B:H""),6,0)"),"BigQuery")</f>
        <v>BigQuery</v>
      </c>
      <c r="M707" s="10" t="str">
        <f t="shared" si="3"/>
        <v>Yes</v>
      </c>
    </row>
    <row r="708">
      <c r="A708" s="4" t="str">
        <f>IFERROR(__xludf.DUMMYFUNCTION("vlookup(C708,IMPORTRANGE(""1Kgoo8qyo6zMtf_5B03ksZz228jg0XpZ4_KXsdHQ4Vks"",""14 Sept!A:B""),2,0)"),"DME2705")</f>
        <v>DME2705</v>
      </c>
      <c r="B708" s="5" t="str">
        <f>IFERROR(__xludf.DUMMYFUNCTION("""COMPUTED_VALUE"""),"Sheela Sawant")</f>
        <v>Sheela Sawant</v>
      </c>
      <c r="C708" s="5" t="str">
        <f>IFERROR(__xludf.DUMMYFUNCTION("""COMPUTED_VALUE"""),"sheela.sawant@onixnet.com")</f>
        <v>sheela.sawant@onixnet.com</v>
      </c>
      <c r="D708" s="4" t="s">
        <v>11</v>
      </c>
      <c r="E708" s="6" t="str">
        <f>IFERROR(__xludf.DUMMYFUNCTION("vlookup($A708,importrange(""1fyGnaViAX9kns28pvsfPvI9925sAI7kxPlM7jpuHVJM"",""Validation!A:Z""),11,0)"),"Delivery Services")</f>
        <v>Delivery Services</v>
      </c>
      <c r="F708" s="6" t="str">
        <f>IFERROR(__xludf.DUMMYFUNCTION("vlookup($A708,importrange(""1fyGnaViAX9kns28pvsfPvI9925sAI7kxPlM7jpuHVJM"",""Validation!A:Z""),23,0)"),"Gaurav Bharara")</f>
        <v>Gaurav Bharara</v>
      </c>
      <c r="G708" s="6" t="str">
        <f>IFERROR(__xludf.DUMMYFUNCTION("vlookup(A708,importrange(""1fyGnaViAX9kns28pvsfPvI9925sAI7kxPlM7jpuHVJM"",""Validation!A:Z""),22,0)"),"Cluster - Gaurav")</f>
        <v>Cluster - Gaurav</v>
      </c>
      <c r="H708" s="4" t="str">
        <f>IFERROR(__xludf.DUMMYFUNCTION("vlookup(C708,importrange(""1kw74ismGU34AsZ5x-W4x7F3Zt2xc8NSYcCVMrCJBmdQ"",""DRP for 8 products!B:C""),2,0)"),"ONISSQVQ6")</f>
        <v>ONISSQVQ6</v>
      </c>
      <c r="I708" s="7">
        <f>IFERROR(__xludf.DUMMYFUNCTION("vlookup(C708,importrange(""1kw74ismGU34AsZ5x-W4x7F3Zt2xc8NSYcCVMrCJBmdQ"",""DRP for 8 products!B:E""),4,0)"),54.0)</f>
        <v>54</v>
      </c>
      <c r="J708" s="8" t="str">
        <f t="shared" si="1"/>
        <v>Tier 1</v>
      </c>
      <c r="K708" s="9" t="str">
        <f t="shared" si="2"/>
        <v>Active</v>
      </c>
      <c r="L708" s="4" t="str">
        <f>IFERROR(__xludf.DUMMYFUNCTION("vlookup(C708,importrange(""1kw74ismGU34AsZ5x-W4x7F3Zt2xc8NSYcCVMrCJBmdQ"",""DRP for 8 products!B:H""),6,0)"),"BigQuery")</f>
        <v>BigQuery</v>
      </c>
      <c r="M708" s="10" t="str">
        <f t="shared" si="3"/>
        <v>Yes</v>
      </c>
    </row>
    <row r="709">
      <c r="A709" s="4" t="str">
        <f>IFERROR(__xludf.DUMMYFUNCTION("vlookup(C709,IMPORTRANGE(""1Kgoo8qyo6zMtf_5B03ksZz228jg0XpZ4_KXsdHQ4Vks"",""14 Sept!A:B""),2,0)"),"ONIX823")</f>
        <v>ONIX823</v>
      </c>
      <c r="B709" s="5" t="str">
        <f>IFERROR(__xludf.DUMMYFUNCTION("""COMPUTED_VALUE"""),"Rameshwari Jadhav")</f>
        <v>Rameshwari Jadhav</v>
      </c>
      <c r="C709" s="5" t="str">
        <f>IFERROR(__xludf.DUMMYFUNCTION("""COMPUTED_VALUE"""),"rameshwari.jadhav@onixnet.com")</f>
        <v>rameshwari.jadhav@onixnet.com</v>
      </c>
      <c r="D709" s="4" t="s">
        <v>11</v>
      </c>
      <c r="E709" s="6" t="str">
        <f>IFERROR(__xludf.DUMMYFUNCTION("vlookup($A709,importrange(""1fyGnaViAX9kns28pvsfPvI9925sAI7kxPlM7jpuHVJM"",""Validation!A:Z""),11,0)"),"Delivery")</f>
        <v>Delivery</v>
      </c>
      <c r="F709" s="6" t="str">
        <f>IFERROR(__xludf.DUMMYFUNCTION("vlookup($A709,importrange(""1fyGnaViAX9kns28pvsfPvI9925sAI7kxPlM7jpuHVJM"",""Validation!A:Z""),23,0)"),"Venkat Srinivasan")</f>
        <v>Venkat Srinivasan</v>
      </c>
      <c r="G709" s="6" t="str">
        <f>IFERROR(__xludf.DUMMYFUNCTION("vlookup(A709,importrange(""1fyGnaViAX9kns28pvsfPvI9925sAI7kxPlM7jpuHVJM"",""Validation!A:Z""),22,0)"),"Portfolio - Rajesh")</f>
        <v>Portfolio - Rajesh</v>
      </c>
      <c r="H709" s="4" t="str">
        <f>IFERROR(__xludf.DUMMYFUNCTION("vlookup(C709,importrange(""1kw74ismGU34AsZ5x-W4x7F3Zt2xc8NSYcCVMrCJBmdQ"",""DRP for 8 products!B:C""),2,0)"),"ONIRJALP7")</f>
        <v>ONIRJALP7</v>
      </c>
      <c r="I709" s="7">
        <f>IFERROR(__xludf.DUMMYFUNCTION("vlookup(C709,importrange(""1kw74ismGU34AsZ5x-W4x7F3Zt2xc8NSYcCVMrCJBmdQ"",""DRP for 8 products!B:E""),4,0)"),29.0)</f>
        <v>29</v>
      </c>
      <c r="J709" s="8" t="str">
        <f t="shared" si="1"/>
        <v>Tier 3</v>
      </c>
      <c r="K709" s="9" t="str">
        <f t="shared" si="2"/>
        <v>Active</v>
      </c>
      <c r="L709" s="4" t="str">
        <f>IFERROR(__xludf.DUMMYFUNCTION("vlookup(C709,importrange(""1kw74ismGU34AsZ5x-W4x7F3Zt2xc8NSYcCVMrCJBmdQ"",""DRP for 8 products!B:H""),6,0)"),"BigQuery")</f>
        <v>BigQuery</v>
      </c>
      <c r="M709" s="10" t="str">
        <f t="shared" si="3"/>
        <v>Yes</v>
      </c>
    </row>
    <row r="710">
      <c r="A710" s="4" t="str">
        <f>IFERROR(__xludf.DUMMYFUNCTION("vlookup(C710,IMPORTRANGE(""1Kgoo8qyo6zMtf_5B03ksZz228jg0XpZ4_KXsdHQ4Vks"",""14 Sept!A:B""),2,0)"),"DMSI0106")</f>
        <v>DMSI0106</v>
      </c>
      <c r="B710" s="5" t="str">
        <f>IFERROR(__xludf.DUMMYFUNCTION("""COMPUTED_VALUE"""),"Ajinkya Deshmukh")</f>
        <v>Ajinkya Deshmukh</v>
      </c>
      <c r="C710" s="5" t="str">
        <f>IFERROR(__xludf.DUMMYFUNCTION("""COMPUTED_VALUE"""),"ajinkya.deshmukh@onixnet.com")</f>
        <v>ajinkya.deshmukh@onixnet.com</v>
      </c>
      <c r="D710" s="4" t="s">
        <v>11</v>
      </c>
      <c r="E710" s="6" t="str">
        <f>IFERROR(__xludf.DUMMYFUNCTION("vlookup($A710,importrange(""1fyGnaViAX9kns28pvsfPvI9925sAI7kxPlM7jpuHVJM"",""Validation!A:Z""),11,0)"),"Services")</f>
        <v>Services</v>
      </c>
      <c r="F710" s="6" t="str">
        <f>IFERROR(__xludf.DUMMYFUNCTION("vlookup($A710,importrange(""1fyGnaViAX9kns28pvsfPvI9925sAI7kxPlM7jpuHVJM"",""Validation!A:Z""),23,0)"),"Vrushali Srivastava")</f>
        <v>Vrushali Srivastava</v>
      </c>
      <c r="G710" s="6" t="str">
        <f>IFERROR(__xludf.DUMMYFUNCTION("vlookup(A710,importrange(""1fyGnaViAX9kns28pvsfPvI9925sAI7kxPlM7jpuHVJM"",""Validation!A:Z""),22,0)"),"Portfolio - Rajesh")</f>
        <v>Portfolio - Rajesh</v>
      </c>
      <c r="H710" s="4" t="str">
        <f>IFERROR(__xludf.DUMMYFUNCTION("vlookup(C710,importrange(""1kw74ismGU34AsZ5x-W4x7F3Zt2xc8NSYcCVMrCJBmdQ"",""DRP for 8 products!B:C""),2,0)"),"ONIADTFM1")</f>
        <v>ONIADTFM1</v>
      </c>
      <c r="I710" s="7">
        <f>IFERROR(__xludf.DUMMYFUNCTION("vlookup(C710,importrange(""1kw74ismGU34AsZ5x-W4x7F3Zt2xc8NSYcCVMrCJBmdQ"",""DRP for 8 products!B:E""),4,0)"),9.0)</f>
        <v>9</v>
      </c>
      <c r="J710" s="8" t="str">
        <f t="shared" si="1"/>
        <v>Tier 4</v>
      </c>
      <c r="K710" s="9" t="str">
        <f t="shared" si="2"/>
        <v>Active</v>
      </c>
      <c r="L710" s="4" t="str">
        <f>IFERROR(__xludf.DUMMYFUNCTION("vlookup(C710,importrange(""1kw74ismGU34AsZ5x-W4x7F3Zt2xc8NSYcCVMrCJBmdQ"",""DRP for 8 products!B:H""),6,0)"),"BigQuery")</f>
        <v>BigQuery</v>
      </c>
      <c r="M710" s="10" t="str">
        <f t="shared" si="3"/>
        <v>Yes</v>
      </c>
    </row>
    <row r="711">
      <c r="A711" s="4" t="str">
        <f>IFERROR(__xludf.DUMMYFUNCTION("vlookup(C711,IMPORTRANGE(""1Kgoo8qyo6zMtf_5B03ksZz228jg0XpZ4_KXsdHQ4Vks"",""14 Sept!A:B""),2,0)"),"DME2835")</f>
        <v>DME2835</v>
      </c>
      <c r="B711" s="5" t="str">
        <f>IFERROR(__xludf.DUMMYFUNCTION("""COMPUTED_VALUE"""),"Pratibha Bhagat")</f>
        <v>Pratibha Bhagat</v>
      </c>
      <c r="C711" s="5" t="str">
        <f>IFERROR(__xludf.DUMMYFUNCTION("""COMPUTED_VALUE"""),"pratibha.bhagat@onixnet.com")</f>
        <v>pratibha.bhagat@onixnet.com</v>
      </c>
      <c r="D711" s="4" t="s">
        <v>11</v>
      </c>
      <c r="E711" s="6" t="str">
        <f>IFERROR(__xludf.DUMMYFUNCTION("vlookup($A711,importrange(""1fyGnaViAX9kns28pvsfPvI9925sAI7kxPlM7jpuHVJM"",""Validation!A:Z""),11,0)"),"Delivery Services")</f>
        <v>Delivery Services</v>
      </c>
      <c r="F711" s="6" t="str">
        <f>IFERROR(__xludf.DUMMYFUNCTION("vlookup($A711,importrange(""1fyGnaViAX9kns28pvsfPvI9925sAI7kxPlM7jpuHVJM"",""Validation!A:Z""),23,0)"),"Poonam Sharma")</f>
        <v>Poonam Sharma</v>
      </c>
      <c r="G711" s="6" t="str">
        <f>IFERROR(__xludf.DUMMYFUNCTION("vlookup(A711,importrange(""1fyGnaViAX9kns28pvsfPvI9925sAI7kxPlM7jpuHVJM"",""Validation!A:Z""),22,0)"),"Cluster - Sachin")</f>
        <v>Cluster - Sachin</v>
      </c>
      <c r="H711" s="4" t="str">
        <f>IFERROR(__xludf.DUMMYFUNCTION("vlookup(C711,importrange(""1kw74ismGU34AsZ5x-W4x7F3Zt2xc8NSYcCVMrCJBmdQ"",""DRP for 8 products!B:C""),2,0)"),"ONIPBRVH8")</f>
        <v>ONIPBRVH8</v>
      </c>
      <c r="I711" s="7">
        <f>IFERROR(__xludf.DUMMYFUNCTION("vlookup(C711,importrange(""1kw74ismGU34AsZ5x-W4x7F3Zt2xc8NSYcCVMrCJBmdQ"",""DRP for 8 products!B:E""),4,0)"),17.0)</f>
        <v>17</v>
      </c>
      <c r="J711" s="8" t="str">
        <f t="shared" si="1"/>
        <v>Tier 4</v>
      </c>
      <c r="K711" s="9" t="str">
        <f t="shared" si="2"/>
        <v>Active</v>
      </c>
      <c r="L711" s="4" t="str">
        <f>IFERROR(__xludf.DUMMYFUNCTION("vlookup(C711,importrange(""1kw74ismGU34AsZ5x-W4x7F3Zt2xc8NSYcCVMrCJBmdQ"",""DRP for 8 products!B:H""),6,0)"),"BigQuery")</f>
        <v>BigQuery</v>
      </c>
      <c r="M711" s="10" t="str">
        <f t="shared" si="3"/>
        <v>Yes</v>
      </c>
    </row>
    <row r="712">
      <c r="A712" s="4" t="str">
        <f>IFERROR(__xludf.DUMMYFUNCTION("vlookup(C712,IMPORTRANGE(""1Kgoo8qyo6zMtf_5B03ksZz228jg0XpZ4_KXsdHQ4Vks"",""14 Sept!A:B""),2,0)"),"DME3018")</f>
        <v>DME3018</v>
      </c>
      <c r="B712" s="5" t="str">
        <f>IFERROR(__xludf.DUMMYFUNCTION("""COMPUTED_VALUE"""),"Bhavani Loya")</f>
        <v>Bhavani Loya</v>
      </c>
      <c r="C712" s="5" t="str">
        <f>IFERROR(__xludf.DUMMYFUNCTION("""COMPUTED_VALUE"""),"bhavani.loya@onixnet.com")</f>
        <v>bhavani.loya@onixnet.com</v>
      </c>
      <c r="D712" s="4" t="s">
        <v>11</v>
      </c>
      <c r="E712" s="6" t="str">
        <f>IFERROR(__xludf.DUMMYFUNCTION("vlookup($A712,importrange(""1fyGnaViAX9kns28pvsfPvI9925sAI7kxPlM7jpuHVJM"",""Validation!A:Z""),11,0)"),"Delivery Services")</f>
        <v>Delivery Services</v>
      </c>
      <c r="F712" s="6" t="str">
        <f>IFERROR(__xludf.DUMMYFUNCTION("vlookup($A712,importrange(""1fyGnaViAX9kns28pvsfPvI9925sAI7kxPlM7jpuHVJM"",""Validation!A:Z""),23,0)"),"Dinesh Bhamare")</f>
        <v>Dinesh Bhamare</v>
      </c>
      <c r="G712" s="6" t="str">
        <f>IFERROR(__xludf.DUMMYFUNCTION("vlookup(A712,importrange(""1fyGnaViAX9kns28pvsfPvI9925sAI7kxPlM7jpuHVJM"",""Validation!A:Z""),22,0)"),"Cluster - Shreepad")</f>
        <v>Cluster - Shreepad</v>
      </c>
      <c r="H712" s="4" t="str">
        <f>IFERROR(__xludf.DUMMYFUNCTION("vlookup(C712,importrange(""1kw74ismGU34AsZ5x-W4x7F3Zt2xc8NSYcCVMrCJBmdQ"",""DRP for 8 products!B:C""),2,0)"),"ONIBLBIP2")</f>
        <v>ONIBLBIP2</v>
      </c>
      <c r="I712" s="7">
        <f>IFERROR(__xludf.DUMMYFUNCTION("vlookup(C712,importrange(""1kw74ismGU34AsZ5x-W4x7F3Zt2xc8NSYcCVMrCJBmdQ"",""DRP for 8 products!B:E""),4,0)"),29.0)</f>
        <v>29</v>
      </c>
      <c r="J712" s="8" t="str">
        <f t="shared" si="1"/>
        <v>Tier 3</v>
      </c>
      <c r="K712" s="9" t="str">
        <f t="shared" si="2"/>
        <v>Active</v>
      </c>
      <c r="L712" s="4" t="str">
        <f>IFERROR(__xludf.DUMMYFUNCTION("vlookup(C712,importrange(""1kw74ismGU34AsZ5x-W4x7F3Zt2xc8NSYcCVMrCJBmdQ"",""DRP for 8 products!B:H""),6,0)"),"BigQuery")</f>
        <v>BigQuery</v>
      </c>
      <c r="M712" s="10" t="str">
        <f t="shared" si="3"/>
        <v>Yes</v>
      </c>
    </row>
    <row r="713">
      <c r="A713" s="4" t="str">
        <f>IFERROR(__xludf.DUMMYFUNCTION("vlookup(C713,IMPORTRANGE(""1Kgoo8qyo6zMtf_5B03ksZz228jg0XpZ4_KXsdHQ4Vks"",""14 Sept!A:B""),2,0)"),"DME1906")</f>
        <v>DME1906</v>
      </c>
      <c r="B713" s="5" t="str">
        <f>IFERROR(__xludf.DUMMYFUNCTION("""COMPUTED_VALUE"""),"Gayatri Zipare")</f>
        <v>Gayatri Zipare</v>
      </c>
      <c r="C713" s="5" t="str">
        <f>IFERROR(__xludf.DUMMYFUNCTION("""COMPUTED_VALUE"""),"gayatri.zipare@onixnet.com")</f>
        <v>gayatri.zipare@onixnet.com</v>
      </c>
      <c r="D713" s="4" t="s">
        <v>11</v>
      </c>
      <c r="E713" s="6" t="str">
        <f>IFERROR(__xludf.DUMMYFUNCTION("vlookup($A713,importrange(""1fyGnaViAX9kns28pvsfPvI9925sAI7kxPlM7jpuHVJM"",""Validation!A:Z""),11,0)"),"Delivery Services")</f>
        <v>Delivery Services</v>
      </c>
      <c r="F713" s="6" t="str">
        <f>IFERROR(__xludf.DUMMYFUNCTION("vlookup($A713,importrange(""1fyGnaViAX9kns28pvsfPvI9925sAI7kxPlM7jpuHVJM"",""Validation!A:Z""),23,0)"),"Jitender Singh")</f>
        <v>Jitender Singh</v>
      </c>
      <c r="G713" s="6" t="str">
        <f>IFERROR(__xludf.DUMMYFUNCTION("vlookup(A713,importrange(""1fyGnaViAX9kns28pvsfPvI9925sAI7kxPlM7jpuHVJM"",""Validation!A:Z""),22,0)"),"Cluster - Gaurav")</f>
        <v>Cluster - Gaurav</v>
      </c>
      <c r="H713" s="4" t="str">
        <f>IFERROR(__xludf.DUMMYFUNCTION("vlookup(C713,importrange(""1kw74ismGU34AsZ5x-W4x7F3Zt2xc8NSYcCVMrCJBmdQ"",""DRP for 8 products!B:C""),2,0)"),"ONIGZOPF6")</f>
        <v>ONIGZOPF6</v>
      </c>
      <c r="I713" s="7">
        <f>IFERROR(__xludf.DUMMYFUNCTION("vlookup(C713,importrange(""1kw74ismGU34AsZ5x-W4x7F3Zt2xc8NSYcCVMrCJBmdQ"",""DRP for 8 products!B:E""),4,0)"),49.0)</f>
        <v>49</v>
      </c>
      <c r="J713" s="8" t="str">
        <f t="shared" si="1"/>
        <v>Tier 2</v>
      </c>
      <c r="K713" s="9" t="str">
        <f t="shared" si="2"/>
        <v>Active</v>
      </c>
      <c r="L713" s="4" t="str">
        <f>IFERROR(__xludf.DUMMYFUNCTION("vlookup(C713,importrange(""1kw74ismGU34AsZ5x-W4x7F3Zt2xc8NSYcCVMrCJBmdQ"",""DRP for 8 products!B:H""),6,0)"),"BigQuery")</f>
        <v>BigQuery</v>
      </c>
      <c r="M713" s="10" t="str">
        <f t="shared" si="3"/>
        <v>Yes</v>
      </c>
    </row>
    <row r="714">
      <c r="A714" s="4" t="str">
        <f>IFERROR(__xludf.DUMMYFUNCTION("vlookup(C714,IMPORTRANGE(""1Kgoo8qyo6zMtf_5B03ksZz228jg0XpZ4_KXsdHQ4Vks"",""14 Sept!A:B""),2,0)"),"DME1351")</f>
        <v>DME1351</v>
      </c>
      <c r="B714" s="5" t="str">
        <f>IFERROR(__xludf.DUMMYFUNCTION("""COMPUTED_VALUE"""),"Sumit Talware")</f>
        <v>Sumit Talware</v>
      </c>
      <c r="C714" s="5" t="str">
        <f>IFERROR(__xludf.DUMMYFUNCTION("""COMPUTED_VALUE"""),"sumit.talware@onixnet.com")</f>
        <v>sumit.talware@onixnet.com</v>
      </c>
      <c r="D714" s="4" t="s">
        <v>11</v>
      </c>
      <c r="E714" s="6" t="str">
        <f>IFERROR(__xludf.DUMMYFUNCTION("vlookup($A714,importrange(""1fyGnaViAX9kns28pvsfPvI9925sAI7kxPlM7jpuHVJM"",""Validation!A:Z""),11,0)"),"Delivery Services")</f>
        <v>Delivery Services</v>
      </c>
      <c r="F714" s="6" t="str">
        <f>IFERROR(__xludf.DUMMYFUNCTION("vlookup($A714,importrange(""1fyGnaViAX9kns28pvsfPvI9925sAI7kxPlM7jpuHVJM"",""Validation!A:Z""),23,0)"),"Mohit Shivramwar")</f>
        <v>Mohit Shivramwar</v>
      </c>
      <c r="G714" s="6" t="str">
        <f>IFERROR(__xludf.DUMMYFUNCTION("vlookup(A714,importrange(""1fyGnaViAX9kns28pvsfPvI9925sAI7kxPlM7jpuHVJM"",""Validation!A:Z""),22,0)"),"Cluster - Sagar")</f>
        <v>Cluster - Sagar</v>
      </c>
      <c r="H714" s="4" t="str">
        <f>IFERROR(__xludf.DUMMYFUNCTION("vlookup(C714,importrange(""1kw74ismGU34AsZ5x-W4x7F3Zt2xc8NSYcCVMrCJBmdQ"",""DRP for 8 products!B:C""),2,0)"),"ONISTDKN1")</f>
        <v>ONISTDKN1</v>
      </c>
      <c r="I714" s="7">
        <f>IFERROR(__xludf.DUMMYFUNCTION("vlookup(C714,importrange(""1kw74ismGU34AsZ5x-W4x7F3Zt2xc8NSYcCVMrCJBmdQ"",""DRP for 8 products!B:E""),4,0)"),54.0)</f>
        <v>54</v>
      </c>
      <c r="J714" s="8" t="str">
        <f t="shared" si="1"/>
        <v>Tier 1</v>
      </c>
      <c r="K714" s="9" t="str">
        <f t="shared" si="2"/>
        <v>Active</v>
      </c>
      <c r="L714" s="4" t="str">
        <f>IFERROR(__xludf.DUMMYFUNCTION("vlookup(C714,importrange(""1kw74ismGU34AsZ5x-W4x7F3Zt2xc8NSYcCVMrCJBmdQ"",""DRP for 8 products!B:H""),6,0)"),"BigQuery")</f>
        <v>BigQuery</v>
      </c>
      <c r="M714" s="10" t="str">
        <f t="shared" si="3"/>
        <v>Yes</v>
      </c>
    </row>
    <row r="715">
      <c r="A715" s="4" t="str">
        <f>IFERROR(__xludf.DUMMYFUNCTION("vlookup(C715,IMPORTRANGE(""1Kgoo8qyo6zMtf_5B03ksZz228jg0XpZ4_KXsdHQ4Vks"",""14 Sept!A:B""),2,0)"),"DME2797")</f>
        <v>DME2797</v>
      </c>
      <c r="B715" s="5" t="str">
        <f>IFERROR(__xludf.DUMMYFUNCTION("""COMPUTED_VALUE"""),"Ajay Kate")</f>
        <v>Ajay Kate</v>
      </c>
      <c r="C715" s="5" t="str">
        <f>IFERROR(__xludf.DUMMYFUNCTION("""COMPUTED_VALUE"""),"ajay.kate@onixnet.com")</f>
        <v>ajay.kate@onixnet.com</v>
      </c>
      <c r="D715" s="4" t="s">
        <v>11</v>
      </c>
      <c r="E715" s="6" t="str">
        <f>IFERROR(__xludf.DUMMYFUNCTION("vlookup($A715,importrange(""1fyGnaViAX9kns28pvsfPvI9925sAI7kxPlM7jpuHVJM"",""Validation!A:Z""),11,0)"),"Delivery Services")</f>
        <v>Delivery Services</v>
      </c>
      <c r="F715" s="6" t="str">
        <f>IFERROR(__xludf.DUMMYFUNCTION("vlookup($A715,importrange(""1fyGnaViAX9kns28pvsfPvI9925sAI7kxPlM7jpuHVJM"",""Validation!A:Z""),23,0)"),"Jitender Singh")</f>
        <v>Jitender Singh</v>
      </c>
      <c r="G715" s="6" t="str">
        <f>IFERROR(__xludf.DUMMYFUNCTION("vlookup(A715,importrange(""1fyGnaViAX9kns28pvsfPvI9925sAI7kxPlM7jpuHVJM"",""Validation!A:Z""),22,0)"),"Cluster - Gaurav")</f>
        <v>Cluster - Gaurav</v>
      </c>
      <c r="H715" s="4" t="str">
        <f>IFERROR(__xludf.DUMMYFUNCTION("vlookup(C715,importrange(""1kw74ismGU34AsZ5x-W4x7F3Zt2xc8NSYcCVMrCJBmdQ"",""DRP for 8 products!B:C""),2,0)"),"ONIAKFKY2")</f>
        <v>ONIAKFKY2</v>
      </c>
      <c r="I715" s="7">
        <f>IFERROR(__xludf.DUMMYFUNCTION("vlookup(C715,importrange(""1kw74ismGU34AsZ5x-W4x7F3Zt2xc8NSYcCVMrCJBmdQ"",""DRP for 8 products!B:E""),4,0)"),20.0)</f>
        <v>20</v>
      </c>
      <c r="J715" s="8" t="str">
        <f t="shared" si="1"/>
        <v>Tier 3</v>
      </c>
      <c r="K715" s="9" t="str">
        <f t="shared" si="2"/>
        <v>Active</v>
      </c>
      <c r="L715" s="4" t="str">
        <f>IFERROR(__xludf.DUMMYFUNCTION("vlookup(C715,importrange(""1kw74ismGU34AsZ5x-W4x7F3Zt2xc8NSYcCVMrCJBmdQ"",""DRP for 8 products!B:H""),6,0)"),"BigQuery")</f>
        <v>BigQuery</v>
      </c>
      <c r="M715" s="10" t="str">
        <f t="shared" si="3"/>
        <v>Yes</v>
      </c>
    </row>
    <row r="716">
      <c r="A716" s="4" t="str">
        <f>IFERROR(__xludf.DUMMYFUNCTION("vlookup(C716,IMPORTRANGE(""1Kgoo8qyo6zMtf_5B03ksZz228jg0XpZ4_KXsdHQ4Vks"",""14 Sept!A:B""),2,0)"),"ONIX896")</f>
        <v>ONIX896</v>
      </c>
      <c r="B716" s="5" t="str">
        <f>IFERROR(__xludf.DUMMYFUNCTION("""COMPUTED_VALUE"""),"Chad Eldridge")</f>
        <v>Chad Eldridge</v>
      </c>
      <c r="C716" s="5" t="str">
        <f>IFERROR(__xludf.DUMMYFUNCTION("""COMPUTED_VALUE"""),"chad.eldridge@onixnet.com")</f>
        <v>chad.eldridge@onixnet.com</v>
      </c>
      <c r="D716" s="4" t="s">
        <v>11</v>
      </c>
      <c r="E716" s="6" t="str">
        <f>IFERROR(__xludf.DUMMYFUNCTION("vlookup($A716,importrange(""1fyGnaViAX9kns28pvsfPvI9925sAI7kxPlM7jpuHVJM"",""Validation!A:Z""),11,0)"),"Delivery Services")</f>
        <v>Delivery Services</v>
      </c>
      <c r="F716" s="6" t="str">
        <f>IFERROR(__xludf.DUMMYFUNCTION("vlookup($A716,importrange(""1fyGnaViAX9kns28pvsfPvI9925sAI7kxPlM7jpuHVJM"",""Validation!A:Z""),23,0)"),"LeePatrick McIntire")</f>
        <v>LeePatrick McIntire</v>
      </c>
      <c r="G716" s="6" t="str">
        <f>IFERROR(__xludf.DUMMYFUNCTION("vlookup(A716,importrange(""1fyGnaViAX9kns28pvsfPvI9925sAI7kxPlM7jpuHVJM"",""Validation!A:Z""),22,0)"),"Portfolio - Thomas (AI)")</f>
        <v>Portfolio - Thomas (AI)</v>
      </c>
      <c r="H716" s="4" t="str">
        <f>IFERROR(__xludf.DUMMYFUNCTION("vlookup(C716,importrange(""1kw74ismGU34AsZ5x-W4x7F3Zt2xc8NSYcCVMrCJBmdQ"",""DRP for 8 products!B:C""),2,0)"),"ONICEDTP8")</f>
        <v>ONICEDTP8</v>
      </c>
      <c r="I716" s="7">
        <f>IFERROR(__xludf.DUMMYFUNCTION("vlookup(C716,importrange(""1kw74ismGU34AsZ5x-W4x7F3Zt2xc8NSYcCVMrCJBmdQ"",""DRP for 8 products!B:E""),4,0)"),9.0)</f>
        <v>9</v>
      </c>
      <c r="J716" s="8" t="str">
        <f t="shared" si="1"/>
        <v>Tier 4</v>
      </c>
      <c r="K716" s="9" t="str">
        <f t="shared" si="2"/>
        <v>Active</v>
      </c>
      <c r="L716" s="4" t="str">
        <f>IFERROR(__xludf.DUMMYFUNCTION("vlookup(C716,importrange(""1kw74ismGU34AsZ5x-W4x7F3Zt2xc8NSYcCVMrCJBmdQ"",""DRP for 8 products!B:H""),6,0)"),"Cloud SQL")</f>
        <v>Cloud SQL</v>
      </c>
      <c r="M716" s="10" t="str">
        <f t="shared" si="3"/>
        <v>Yes</v>
      </c>
    </row>
    <row r="717">
      <c r="A717" s="4" t="str">
        <f>IFERROR(__xludf.DUMMYFUNCTION("vlookup(C717,IMPORTRANGE(""1Kgoo8qyo6zMtf_5B03ksZz228jg0XpZ4_KXsdHQ4Vks"",""14 Sept!A:B""),2,0)"),"DME1971")</f>
        <v>DME1971</v>
      </c>
      <c r="B717" s="5" t="str">
        <f>IFERROR(__xludf.DUMMYFUNCTION("""COMPUTED_VALUE"""),"Kiran Rathod")</f>
        <v>Kiran Rathod</v>
      </c>
      <c r="C717" s="5" t="str">
        <f>IFERROR(__xludf.DUMMYFUNCTION("""COMPUTED_VALUE"""),"kiran.rathod@onixnet.com")</f>
        <v>kiran.rathod@onixnet.com</v>
      </c>
      <c r="D717" s="4" t="s">
        <v>11</v>
      </c>
      <c r="E717" s="6" t="str">
        <f>IFERROR(__xludf.DUMMYFUNCTION("vlookup($A717,importrange(""1fyGnaViAX9kns28pvsfPvI9925sAI7kxPlM7jpuHVJM"",""Validation!A:Z""),11,0)"),"Delivery Services")</f>
        <v>Delivery Services</v>
      </c>
      <c r="F717" s="6" t="str">
        <f>IFERROR(__xludf.DUMMYFUNCTION("vlookup($A717,importrange(""1fyGnaViAX9kns28pvsfPvI9925sAI7kxPlM7jpuHVJM"",""Validation!A:Z""),23,0)"),"Pooja Chawda")</f>
        <v>Pooja Chawda</v>
      </c>
      <c r="G717" s="6" t="str">
        <f>IFERROR(__xludf.DUMMYFUNCTION("vlookup(A717,importrange(""1fyGnaViAX9kns28pvsfPvI9925sAI7kxPlM7jpuHVJM"",""Validation!A:Z""),22,0)"),"Cluster - Sandeep")</f>
        <v>Cluster - Sandeep</v>
      </c>
      <c r="H717" s="4" t="str">
        <f>IFERROR(__xludf.DUMMYFUNCTION("vlookup(C717,importrange(""1kw74ismGU34AsZ5x-W4x7F3Zt2xc8NSYcCVMrCJBmdQ"",""DRP for 8 products!B:C""),2,0)"),"ONIKRMLK0")</f>
        <v>ONIKRMLK0</v>
      </c>
      <c r="I717" s="7">
        <f>IFERROR(__xludf.DUMMYFUNCTION("vlookup(C717,importrange(""1kw74ismGU34AsZ5x-W4x7F3Zt2xc8NSYcCVMrCJBmdQ"",""DRP for 8 products!B:E""),4,0)"),35.0)</f>
        <v>35</v>
      </c>
      <c r="J717" s="8" t="str">
        <f t="shared" si="1"/>
        <v>Tier 2</v>
      </c>
      <c r="K717" s="9" t="str">
        <f t="shared" si="2"/>
        <v>Active</v>
      </c>
      <c r="L717" s="4" t="str">
        <f>IFERROR(__xludf.DUMMYFUNCTION("vlookup(C717,importrange(""1kw74ismGU34AsZ5x-W4x7F3Zt2xc8NSYcCVMrCJBmdQ"",""DRP for 8 products!B:H""),6,0)"),"BigQuery")</f>
        <v>BigQuery</v>
      </c>
      <c r="M717" s="10" t="str">
        <f t="shared" si="3"/>
        <v>Yes</v>
      </c>
    </row>
    <row r="718">
      <c r="A718" s="4" t="str">
        <f>IFERROR(__xludf.DUMMYFUNCTION("vlookup(C718,IMPORTRANGE(""1Kgoo8qyo6zMtf_5B03ksZz228jg0XpZ4_KXsdHQ4Vks"",""14 Sept!A:B""),2,0)"),"DME3319")</f>
        <v>DME3319</v>
      </c>
      <c r="B718" s="5" t="str">
        <f>IFERROR(__xludf.DUMMYFUNCTION("""COMPUTED_VALUE"""),"Piyush Adhalikar")</f>
        <v>Piyush Adhalikar</v>
      </c>
      <c r="C718" s="5" t="str">
        <f>IFERROR(__xludf.DUMMYFUNCTION("""COMPUTED_VALUE"""),"piyush.adhalikar@onixnet.com")</f>
        <v>piyush.adhalikar@onixnet.com</v>
      </c>
      <c r="D718" s="4" t="s">
        <v>11</v>
      </c>
      <c r="E718" s="6" t="str">
        <f>IFERROR(__xludf.DUMMYFUNCTION("vlookup($A718,importrange(""1fyGnaViAX9kns28pvsfPvI9925sAI7kxPlM7jpuHVJM"",""Validation!A:Z""),11,0)"),"Delivery Services")</f>
        <v>Delivery Services</v>
      </c>
      <c r="F718" s="6" t="str">
        <f>IFERROR(__xludf.DUMMYFUNCTION("vlookup($A718,importrange(""1fyGnaViAX9kns28pvsfPvI9925sAI7kxPlM7jpuHVJM"",""Validation!A:Z""),23,0)"),"Yash Kumar")</f>
        <v>Yash Kumar</v>
      </c>
      <c r="G718" s="6" t="str">
        <f>IFERROR(__xludf.DUMMYFUNCTION("vlookup(A718,importrange(""1fyGnaViAX9kns28pvsfPvI9925sAI7kxPlM7jpuHVJM"",""Validation!A:Z""),22,0)"),"Cluster - Varun")</f>
        <v>Cluster - Varun</v>
      </c>
      <c r="H718" s="4" t="str">
        <f>IFERROR(__xludf.DUMMYFUNCTION("vlookup(C718,importrange(""1kw74ismGU34AsZ5x-W4x7F3Zt2xc8NSYcCVMrCJBmdQ"",""DRP for 8 products!B:C""),2,0)"),"ONIPAQJN2")</f>
        <v>ONIPAQJN2</v>
      </c>
      <c r="I718" s="7">
        <f>IFERROR(__xludf.DUMMYFUNCTION("vlookup(C718,importrange(""1kw74ismGU34AsZ5x-W4x7F3Zt2xc8NSYcCVMrCJBmdQ"",""DRP for 8 products!B:E""),4,0)"),13.0)</f>
        <v>13</v>
      </c>
      <c r="J718" s="8" t="str">
        <f t="shared" si="1"/>
        <v>Tier 4</v>
      </c>
      <c r="K718" s="9" t="str">
        <f t="shared" si="2"/>
        <v>Active</v>
      </c>
      <c r="L718" s="4" t="str">
        <f>IFERROR(__xludf.DUMMYFUNCTION("vlookup(C718,importrange(""1kw74ismGU34AsZ5x-W4x7F3Zt2xc8NSYcCVMrCJBmdQ"",""DRP for 8 products!B:H""),6,0)"),"Cloud SQL")</f>
        <v>Cloud SQL</v>
      </c>
      <c r="M718" s="10" t="str">
        <f t="shared" si="3"/>
        <v>Yes</v>
      </c>
    </row>
    <row r="719">
      <c r="A719" s="4" t="str">
        <f>IFERROR(__xludf.DUMMYFUNCTION("vlookup(C719,IMPORTRANGE(""1Kgoo8qyo6zMtf_5B03ksZz228jg0XpZ4_KXsdHQ4Vks"",""14 Sept!A:B""),2,0)"),"DMC1203")</f>
        <v>DMC1203</v>
      </c>
      <c r="B719" s="5" t="str">
        <f>IFERROR(__xludf.DUMMYFUNCTION("""COMPUTED_VALUE"""),"Nikita Shelke")</f>
        <v>Nikita Shelke</v>
      </c>
      <c r="C719" s="5" t="str">
        <f>IFERROR(__xludf.DUMMYFUNCTION("""COMPUTED_VALUE"""),"nikita.shelke@onixnet.us")</f>
        <v>nikita.shelke@onixnet.us</v>
      </c>
      <c r="D719" s="4" t="s">
        <v>11</v>
      </c>
      <c r="E719" s="6" t="str">
        <f>IFERROR(__xludf.DUMMYFUNCTION("vlookup($A719,importrange(""1fyGnaViAX9kns28pvsfPvI9925sAI7kxPlM7jpuHVJM"",""Validation!A:Z""),11,0)"),"Corporate Operations")</f>
        <v>Corporate Operations</v>
      </c>
      <c r="F719" s="6" t="str">
        <f>IFERROR(__xludf.DUMMYFUNCTION("vlookup($A719,importrange(""1fyGnaViAX9kns28pvsfPvI9925sAI7kxPlM7jpuHVJM"",""Validation!A:Z""),23,0)"),"Nikhil Ashok Shelke")</f>
        <v>Nikhil Ashok Shelke</v>
      </c>
      <c r="G719" s="6" t="str">
        <f>IFERROR(__xludf.DUMMYFUNCTION("vlookup(A719,importrange(""1fyGnaViAX9kns28pvsfPvI9925sAI7kxPlM7jpuHVJM"",""Validation!A:Z""),22,0)"),"Cluster - Bishakha")</f>
        <v>Cluster - Bishakha</v>
      </c>
      <c r="H719" s="4" t="str">
        <f>IFERROR(__xludf.DUMMYFUNCTION("vlookup(C719,importrange(""1kw74ismGU34AsZ5x-W4x7F3Zt2xc8NSYcCVMrCJBmdQ"",""DRP for 8 products!B:C""),2,0)"),"ONINSUGT2")</f>
        <v>ONINSUGT2</v>
      </c>
      <c r="I719" s="7">
        <f>IFERROR(__xludf.DUMMYFUNCTION("vlookup(C719,importrange(""1kw74ismGU34AsZ5x-W4x7F3Zt2xc8NSYcCVMrCJBmdQ"",""DRP for 8 products!B:E""),4,0)"),15.0)</f>
        <v>15</v>
      </c>
      <c r="J719" s="8" t="str">
        <f t="shared" si="1"/>
        <v>Tier 4</v>
      </c>
      <c r="K719" s="9" t="str">
        <f t="shared" si="2"/>
        <v>Active</v>
      </c>
      <c r="L719" s="4" t="str">
        <f>IFERROR(__xludf.DUMMYFUNCTION("vlookup(C719,importrange(""1kw74ismGU34AsZ5x-W4x7F3Zt2xc8NSYcCVMrCJBmdQ"",""DRP for 8 products!B:H""),6,0)"),"BigQuery")</f>
        <v>BigQuery</v>
      </c>
      <c r="M719" s="10" t="str">
        <f t="shared" si="3"/>
        <v>Yes</v>
      </c>
    </row>
    <row r="720">
      <c r="A720" s="4" t="str">
        <f>IFERROR(__xludf.DUMMYFUNCTION("vlookup(C720,IMPORTRANGE(""1Kgoo8qyo6zMtf_5B03ksZz228jg0XpZ4_KXsdHQ4Vks"",""14 Sept!A:B""),2,0)"),"DME0102")</f>
        <v>DME0102</v>
      </c>
      <c r="B720" s="5" t="str">
        <f>IFERROR(__xludf.DUMMYFUNCTION("""COMPUTED_VALUE"""),"Mangesh Borade")</f>
        <v>Mangesh Borade</v>
      </c>
      <c r="C720" s="5" t="str">
        <f>IFERROR(__xludf.DUMMYFUNCTION("""COMPUTED_VALUE"""),"mangesh.borade@onixnet.com")</f>
        <v>mangesh.borade@onixnet.com</v>
      </c>
      <c r="D720" s="4" t="s">
        <v>11</v>
      </c>
      <c r="E720" s="6" t="str">
        <f>IFERROR(__xludf.DUMMYFUNCTION("vlookup($A720,importrange(""1fyGnaViAX9kns28pvsfPvI9925sAI7kxPlM7jpuHVJM"",""Validation!A:Z""),11,0)"),"Delivery Services")</f>
        <v>Delivery Services</v>
      </c>
      <c r="F720" s="6" t="str">
        <f>IFERROR(__xludf.DUMMYFUNCTION("vlookup($A720,importrange(""1fyGnaViAX9kns28pvsfPvI9925sAI7kxPlM7jpuHVJM"",""Validation!A:Z""),23,0)"),"Devayani Girish Pillai")</f>
        <v>Devayani Girish Pillai</v>
      </c>
      <c r="G720" s="6" t="str">
        <f>IFERROR(__xludf.DUMMYFUNCTION("vlookup(A720,importrange(""1fyGnaViAX9kns28pvsfPvI9925sAI7kxPlM7jpuHVJM"",""Validation!A:Z""),22,0)"),"Cluster - Devayani")</f>
        <v>Cluster - Devayani</v>
      </c>
      <c r="H720" s="4" t="str">
        <f>IFERROR(__xludf.DUMMYFUNCTION("vlookup(C720,importrange(""1kw74ismGU34AsZ5x-W4x7F3Zt2xc8NSYcCVMrCJBmdQ"",""DRP for 8 products!B:C""),2,0)"),"ONIMBBIF0")</f>
        <v>ONIMBBIF0</v>
      </c>
      <c r="I720" s="7">
        <f>IFERROR(__xludf.DUMMYFUNCTION("vlookup(C720,importrange(""1kw74ismGU34AsZ5x-W4x7F3Zt2xc8NSYcCVMrCJBmdQ"",""DRP for 8 products!B:E""),4,0)"),19.0)</f>
        <v>19</v>
      </c>
      <c r="J720" s="8" t="str">
        <f t="shared" si="1"/>
        <v>Tier 4</v>
      </c>
      <c r="K720" s="9" t="str">
        <f t="shared" si="2"/>
        <v>Active</v>
      </c>
      <c r="L720" s="4" t="str">
        <f>IFERROR(__xludf.DUMMYFUNCTION("vlookup(C720,importrange(""1kw74ismGU34AsZ5x-W4x7F3Zt2xc8NSYcCVMrCJBmdQ"",""DRP for 8 products!B:H""),6,0)"),"BigQuery")</f>
        <v>BigQuery</v>
      </c>
      <c r="M720" s="10" t="str">
        <f t="shared" si="3"/>
        <v>Yes</v>
      </c>
    </row>
    <row r="721">
      <c r="A721" s="4" t="str">
        <f>IFERROR(__xludf.DUMMYFUNCTION("vlookup(C721,IMPORTRANGE(""1Kgoo8qyo6zMtf_5B03ksZz228jg0XpZ4_KXsdHQ4Vks"",""14 Sept!A:B""),2,0)"),"DME3398")</f>
        <v>DME3398</v>
      </c>
      <c r="B721" s="5" t="str">
        <f>IFERROR(__xludf.DUMMYFUNCTION("""COMPUTED_VALUE"""),"Balkrishana Bile")</f>
        <v>Balkrishana Bile</v>
      </c>
      <c r="C721" s="5" t="str">
        <f>IFERROR(__xludf.DUMMYFUNCTION("""COMPUTED_VALUE"""),"balkrishana.bile@onixnet.com")</f>
        <v>balkrishana.bile@onixnet.com</v>
      </c>
      <c r="D721" s="4" t="s">
        <v>11</v>
      </c>
      <c r="E721" s="6" t="str">
        <f>IFERROR(__xludf.DUMMYFUNCTION("vlookup($A721,importrange(""1fyGnaViAX9kns28pvsfPvI9925sAI7kxPlM7jpuHVJM"",""Validation!A:Z""),11,0)"),"Delivery Services")</f>
        <v>Delivery Services</v>
      </c>
      <c r="F721" s="6" t="str">
        <f>IFERROR(__xludf.DUMMYFUNCTION("vlookup($A721,importrange(""1fyGnaViAX9kns28pvsfPvI9925sAI7kxPlM7jpuHVJM"",""Validation!A:Z""),23,0)"),"Sneha Bhatambrekar")</f>
        <v>Sneha Bhatambrekar</v>
      </c>
      <c r="G721" s="6" t="str">
        <f>IFERROR(__xludf.DUMMYFUNCTION("vlookup(A721,importrange(""1fyGnaViAX9kns28pvsfPvI9925sAI7kxPlM7jpuHVJM"",""Validation!A:Z""),22,0)"),"Cluster - Sandeep")</f>
        <v>Cluster - Sandeep</v>
      </c>
      <c r="H721" s="4" t="str">
        <f>IFERROR(__xludf.DUMMYFUNCTION("vlookup(C721,importrange(""1kw74ismGU34AsZ5x-W4x7F3Zt2xc8NSYcCVMrCJBmdQ"",""DRP for 8 products!B:C""),2,0)"),"ONIBBBOI8")</f>
        <v>ONIBBBOI8</v>
      </c>
      <c r="I721" s="7">
        <f>IFERROR(__xludf.DUMMYFUNCTION("vlookup(C721,importrange(""1kw74ismGU34AsZ5x-W4x7F3Zt2xc8NSYcCVMrCJBmdQ"",""DRP for 8 products!B:E""),4,0)"),5.0)</f>
        <v>5</v>
      </c>
      <c r="J721" s="8" t="str">
        <f t="shared" si="1"/>
        <v>Tier 4</v>
      </c>
      <c r="K721" s="9" t="str">
        <f t="shared" si="2"/>
        <v>Active</v>
      </c>
      <c r="L721" s="4" t="str">
        <f>IFERROR(__xludf.DUMMYFUNCTION("vlookup(C721,importrange(""1kw74ismGU34AsZ5x-W4x7F3Zt2xc8NSYcCVMrCJBmdQ"",""DRP for 8 products!B:H""),6,0)"),"BigQuery")</f>
        <v>BigQuery</v>
      </c>
      <c r="M721" s="10" t="str">
        <f t="shared" si="3"/>
        <v>Yes</v>
      </c>
    </row>
    <row r="722">
      <c r="A722" s="4" t="str">
        <f>IFERROR(__xludf.DUMMYFUNCTION("vlookup(C722,IMPORTRANGE(""1Kgoo8qyo6zMtf_5B03ksZz228jg0XpZ4_KXsdHQ4Vks"",""14 Sept!A:B""),2,0)"),"DME3283")</f>
        <v>DME3283</v>
      </c>
      <c r="B722" s="5" t="str">
        <f>IFERROR(__xludf.DUMMYFUNCTION("""COMPUTED_VALUE"""),"Soham Gaikwad")</f>
        <v>Soham Gaikwad</v>
      </c>
      <c r="C722" s="5" t="str">
        <f>IFERROR(__xludf.DUMMYFUNCTION("""COMPUTED_VALUE"""),"soham.gaikwad@onixnet.com")</f>
        <v>soham.gaikwad@onixnet.com</v>
      </c>
      <c r="D722" s="4" t="s">
        <v>11</v>
      </c>
      <c r="E722" s="6" t="str">
        <f>IFERROR(__xludf.DUMMYFUNCTION("vlookup($A722,importrange(""1fyGnaViAX9kns28pvsfPvI9925sAI7kxPlM7jpuHVJM"",""Validation!A:Z""),11,0)"),"Delivery Services")</f>
        <v>Delivery Services</v>
      </c>
      <c r="F722" s="6" t="str">
        <f>IFERROR(__xludf.DUMMYFUNCTION("vlookup($A722,importrange(""1fyGnaViAX9kns28pvsfPvI9925sAI7kxPlM7jpuHVJM"",""Validation!A:Z""),23,0)"),"Amit Parekh")</f>
        <v>Amit Parekh</v>
      </c>
      <c r="G722" s="6" t="str">
        <f>IFERROR(__xludf.DUMMYFUNCTION("vlookup(A722,importrange(""1fyGnaViAX9kns28pvsfPvI9925sAI7kxPlM7jpuHVJM"",""Validation!A:Z""),22,0)"),"Cluster - Sandeep")</f>
        <v>Cluster - Sandeep</v>
      </c>
      <c r="H722" s="4" t="str">
        <f>IFERROR(__xludf.DUMMYFUNCTION("vlookup(C722,importrange(""1kw74ismGU34AsZ5x-W4x7F3Zt2xc8NSYcCVMrCJBmdQ"",""DRP for 8 products!B:C""),2,0)"),"ONISGCFG2")</f>
        <v>ONISGCFG2</v>
      </c>
      <c r="I722" s="7">
        <f>IFERROR(__xludf.DUMMYFUNCTION("vlookup(C722,importrange(""1kw74ismGU34AsZ5x-W4x7F3Zt2xc8NSYcCVMrCJBmdQ"",""DRP for 8 products!B:E""),4,0)"),5.0)</f>
        <v>5</v>
      </c>
      <c r="J722" s="8" t="str">
        <f t="shared" si="1"/>
        <v>Tier 4</v>
      </c>
      <c r="K722" s="9" t="str">
        <f t="shared" si="2"/>
        <v>Active</v>
      </c>
      <c r="L722" s="4" t="str">
        <f>IFERROR(__xludf.DUMMYFUNCTION("vlookup(C722,importrange(""1kw74ismGU34AsZ5x-W4x7F3Zt2xc8NSYcCVMrCJBmdQ"",""DRP for 8 products!B:H""),6,0)"),"Cloud SQL")</f>
        <v>Cloud SQL</v>
      </c>
      <c r="M722" s="10" t="str">
        <f t="shared" si="3"/>
        <v>Yes</v>
      </c>
    </row>
    <row r="723">
      <c r="A723" s="4" t="str">
        <f>IFERROR(__xludf.DUMMYFUNCTION("vlookup(C723,IMPORTRANGE(""1Kgoo8qyo6zMtf_5B03ksZz228jg0XpZ4_KXsdHQ4Vks"",""14 Sept!A:B""),2,0)"),"DME0686")</f>
        <v>DME0686</v>
      </c>
      <c r="B723" s="5" t="str">
        <f>IFERROR(__xludf.DUMMYFUNCTION("""COMPUTED_VALUE"""),"Smita Dhus")</f>
        <v>Smita Dhus</v>
      </c>
      <c r="C723" s="5" t="str">
        <f>IFERROR(__xludf.DUMMYFUNCTION("""COMPUTED_VALUE"""),"smita.dhus@onixnet.com")</f>
        <v>smita.dhus@onixnet.com</v>
      </c>
      <c r="D723" s="4" t="s">
        <v>11</v>
      </c>
      <c r="E723" s="6" t="str">
        <f>IFERROR(__xludf.DUMMYFUNCTION("vlookup($A723,importrange(""1fyGnaViAX9kns28pvsfPvI9925sAI7kxPlM7jpuHVJM"",""Validation!A:Z""),11,0)"),"Delivery Services")</f>
        <v>Delivery Services</v>
      </c>
      <c r="F723" s="6" t="str">
        <f>IFERROR(__xludf.DUMMYFUNCTION("vlookup($A723,importrange(""1fyGnaViAX9kns28pvsfPvI9925sAI7kxPlM7jpuHVJM"",""Validation!A:Z""),23,0)"),"Jitender Singh")</f>
        <v>Jitender Singh</v>
      </c>
      <c r="G723" s="6" t="str">
        <f>IFERROR(__xludf.DUMMYFUNCTION("vlookup(A723,importrange(""1fyGnaViAX9kns28pvsfPvI9925sAI7kxPlM7jpuHVJM"",""Validation!A:Z""),22,0)"),"Cluster - Gaurav")</f>
        <v>Cluster - Gaurav</v>
      </c>
      <c r="H723" s="4" t="str">
        <f>IFERROR(__xludf.DUMMYFUNCTION("vlookup(C723,importrange(""1kw74ismGU34AsZ5x-W4x7F3Zt2xc8NSYcCVMrCJBmdQ"",""DRP for 8 products!B:C""),2,0)"),"ONISDWGQ0")</f>
        <v>ONISDWGQ0</v>
      </c>
      <c r="I723" s="7">
        <f>IFERROR(__xludf.DUMMYFUNCTION("vlookup(C723,importrange(""1kw74ismGU34AsZ5x-W4x7F3Zt2xc8NSYcCVMrCJBmdQ"",""DRP for 8 products!B:E""),4,0)"),19.0)</f>
        <v>19</v>
      </c>
      <c r="J723" s="8" t="str">
        <f t="shared" si="1"/>
        <v>Tier 4</v>
      </c>
      <c r="K723" s="9" t="str">
        <f t="shared" si="2"/>
        <v>Active</v>
      </c>
      <c r="L723" s="4" t="str">
        <f>IFERROR(__xludf.DUMMYFUNCTION("vlookup(C723,importrange(""1kw74ismGU34AsZ5x-W4x7F3Zt2xc8NSYcCVMrCJBmdQ"",""DRP for 8 products!B:H""),6,0)"),"BigQuery")</f>
        <v>BigQuery</v>
      </c>
      <c r="M723" s="10" t="str">
        <f t="shared" si="3"/>
        <v>Yes</v>
      </c>
    </row>
    <row r="724">
      <c r="A724" s="4" t="str">
        <f>IFERROR(__xludf.DUMMYFUNCTION("vlookup(C724,IMPORTRANGE(""1Kgoo8qyo6zMtf_5B03ksZz228jg0XpZ4_KXsdHQ4Vks"",""14 Sept!A:B""),2,0)"),"DME3287")</f>
        <v>DME3287</v>
      </c>
      <c r="B724" s="5" t="str">
        <f>IFERROR(__xludf.DUMMYFUNCTION("""COMPUTED_VALUE"""),"Vipransh Anand")</f>
        <v>Vipransh Anand</v>
      </c>
      <c r="C724" s="5" t="str">
        <f>IFERROR(__xludf.DUMMYFUNCTION("""COMPUTED_VALUE"""),"vipransh.anand@onixnet.com")</f>
        <v>vipransh.anand@onixnet.com</v>
      </c>
      <c r="D724" s="4" t="s">
        <v>11</v>
      </c>
      <c r="E724" s="6" t="str">
        <f>IFERROR(__xludf.DUMMYFUNCTION("vlookup($A724,importrange(""1fyGnaViAX9kns28pvsfPvI9925sAI7kxPlM7jpuHVJM"",""Validation!A:Z""),11,0)"),"Delivery Services")</f>
        <v>Delivery Services</v>
      </c>
      <c r="F724" s="6" t="str">
        <f>IFERROR(__xludf.DUMMYFUNCTION("vlookup($A724,importrange(""1fyGnaViAX9kns28pvsfPvI9925sAI7kxPlM7jpuHVJM"",""Validation!A:Z""),23,0)"),"Pooja Chawda")</f>
        <v>Pooja Chawda</v>
      </c>
      <c r="G724" s="6" t="str">
        <f>IFERROR(__xludf.DUMMYFUNCTION("vlookup(A724,importrange(""1fyGnaViAX9kns28pvsfPvI9925sAI7kxPlM7jpuHVJM"",""Validation!A:Z""),22,0)"),"Cluster - Sandeep")</f>
        <v>Cluster - Sandeep</v>
      </c>
      <c r="H724" s="4" t="str">
        <f>IFERROR(__xludf.DUMMYFUNCTION("vlookup(C724,importrange(""1kw74ismGU34AsZ5x-W4x7F3Zt2xc8NSYcCVMrCJBmdQ"",""DRP for 8 products!B:C""),2,0)"),"ONIVAKZY5")</f>
        <v>ONIVAKZY5</v>
      </c>
      <c r="I724" s="7">
        <f>IFERROR(__xludf.DUMMYFUNCTION("vlookup(C724,importrange(""1kw74ismGU34AsZ5x-W4x7F3Zt2xc8NSYcCVMrCJBmdQ"",""DRP for 8 products!B:E""),4,0)"),30.0)</f>
        <v>30</v>
      </c>
      <c r="J724" s="8" t="str">
        <f t="shared" si="1"/>
        <v>Tier 3</v>
      </c>
      <c r="K724" s="9" t="str">
        <f t="shared" si="2"/>
        <v>Active</v>
      </c>
      <c r="L724" s="4" t="str">
        <f>IFERROR(__xludf.DUMMYFUNCTION("vlookup(C724,importrange(""1kw74ismGU34AsZ5x-W4x7F3Zt2xc8NSYcCVMrCJBmdQ"",""DRP for 8 products!B:H""),6,0)"),"BigQuery")</f>
        <v>BigQuery</v>
      </c>
      <c r="M724" s="10" t="str">
        <f t="shared" si="3"/>
        <v>Yes</v>
      </c>
    </row>
    <row r="725">
      <c r="A725" s="4" t="str">
        <f>IFERROR(__xludf.DUMMYFUNCTION("vlookup(C725,IMPORTRANGE(""1Kgoo8qyo6zMtf_5B03ksZz228jg0XpZ4_KXsdHQ4Vks"",""14 Sept!A:B""),2,0)"),"DME1196")</f>
        <v>DME1196</v>
      </c>
      <c r="B725" s="5" t="str">
        <f>IFERROR(__xludf.DUMMYFUNCTION("""COMPUTED_VALUE"""),"Vikram Mishra")</f>
        <v>Vikram Mishra</v>
      </c>
      <c r="C725" s="5" t="str">
        <f>IFERROR(__xludf.DUMMYFUNCTION("""COMPUTED_VALUE"""),"vikram.mishra@onixnet.com")</f>
        <v>vikram.mishra@onixnet.com</v>
      </c>
      <c r="D725" s="4" t="s">
        <v>11</v>
      </c>
      <c r="E725" s="6" t="str">
        <f>IFERROR(__xludf.DUMMYFUNCTION("vlookup($A725,importrange(""1fyGnaViAX9kns28pvsfPvI9925sAI7kxPlM7jpuHVJM"",""Validation!A:Z""),11,0)"),"Delivery Services")</f>
        <v>Delivery Services</v>
      </c>
      <c r="F725" s="6" t="str">
        <f>IFERROR(__xludf.DUMMYFUNCTION("vlookup($A725,importrange(""1fyGnaViAX9kns28pvsfPvI9925sAI7kxPlM7jpuHVJM"",""Validation!A:Z""),23,0)"),"Sneha Bhatambrekar")</f>
        <v>Sneha Bhatambrekar</v>
      </c>
      <c r="G725" s="6" t="str">
        <f>IFERROR(__xludf.DUMMYFUNCTION("vlookup(A725,importrange(""1fyGnaViAX9kns28pvsfPvI9925sAI7kxPlM7jpuHVJM"",""Validation!A:Z""),22,0)"),"Cluster - Sandeep")</f>
        <v>Cluster - Sandeep</v>
      </c>
      <c r="H725" s="4" t="str">
        <f>IFERROR(__xludf.DUMMYFUNCTION("vlookup(C725,importrange(""1kw74ismGU34AsZ5x-W4x7F3Zt2xc8NSYcCVMrCJBmdQ"",""DRP for 8 products!B:C""),2,0)"),"ONIVMFLE3")</f>
        <v>ONIVMFLE3</v>
      </c>
      <c r="I725" s="7">
        <f>IFERROR(__xludf.DUMMYFUNCTION("vlookup(C725,importrange(""1kw74ismGU34AsZ5x-W4x7F3Zt2xc8NSYcCVMrCJBmdQ"",""DRP for 8 products!B:E""),4,0)"),10.0)</f>
        <v>10</v>
      </c>
      <c r="J725" s="8" t="str">
        <f t="shared" si="1"/>
        <v>Tier 4</v>
      </c>
      <c r="K725" s="9" t="str">
        <f t="shared" si="2"/>
        <v>Active</v>
      </c>
      <c r="L725" s="4" t="str">
        <f>IFERROR(__xludf.DUMMYFUNCTION("vlookup(C725,importrange(""1kw74ismGU34AsZ5x-W4x7F3Zt2xc8NSYcCVMrCJBmdQ"",""DRP for 8 products!B:H""),6,0)"),"BigQuery")</f>
        <v>BigQuery</v>
      </c>
      <c r="M725" s="10" t="str">
        <f t="shared" si="3"/>
        <v>Yes</v>
      </c>
    </row>
    <row r="726">
      <c r="A726" s="4" t="str">
        <f>IFERROR(__xludf.DUMMYFUNCTION("vlookup(C726,IMPORTRANGE(""1Kgoo8qyo6zMtf_5B03ksZz228jg0XpZ4_KXsdHQ4Vks"",""14 Sept!A:B""),2,0)"),"DME0304")</f>
        <v>DME0304</v>
      </c>
      <c r="B726" s="5" t="str">
        <f>IFERROR(__xludf.DUMMYFUNCTION("""COMPUTED_VALUE"""),"Akash Morey")</f>
        <v>Akash Morey</v>
      </c>
      <c r="C726" s="5" t="str">
        <f>IFERROR(__xludf.DUMMYFUNCTION("""COMPUTED_VALUE"""),"akash.morey@onixnet.com")</f>
        <v>akash.morey@onixnet.com</v>
      </c>
      <c r="D726" s="4" t="s">
        <v>11</v>
      </c>
      <c r="E726" s="6" t="str">
        <f>IFERROR(__xludf.DUMMYFUNCTION("vlookup($A726,importrange(""1fyGnaViAX9kns28pvsfPvI9925sAI7kxPlM7jpuHVJM"",""Validation!A:Z""),11,0)"),"Delivery Services")</f>
        <v>Delivery Services</v>
      </c>
      <c r="F726" s="6" t="str">
        <f>IFERROR(__xludf.DUMMYFUNCTION("vlookup($A726,importrange(""1fyGnaViAX9kns28pvsfPvI9925sAI7kxPlM7jpuHVJM"",""Validation!A:Z""),23,0)"),"Arabi Mohammed")</f>
        <v>Arabi Mohammed</v>
      </c>
      <c r="G726" s="6" t="str">
        <f>IFERROR(__xludf.DUMMYFUNCTION("vlookup(A726,importrange(""1fyGnaViAX9kns28pvsfPvI9925sAI7kxPlM7jpuHVJM"",""Validation!A:Z""),22,0)"),"Cluster - Sandeep")</f>
        <v>Cluster - Sandeep</v>
      </c>
      <c r="H726" s="4" t="str">
        <f>IFERROR(__xludf.DUMMYFUNCTION("vlookup(C726,importrange(""1kw74ismGU34AsZ5x-W4x7F3Zt2xc8NSYcCVMrCJBmdQ"",""DRP for 8 products!B:C""),2,0)"),"ONIAMJJL9")</f>
        <v>ONIAMJJL9</v>
      </c>
      <c r="I726" s="7">
        <f>IFERROR(__xludf.DUMMYFUNCTION("vlookup(C726,importrange(""1kw74ismGU34AsZ5x-W4x7F3Zt2xc8NSYcCVMrCJBmdQ"",""DRP for 8 products!B:E""),4,0)"),14.0)</f>
        <v>14</v>
      </c>
      <c r="J726" s="8" t="str">
        <f t="shared" si="1"/>
        <v>Tier 4</v>
      </c>
      <c r="K726" s="9" t="str">
        <f t="shared" si="2"/>
        <v>Active</v>
      </c>
      <c r="L726" s="4" t="str">
        <f>IFERROR(__xludf.DUMMYFUNCTION("vlookup(C726,importrange(""1kw74ismGU34AsZ5x-W4x7F3Zt2xc8NSYcCVMrCJBmdQ"",""DRP for 8 products!B:H""),6,0)"),"BigQuery")</f>
        <v>BigQuery</v>
      </c>
      <c r="M726" s="10" t="str">
        <f t="shared" si="3"/>
        <v>Yes</v>
      </c>
    </row>
    <row r="727">
      <c r="A727" s="4" t="str">
        <f>IFERROR(__xludf.DUMMYFUNCTION("vlookup(C727,IMPORTRANGE(""1Kgoo8qyo6zMtf_5B03ksZz228jg0XpZ4_KXsdHQ4Vks"",""14 Sept!A:B""),2,0)"),"DME2684")</f>
        <v>DME2684</v>
      </c>
      <c r="B727" s="5" t="str">
        <f>IFERROR(__xludf.DUMMYFUNCTION("""COMPUTED_VALUE"""),"Bharti Grover")</f>
        <v>Bharti Grover</v>
      </c>
      <c r="C727" s="5" t="str">
        <f>IFERROR(__xludf.DUMMYFUNCTION("""COMPUTED_VALUE"""),"bharti.grover@onixnet.com")</f>
        <v>bharti.grover@onixnet.com</v>
      </c>
      <c r="D727" s="4" t="s">
        <v>11</v>
      </c>
      <c r="E727" s="6" t="str">
        <f>IFERROR(__xludf.DUMMYFUNCTION("vlookup($A727,importrange(""1fyGnaViAX9kns28pvsfPvI9925sAI7kxPlM7jpuHVJM"",""Validation!A:Z""),11,0)"),"Delivery Services")</f>
        <v>Delivery Services</v>
      </c>
      <c r="F727" s="6" t="str">
        <f>IFERROR(__xludf.DUMMYFUNCTION("vlookup($A727,importrange(""1fyGnaViAX9kns28pvsfPvI9925sAI7kxPlM7jpuHVJM"",""Validation!A:Z""),23,0)"),"Anand Saraf")</f>
        <v>Anand Saraf</v>
      </c>
      <c r="G727" s="6" t="str">
        <f>IFERROR(__xludf.DUMMYFUNCTION("vlookup(A727,importrange(""1fyGnaViAX9kns28pvsfPvI9925sAI7kxPlM7jpuHVJM"",""Validation!A:Z""),22,0)"),"Cluster - Sachin")</f>
        <v>Cluster - Sachin</v>
      </c>
      <c r="H727" s="4" t="str">
        <f>IFERROR(__xludf.DUMMYFUNCTION("vlookup(C727,importrange(""1kw74ismGU34AsZ5x-W4x7F3Zt2xc8NSYcCVMrCJBmdQ"",""DRP for 8 products!B:C""),2,0)"),"ONIBGJTV0")</f>
        <v>ONIBGJTV0</v>
      </c>
      <c r="I727" s="7">
        <f>IFERROR(__xludf.DUMMYFUNCTION("vlookup(C727,importrange(""1kw74ismGU34AsZ5x-W4x7F3Zt2xc8NSYcCVMrCJBmdQ"",""DRP for 8 products!B:E""),4,0)"),44.0)</f>
        <v>44</v>
      </c>
      <c r="J727" s="8" t="str">
        <f t="shared" si="1"/>
        <v>Tier 2</v>
      </c>
      <c r="K727" s="9" t="str">
        <f t="shared" si="2"/>
        <v>Active</v>
      </c>
      <c r="L727" s="4" t="str">
        <f>IFERROR(__xludf.DUMMYFUNCTION("vlookup(C727,importrange(""1kw74ismGU34AsZ5x-W4x7F3Zt2xc8NSYcCVMrCJBmdQ"",""DRP for 8 products!B:H""),6,0)"),"BigQuery")</f>
        <v>BigQuery</v>
      </c>
      <c r="M727" s="10" t="str">
        <f t="shared" si="3"/>
        <v>Yes</v>
      </c>
    </row>
    <row r="728">
      <c r="A728" s="4" t="str">
        <f>IFERROR(__xludf.DUMMYFUNCTION("vlookup(C728,IMPORTRANGE(""1Kgoo8qyo6zMtf_5B03ksZz228jg0XpZ4_KXsdHQ4Vks"",""14 Sept!A:B""),2,0)"),"DME3253")</f>
        <v>DME3253</v>
      </c>
      <c r="B728" s="5" t="str">
        <f>IFERROR(__xludf.DUMMYFUNCTION("""COMPUTED_VALUE"""),"Vishwas Narute")</f>
        <v>Vishwas Narute</v>
      </c>
      <c r="C728" s="5" t="str">
        <f>IFERROR(__xludf.DUMMYFUNCTION("""COMPUTED_VALUE"""),"vishwas.narute@onixnet.com")</f>
        <v>vishwas.narute@onixnet.com</v>
      </c>
      <c r="D728" s="4" t="s">
        <v>11</v>
      </c>
      <c r="E728" s="6" t="str">
        <f>IFERROR(__xludf.DUMMYFUNCTION("vlookup($A728,importrange(""1fyGnaViAX9kns28pvsfPvI9925sAI7kxPlM7jpuHVJM"",""Validation!A:Z""),11,0)"),"Delivery Services")</f>
        <v>Delivery Services</v>
      </c>
      <c r="F728" s="6" t="str">
        <f>IFERROR(__xludf.DUMMYFUNCTION("vlookup($A728,importrange(""1fyGnaViAX9kns28pvsfPvI9925sAI7kxPlM7jpuHVJM"",""Validation!A:Z""),23,0)"),"Sneha Bhatambrekar")</f>
        <v>Sneha Bhatambrekar</v>
      </c>
      <c r="G728" s="6" t="str">
        <f>IFERROR(__xludf.DUMMYFUNCTION("vlookup(A728,importrange(""1fyGnaViAX9kns28pvsfPvI9925sAI7kxPlM7jpuHVJM"",""Validation!A:Z""),22,0)"),"Cluster - Sandeep")</f>
        <v>Cluster - Sandeep</v>
      </c>
      <c r="H728" s="4" t="str">
        <f>IFERROR(__xludf.DUMMYFUNCTION("vlookup(C728,importrange(""1kw74ismGU34AsZ5x-W4x7F3Zt2xc8NSYcCVMrCJBmdQ"",""DRP for 8 products!B:C""),2,0)"),"ONIVNAJQ8")</f>
        <v>ONIVNAJQ8</v>
      </c>
      <c r="I728" s="7">
        <f>IFERROR(__xludf.DUMMYFUNCTION("vlookup(C728,importrange(""1kw74ismGU34AsZ5x-W4x7F3Zt2xc8NSYcCVMrCJBmdQ"",""DRP for 8 products!B:E""),4,0)"),35.0)</f>
        <v>35</v>
      </c>
      <c r="J728" s="8" t="str">
        <f t="shared" si="1"/>
        <v>Tier 2</v>
      </c>
      <c r="K728" s="9" t="str">
        <f t="shared" si="2"/>
        <v>Active</v>
      </c>
      <c r="L728" s="4" t="str">
        <f>IFERROR(__xludf.DUMMYFUNCTION("vlookup(C728,importrange(""1kw74ismGU34AsZ5x-W4x7F3Zt2xc8NSYcCVMrCJBmdQ"",""DRP for 8 products!B:H""),6,0)"),"BigQuery")</f>
        <v>BigQuery</v>
      </c>
      <c r="M728" s="10" t="str">
        <f t="shared" si="3"/>
        <v>Yes</v>
      </c>
    </row>
    <row r="729">
      <c r="A729" s="4" t="str">
        <f>IFERROR(__xludf.DUMMYFUNCTION("vlookup(C729,IMPORTRANGE(""1Kgoo8qyo6zMtf_5B03ksZz228jg0XpZ4_KXsdHQ4Vks"",""14 Sept!A:B""),2,0)"),"DME3015")</f>
        <v>DME3015</v>
      </c>
      <c r="B729" s="5" t="str">
        <f>IFERROR(__xludf.DUMMYFUNCTION("""COMPUTED_VALUE"""),"Monika Pharnawis")</f>
        <v>Monika Pharnawis</v>
      </c>
      <c r="C729" s="5" t="str">
        <f>IFERROR(__xludf.DUMMYFUNCTION("""COMPUTED_VALUE"""),"monika.pharnawis@onixnet.com")</f>
        <v>monika.pharnawis@onixnet.com</v>
      </c>
      <c r="D729" s="4" t="s">
        <v>11</v>
      </c>
      <c r="E729" s="6" t="str">
        <f>IFERROR(__xludf.DUMMYFUNCTION("vlookup($A729,importrange(""1fyGnaViAX9kns28pvsfPvI9925sAI7kxPlM7jpuHVJM"",""Validation!A:Z""),11,0)"),"Delivery Services")</f>
        <v>Delivery Services</v>
      </c>
      <c r="F729" s="6" t="str">
        <f>IFERROR(__xludf.DUMMYFUNCTION("vlookup($A729,importrange(""1fyGnaViAX9kns28pvsfPvI9925sAI7kxPlM7jpuHVJM"",""Validation!A:Z""),23,0)"),"Pritesh Chaudhari")</f>
        <v>Pritesh Chaudhari</v>
      </c>
      <c r="G729" s="6" t="str">
        <f>IFERROR(__xludf.DUMMYFUNCTION("vlookup(A729,importrange(""1fyGnaViAX9kns28pvsfPvI9925sAI7kxPlM7jpuHVJM"",""Validation!A:Z""),22,0)"),"Cluster - Sagar")</f>
        <v>Cluster - Sagar</v>
      </c>
      <c r="H729" s="4" t="str">
        <f>IFERROR(__xludf.DUMMYFUNCTION("vlookup(C729,importrange(""1kw74ismGU34AsZ5x-W4x7F3Zt2xc8NSYcCVMrCJBmdQ"",""DRP for 8 products!B:C""),2,0)"),"ONIMPCTT0")</f>
        <v>ONIMPCTT0</v>
      </c>
      <c r="I729" s="7">
        <f>IFERROR(__xludf.DUMMYFUNCTION("vlookup(C729,importrange(""1kw74ismGU34AsZ5x-W4x7F3Zt2xc8NSYcCVMrCJBmdQ"",""DRP for 8 products!B:E""),4,0)"),5.0)</f>
        <v>5</v>
      </c>
      <c r="J729" s="8" t="str">
        <f t="shared" si="1"/>
        <v>Tier 4</v>
      </c>
      <c r="K729" s="9" t="str">
        <f t="shared" si="2"/>
        <v>Active</v>
      </c>
      <c r="L729" s="4" t="str">
        <f>IFERROR(__xludf.DUMMYFUNCTION("vlookup(C729,importrange(""1kw74ismGU34AsZ5x-W4x7F3Zt2xc8NSYcCVMrCJBmdQ"",""DRP for 8 products!B:H""),6,0)"),"BigQuery")</f>
        <v>BigQuery</v>
      </c>
      <c r="M729" s="10" t="str">
        <f t="shared" si="3"/>
        <v>Yes</v>
      </c>
    </row>
    <row r="730">
      <c r="A730" s="4" t="str">
        <f>IFERROR(__xludf.DUMMYFUNCTION("vlookup(C730,IMPORTRANGE(""1Kgoo8qyo6zMtf_5B03ksZz228jg0XpZ4_KXsdHQ4Vks"",""14 Sept!A:B""),2,0)"),"DMSI0098")</f>
        <v>DMSI0098</v>
      </c>
      <c r="B730" s="5" t="str">
        <f>IFERROR(__xludf.DUMMYFUNCTION("""COMPUTED_VALUE"""),"Divya Nanda")</f>
        <v>Divya Nanda</v>
      </c>
      <c r="C730" s="5" t="str">
        <f>IFERROR(__xludf.DUMMYFUNCTION("""COMPUTED_VALUE"""),"divya.nanda@onixnet.com")</f>
        <v>divya.nanda@onixnet.com</v>
      </c>
      <c r="D730" s="4" t="s">
        <v>11</v>
      </c>
      <c r="E730" s="6" t="str">
        <f>IFERROR(__xludf.DUMMYFUNCTION("vlookup($A730,importrange(""1fyGnaViAX9kns28pvsfPvI9925sAI7kxPlM7jpuHVJM"",""Validation!A:Z""),11,0)"),"Services")</f>
        <v>Services</v>
      </c>
      <c r="F730" s="6" t="str">
        <f>IFERROR(__xludf.DUMMYFUNCTION("vlookup($A730,importrange(""1fyGnaViAX9kns28pvsfPvI9925sAI7kxPlM7jpuHVJM"",""Validation!A:Z""),23,0)"),"Kavindra Yerolkar")</f>
        <v>Kavindra Yerolkar</v>
      </c>
      <c r="G730" s="6" t="str">
        <f>IFERROR(__xludf.DUMMYFUNCTION("vlookup(A730,importrange(""1fyGnaViAX9kns28pvsfPvI9925sAI7kxPlM7jpuHVJM"",""Validation!A:Z""),22,0)"),"Portfolio - Rajesh")</f>
        <v>Portfolio - Rajesh</v>
      </c>
      <c r="H730" s="4" t="str">
        <f>IFERROR(__xludf.DUMMYFUNCTION("vlookup(C730,importrange(""1kw74ismGU34AsZ5x-W4x7F3Zt2xc8NSYcCVMrCJBmdQ"",""DRP for 8 products!B:C""),2,0)"),"ONIDNRKN7")</f>
        <v>ONIDNRKN7</v>
      </c>
      <c r="I730" s="7">
        <f>IFERROR(__xludf.DUMMYFUNCTION("vlookup(C730,importrange(""1kw74ismGU34AsZ5x-W4x7F3Zt2xc8NSYcCVMrCJBmdQ"",""DRP for 8 products!B:E""),4,0)"),15.0)</f>
        <v>15</v>
      </c>
      <c r="J730" s="8" t="str">
        <f t="shared" si="1"/>
        <v>Tier 4</v>
      </c>
      <c r="K730" s="9" t="str">
        <f t="shared" si="2"/>
        <v>Active</v>
      </c>
      <c r="L730" s="4" t="str">
        <f>IFERROR(__xludf.DUMMYFUNCTION("vlookup(C730,importrange(""1kw74ismGU34AsZ5x-W4x7F3Zt2xc8NSYcCVMrCJBmdQ"",""DRP for 8 products!B:H""),6,0)"),"BigQuery")</f>
        <v>BigQuery</v>
      </c>
      <c r="M730" s="10" t="str">
        <f t="shared" si="3"/>
        <v>Yes</v>
      </c>
    </row>
    <row r="731">
      <c r="A731" s="4" t="str">
        <f>IFERROR(__xludf.DUMMYFUNCTION("vlookup(C731,IMPORTRANGE(""1Kgoo8qyo6zMtf_5B03ksZz228jg0XpZ4_KXsdHQ4Vks"",""14 Sept!A:B""),2,0)"),"DME2399")</f>
        <v>DME2399</v>
      </c>
      <c r="B731" s="5" t="str">
        <f>IFERROR(__xludf.DUMMYFUNCTION("""COMPUTED_VALUE"""),"Jignesh Dhandhukia")</f>
        <v>Jignesh Dhandhukia</v>
      </c>
      <c r="C731" s="5" t="str">
        <f>IFERROR(__xludf.DUMMYFUNCTION("""COMPUTED_VALUE"""),"jignesh.d@onixnet.com")</f>
        <v>jignesh.d@onixnet.com</v>
      </c>
      <c r="D731" s="4" t="s">
        <v>11</v>
      </c>
      <c r="E731" s="6" t="str">
        <f>IFERROR(__xludf.DUMMYFUNCTION("vlookup($A731,importrange(""1fyGnaViAX9kns28pvsfPvI9925sAI7kxPlM7jpuHVJM"",""Validation!A:Z""),11,0)"),"Delivery Services")</f>
        <v>Delivery Services</v>
      </c>
      <c r="F731" s="6" t="str">
        <f>IFERROR(__xludf.DUMMYFUNCTION("vlookup($A731,importrange(""1fyGnaViAX9kns28pvsfPvI9925sAI7kxPlM7jpuHVJM"",""Validation!A:Z""),23,0)"),"Shreepad Dhok")</f>
        <v>Shreepad Dhok</v>
      </c>
      <c r="G731" s="6" t="str">
        <f>IFERROR(__xludf.DUMMYFUNCTION("vlookup(A731,importrange(""1fyGnaViAX9kns28pvsfPvI9925sAI7kxPlM7jpuHVJM"",""Validation!A:Z""),22,0)"),"Cluster - Shreepad")</f>
        <v>Cluster - Shreepad</v>
      </c>
      <c r="H731" s="4" t="str">
        <f>IFERROR(__xludf.DUMMYFUNCTION("vlookup(C731,importrange(""1kw74ismGU34AsZ5x-W4x7F3Zt2xc8NSYcCVMrCJBmdQ"",""DRP for 8 products!B:C""),2,0)"),"ONIJDAUT9")</f>
        <v>ONIJDAUT9</v>
      </c>
      <c r="I731" s="7">
        <f>IFERROR(__xludf.DUMMYFUNCTION("vlookup(C731,importrange(""1kw74ismGU34AsZ5x-W4x7F3Zt2xc8NSYcCVMrCJBmdQ"",""DRP for 8 products!B:E""),4,0)"),19.0)</f>
        <v>19</v>
      </c>
      <c r="J731" s="8" t="str">
        <f t="shared" si="1"/>
        <v>Tier 4</v>
      </c>
      <c r="K731" s="9" t="str">
        <f t="shared" si="2"/>
        <v>Active</v>
      </c>
      <c r="L731" s="4" t="str">
        <f>IFERROR(__xludf.DUMMYFUNCTION("vlookup(C731,importrange(""1kw74ismGU34AsZ5x-W4x7F3Zt2xc8NSYcCVMrCJBmdQ"",""DRP for 8 products!B:H""),6,0)"),"BigQuery")</f>
        <v>BigQuery</v>
      </c>
      <c r="M731" s="10" t="str">
        <f t="shared" si="3"/>
        <v>Yes</v>
      </c>
    </row>
    <row r="732">
      <c r="A732" s="4" t="str">
        <f>IFERROR(__xludf.DUMMYFUNCTION("vlookup(C732,IMPORTRANGE(""1Kgoo8qyo6zMtf_5B03ksZz228jg0XpZ4_KXsdHQ4Vks"",""14 Sept!A:B""),2,0)"),"DME2652")</f>
        <v>DME2652</v>
      </c>
      <c r="B732" s="5" t="str">
        <f>IFERROR(__xludf.DUMMYFUNCTION("""COMPUTED_VALUE"""),"Ankit Srivastava")</f>
        <v>Ankit Srivastava</v>
      </c>
      <c r="C732" s="5" t="str">
        <f>IFERROR(__xludf.DUMMYFUNCTION("""COMPUTED_VALUE"""),"ankit.srivastava@onixnet.com")</f>
        <v>ankit.srivastava@onixnet.com</v>
      </c>
      <c r="D732" s="4" t="s">
        <v>11</v>
      </c>
      <c r="E732" s="6" t="str">
        <f>IFERROR(__xludf.DUMMYFUNCTION("vlookup($A732,importrange(""1fyGnaViAX9kns28pvsfPvI9925sAI7kxPlM7jpuHVJM"",""Validation!A:Z""),11,0)"),"Delivery Services")</f>
        <v>Delivery Services</v>
      </c>
      <c r="F732" s="6" t="str">
        <f>IFERROR(__xludf.DUMMYFUNCTION("vlookup($A732,importrange(""1fyGnaViAX9kns28pvsfPvI9925sAI7kxPlM7jpuHVJM"",""Validation!A:Z""),23,0)"),"Hemanth Kolluru")</f>
        <v>Hemanth Kolluru</v>
      </c>
      <c r="G732" s="6" t="str">
        <f>IFERROR(__xludf.DUMMYFUNCTION("vlookup(A732,importrange(""1fyGnaViAX9kns28pvsfPvI9925sAI7kxPlM7jpuHVJM"",""Validation!A:Z""),22,0)"),"Cluster - Sachin")</f>
        <v>Cluster - Sachin</v>
      </c>
      <c r="H732" s="4" t="str">
        <f>IFERROR(__xludf.DUMMYFUNCTION("vlookup(C732,importrange(""1kw74ismGU34AsZ5x-W4x7F3Zt2xc8NSYcCVMrCJBmdQ"",""DRP for 8 products!B:C""),2,0)"),"ONIASPRS1")</f>
        <v>ONIASPRS1</v>
      </c>
      <c r="I732" s="7">
        <f>IFERROR(__xludf.DUMMYFUNCTION("vlookup(C732,importrange(""1kw74ismGU34AsZ5x-W4x7F3Zt2xc8NSYcCVMrCJBmdQ"",""DRP for 8 products!B:E""),4,0)"),49.0)</f>
        <v>49</v>
      </c>
      <c r="J732" s="8" t="str">
        <f t="shared" si="1"/>
        <v>Tier 2</v>
      </c>
      <c r="K732" s="9" t="str">
        <f t="shared" si="2"/>
        <v>Active</v>
      </c>
      <c r="L732" s="4" t="str">
        <f>IFERROR(__xludf.DUMMYFUNCTION("vlookup(C732,importrange(""1kw74ismGU34AsZ5x-W4x7F3Zt2xc8NSYcCVMrCJBmdQ"",""DRP for 8 products!B:H""),6,0)"),"BigQuery")</f>
        <v>BigQuery</v>
      </c>
      <c r="M732" s="10" t="str">
        <f t="shared" si="3"/>
        <v>Yes</v>
      </c>
    </row>
    <row r="733">
      <c r="A733" s="4" t="str">
        <f>IFERROR(__xludf.DUMMYFUNCTION("vlookup(C733,IMPORTRANGE(""1Kgoo8qyo6zMtf_5B03ksZz228jg0XpZ4_KXsdHQ4Vks"",""14 Sept!A:B""),2,0)"),"DME2606")</f>
        <v>DME2606</v>
      </c>
      <c r="B733" s="5" t="str">
        <f>IFERROR(__xludf.DUMMYFUNCTION("""COMPUTED_VALUE"""),"VIKASH KUMAR")</f>
        <v>VIKASH KUMAR</v>
      </c>
      <c r="C733" s="5" t="str">
        <f>IFERROR(__xludf.DUMMYFUNCTION("""COMPUTED_VALUE"""),"vikash.kumar1@onixnet.com")</f>
        <v>vikash.kumar1@onixnet.com</v>
      </c>
      <c r="D733" s="4" t="s">
        <v>11</v>
      </c>
      <c r="E733" s="6" t="str">
        <f>IFERROR(__xludf.DUMMYFUNCTION("vlookup($A733,importrange(""1fyGnaViAX9kns28pvsfPvI9925sAI7kxPlM7jpuHVJM"",""Validation!A:Z""),11,0)"),"Delivery Services")</f>
        <v>Delivery Services</v>
      </c>
      <c r="F733" s="6" t="str">
        <f>IFERROR(__xludf.DUMMYFUNCTION("vlookup($A733,importrange(""1fyGnaViAX9kns28pvsfPvI9925sAI7kxPlM7jpuHVJM"",""Validation!A:Z""),23,0)"),"Ravindra Pujari")</f>
        <v>Ravindra Pujari</v>
      </c>
      <c r="G733" s="6" t="str">
        <f>IFERROR(__xludf.DUMMYFUNCTION("vlookup(A733,importrange(""1fyGnaViAX9kns28pvsfPvI9925sAI7kxPlM7jpuHVJM"",""Validation!A:Z""),22,0)"),"Cluster - Sachin")</f>
        <v>Cluster - Sachin</v>
      </c>
      <c r="H733" s="4" t="str">
        <f>IFERROR(__xludf.DUMMYFUNCTION("vlookup(C733,importrange(""1kw74ismGU34AsZ5x-W4x7F3Zt2xc8NSYcCVMrCJBmdQ"",""DRP for 8 products!B:C""),2,0)"),"ONIVKVTW2")</f>
        <v>ONIVKVTW2</v>
      </c>
      <c r="I733" s="7">
        <f>IFERROR(__xludf.DUMMYFUNCTION("vlookup(C733,importrange(""1kw74ismGU34AsZ5x-W4x7F3Zt2xc8NSYcCVMrCJBmdQ"",""DRP for 8 products!B:E""),4,0)"),29.0)</f>
        <v>29</v>
      </c>
      <c r="J733" s="8" t="str">
        <f t="shared" si="1"/>
        <v>Tier 3</v>
      </c>
      <c r="K733" s="9" t="str">
        <f t="shared" si="2"/>
        <v>Active</v>
      </c>
      <c r="L733" s="4" t="str">
        <f>IFERROR(__xludf.DUMMYFUNCTION("vlookup(C733,importrange(""1kw74ismGU34AsZ5x-W4x7F3Zt2xc8NSYcCVMrCJBmdQ"",""DRP for 8 products!B:H""),6,0)"),"BigQuery")</f>
        <v>BigQuery</v>
      </c>
      <c r="M733" s="10" t="str">
        <f t="shared" si="3"/>
        <v>Yes</v>
      </c>
    </row>
    <row r="734">
      <c r="A734" s="4" t="str">
        <f>IFERROR(__xludf.DUMMYFUNCTION("vlookup(C734,IMPORTRANGE(""1Kgoo8qyo6zMtf_5B03ksZz228jg0XpZ4_KXsdHQ4Vks"",""14 Sept!A:B""),2,0)"),"DME3292")</f>
        <v>DME3292</v>
      </c>
      <c r="B734" s="5" t="str">
        <f>IFERROR(__xludf.DUMMYFUNCTION("""COMPUTED_VALUE"""),"Abhishek Singh")</f>
        <v>Abhishek Singh</v>
      </c>
      <c r="C734" s="5" t="str">
        <f>IFERROR(__xludf.DUMMYFUNCTION("""COMPUTED_VALUE"""),"abhishek.singh1@onixnet.com")</f>
        <v>abhishek.singh1@onixnet.com</v>
      </c>
      <c r="D734" s="4" t="s">
        <v>11</v>
      </c>
      <c r="E734" s="6" t="str">
        <f>IFERROR(__xludf.DUMMYFUNCTION("vlookup($A734,importrange(""1fyGnaViAX9kns28pvsfPvI9925sAI7kxPlM7jpuHVJM"",""Validation!A:Z""),11,0)"),"Product Engineering")</f>
        <v>Product Engineering</v>
      </c>
      <c r="F734" s="6" t="str">
        <f>IFERROR(__xludf.DUMMYFUNCTION("vlookup($A734,importrange(""1fyGnaViAX9kns28pvsfPvI9925sAI7kxPlM7jpuHVJM"",""Validation!A:Z""),23,0)"),"Venkat Shivkumar")</f>
        <v>Venkat Shivkumar</v>
      </c>
      <c r="G734" s="6" t="str">
        <f>IFERROR(__xludf.DUMMYFUNCTION("vlookup(A734,importrange(""1fyGnaViAX9kns28pvsfPvI9925sAI7kxPlM7jpuHVJM"",""Validation!A:Z""),22,0)"),"Cluster - Mayur")</f>
        <v>Cluster - Mayur</v>
      </c>
      <c r="H734" s="4" t="str">
        <f>IFERROR(__xludf.DUMMYFUNCTION("vlookup(C734,importrange(""1kw74ismGU34AsZ5x-W4x7F3Zt2xc8NSYcCVMrCJBmdQ"",""DRP for 8 products!B:C""),2,0)"),"ONIASBED7")</f>
        <v>ONIASBED7</v>
      </c>
      <c r="I734" s="7">
        <f>IFERROR(__xludf.DUMMYFUNCTION("vlookup(C734,importrange(""1kw74ismGU34AsZ5x-W4x7F3Zt2xc8NSYcCVMrCJBmdQ"",""DRP for 8 products!B:E""),4,0)"),10.0)</f>
        <v>10</v>
      </c>
      <c r="J734" s="8" t="str">
        <f t="shared" si="1"/>
        <v>Tier 4</v>
      </c>
      <c r="K734" s="9" t="str">
        <f t="shared" si="2"/>
        <v>Active</v>
      </c>
      <c r="L734" s="4" t="str">
        <f>IFERROR(__xludf.DUMMYFUNCTION("vlookup(C734,importrange(""1kw74ismGU34AsZ5x-W4x7F3Zt2xc8NSYcCVMrCJBmdQ"",""DRP for 8 products!B:H""),6,0)"),"BigQuery")</f>
        <v>BigQuery</v>
      </c>
      <c r="M734" s="10" t="str">
        <f t="shared" si="3"/>
        <v>Yes</v>
      </c>
    </row>
    <row r="735">
      <c r="A735" s="4" t="str">
        <f>IFERROR(__xludf.DUMMYFUNCTION("vlookup(C735,IMPORTRANGE(""1Kgoo8qyo6zMtf_5B03ksZz228jg0XpZ4_KXsdHQ4Vks"",""14 Sept!A:B""),2,0)"),"DME2521")</f>
        <v>DME2521</v>
      </c>
      <c r="B735" s="5" t="str">
        <f>IFERROR(__xludf.DUMMYFUNCTION("""COMPUTED_VALUE"""),"Sravan Deshabhotla")</f>
        <v>Sravan Deshabhotla</v>
      </c>
      <c r="C735" s="5" t="str">
        <f>IFERROR(__xludf.DUMMYFUNCTION("""COMPUTED_VALUE"""),"sravan.d@onixnet.com")</f>
        <v>sravan.d@onixnet.com</v>
      </c>
      <c r="D735" s="4" t="s">
        <v>11</v>
      </c>
      <c r="E735" s="6" t="str">
        <f>IFERROR(__xludf.DUMMYFUNCTION("vlookup($A735,importrange(""1fyGnaViAX9kns28pvsfPvI9925sAI7kxPlM7jpuHVJM"",""Validation!A:Z""),11,0)"),"Delivery Services")</f>
        <v>Delivery Services</v>
      </c>
      <c r="F735" s="6" t="str">
        <f>IFERROR(__xludf.DUMMYFUNCTION("vlookup($A735,importrange(""1fyGnaViAX9kns28pvsfPvI9925sAI7kxPlM7jpuHVJM"",""Validation!A:Z""),23,0)"),"Shreepad Dhok")</f>
        <v>Shreepad Dhok</v>
      </c>
      <c r="G735" s="6" t="str">
        <f>IFERROR(__xludf.DUMMYFUNCTION("vlookup(A735,importrange(""1fyGnaViAX9kns28pvsfPvI9925sAI7kxPlM7jpuHVJM"",""Validation!A:Z""),22,0)"),"Cluster - Shreepad")</f>
        <v>Cluster - Shreepad</v>
      </c>
      <c r="H735" s="4" t="str">
        <f>IFERROR(__xludf.DUMMYFUNCTION("vlookup(C735,importrange(""1kw74ismGU34AsZ5x-W4x7F3Zt2xc8NSYcCVMrCJBmdQ"",""DRP for 8 products!B:C""),2,0)"),"ONISDAZN5")</f>
        <v>ONISDAZN5</v>
      </c>
      <c r="I735" s="7">
        <f>IFERROR(__xludf.DUMMYFUNCTION("vlookup(C735,importrange(""1kw74ismGU34AsZ5x-W4x7F3Zt2xc8NSYcCVMrCJBmdQ"",""DRP for 8 products!B:E""),4,0)"),21.0)</f>
        <v>21</v>
      </c>
      <c r="J735" s="8" t="str">
        <f t="shared" si="1"/>
        <v>Tier 3</v>
      </c>
      <c r="K735" s="9" t="str">
        <f t="shared" si="2"/>
        <v>Active</v>
      </c>
      <c r="L735" s="4" t="str">
        <f>IFERROR(__xludf.DUMMYFUNCTION("vlookup(C735,importrange(""1kw74ismGU34AsZ5x-W4x7F3Zt2xc8NSYcCVMrCJBmdQ"",""DRP for 8 products!B:H""),6,0)"),"BigQuery")</f>
        <v>BigQuery</v>
      </c>
      <c r="M735" s="10" t="str">
        <f t="shared" si="3"/>
        <v>Yes</v>
      </c>
    </row>
    <row r="736">
      <c r="A736" s="4" t="str">
        <f>IFERROR(__xludf.DUMMYFUNCTION("vlookup(C736,IMPORTRANGE(""1Kgoo8qyo6zMtf_5B03ksZz228jg0XpZ4_KXsdHQ4Vks"",""14 Sept!A:B""),2,0)"),"DMC1231")</f>
        <v>DMC1231</v>
      </c>
      <c r="B736" s="5" t="str">
        <f>IFERROR(__xludf.DUMMYFUNCTION("""COMPUTED_VALUE"""),"Divya Ubarhande")</f>
        <v>Divya Ubarhande</v>
      </c>
      <c r="C736" s="5" t="str">
        <f>IFERROR(__xludf.DUMMYFUNCTION("""COMPUTED_VALUE"""),"divya.ubarhande@onixnet.us")</f>
        <v>divya.ubarhande@onixnet.us</v>
      </c>
      <c r="D736" s="4" t="s">
        <v>11</v>
      </c>
      <c r="E736" s="6" t="str">
        <f>IFERROR(__xludf.DUMMYFUNCTION("vlookup($A736,importrange(""1fyGnaViAX9kns28pvsfPvI9925sAI7kxPlM7jpuHVJM"",""Validation!A:Z""),11,0)"),"Corporate Operations")</f>
        <v>Corporate Operations</v>
      </c>
      <c r="F736" s="6" t="str">
        <f>IFERROR(__xludf.DUMMYFUNCTION("vlookup($A736,importrange(""1fyGnaViAX9kns28pvsfPvI9925sAI7kxPlM7jpuHVJM"",""Validation!A:Z""),23,0)"),"Nikhil Ashok Shelke")</f>
        <v>Nikhil Ashok Shelke</v>
      </c>
      <c r="G736" s="6" t="str">
        <f>IFERROR(__xludf.DUMMYFUNCTION("vlookup(A736,importrange(""1fyGnaViAX9kns28pvsfPvI9925sAI7kxPlM7jpuHVJM"",""Validation!A:Z""),22,0)"),"Cluster - Bishakha")</f>
        <v>Cluster - Bishakha</v>
      </c>
      <c r="H736" s="4" t="str">
        <f>IFERROR(__xludf.DUMMYFUNCTION("vlookup(C736,importrange(""1kw74ismGU34AsZ5x-W4x7F3Zt2xc8NSYcCVMrCJBmdQ"",""DRP for 8 products!B:C""),2,0)"),"ONIDUJWR6")</f>
        <v>ONIDUJWR6</v>
      </c>
      <c r="I736" s="7">
        <f>IFERROR(__xludf.DUMMYFUNCTION("vlookup(C736,importrange(""1kw74ismGU34AsZ5x-W4x7F3Zt2xc8NSYcCVMrCJBmdQ"",""DRP for 8 products!B:E""),4,0)"),10.0)</f>
        <v>10</v>
      </c>
      <c r="J736" s="8" t="str">
        <f t="shared" si="1"/>
        <v>Tier 4</v>
      </c>
      <c r="K736" s="9" t="str">
        <f t="shared" si="2"/>
        <v>Active</v>
      </c>
      <c r="L736" s="4" t="str">
        <f>IFERROR(__xludf.DUMMYFUNCTION("vlookup(C736,importrange(""1kw74ismGU34AsZ5x-W4x7F3Zt2xc8NSYcCVMrCJBmdQ"",""DRP for 8 products!B:H""),6,0)"),"Dataproc")</f>
        <v>Dataproc</v>
      </c>
      <c r="M736" s="10" t="str">
        <f t="shared" si="3"/>
        <v>Yes</v>
      </c>
    </row>
    <row r="737">
      <c r="A737" s="4" t="str">
        <f>IFERROR(__xludf.DUMMYFUNCTION("vlookup(C737,IMPORTRANGE(""1Kgoo8qyo6zMtf_5B03ksZz228jg0XpZ4_KXsdHQ4Vks"",""14 Sept!A:B""),2,0)"),"DME2703")</f>
        <v>DME2703</v>
      </c>
      <c r="B737" s="5" t="str">
        <f>IFERROR(__xludf.DUMMYFUNCTION("""COMPUTED_VALUE"""),"Shivam Yadav")</f>
        <v>Shivam Yadav</v>
      </c>
      <c r="C737" s="5" t="str">
        <f>IFERROR(__xludf.DUMMYFUNCTION("""COMPUTED_VALUE"""),"shivam.yadav@onixnet.com")</f>
        <v>shivam.yadav@onixnet.com</v>
      </c>
      <c r="D737" s="4" t="s">
        <v>11</v>
      </c>
      <c r="E737" s="6" t="str">
        <f>IFERROR(__xludf.DUMMYFUNCTION("vlookup($A737,importrange(""1fyGnaViAX9kns28pvsfPvI9925sAI7kxPlM7jpuHVJM"",""Validation!A:Z""),11,0)"),"Delivery Services")</f>
        <v>Delivery Services</v>
      </c>
      <c r="F737" s="6" t="str">
        <f>IFERROR(__xludf.DUMMYFUNCTION("vlookup($A737,importrange(""1fyGnaViAX9kns28pvsfPvI9925sAI7kxPlM7jpuHVJM"",""Validation!A:Z""),23,0)"),"Pratik Karpe")</f>
        <v>Pratik Karpe</v>
      </c>
      <c r="G737" s="6" t="str">
        <f>IFERROR(__xludf.DUMMYFUNCTION("vlookup(A737,importrange(""1fyGnaViAX9kns28pvsfPvI9925sAI7kxPlM7jpuHVJM"",""Validation!A:Z""),22,0)"),"Cluster - Gaurav")</f>
        <v>Cluster - Gaurav</v>
      </c>
      <c r="H737" s="4" t="str">
        <f>IFERROR(__xludf.DUMMYFUNCTION("vlookup(C737,importrange(""1kw74ismGU34AsZ5x-W4x7F3Zt2xc8NSYcCVMrCJBmdQ"",""DRP for 8 products!B:C""),2,0)"),"ONISYDZF9")</f>
        <v>ONISYDZF9</v>
      </c>
      <c r="I737" s="7">
        <f>IFERROR(__xludf.DUMMYFUNCTION("vlookup(C737,importrange(""1kw74ismGU34AsZ5x-W4x7F3Zt2xc8NSYcCVMrCJBmdQ"",""DRP for 8 products!B:E""),4,0)"),39.0)</f>
        <v>39</v>
      </c>
      <c r="J737" s="8" t="str">
        <f t="shared" si="1"/>
        <v>Tier 2</v>
      </c>
      <c r="K737" s="9" t="str">
        <f t="shared" si="2"/>
        <v>Active</v>
      </c>
      <c r="L737" s="4" t="str">
        <f>IFERROR(__xludf.DUMMYFUNCTION("vlookup(C737,importrange(""1kw74ismGU34AsZ5x-W4x7F3Zt2xc8NSYcCVMrCJBmdQ"",""DRP for 8 products!B:H""),6,0)"),"BigQuery")</f>
        <v>BigQuery</v>
      </c>
      <c r="M737" s="10" t="str">
        <f t="shared" si="3"/>
        <v>Yes</v>
      </c>
    </row>
    <row r="738">
      <c r="A738" s="4" t="str">
        <f>IFERROR(__xludf.DUMMYFUNCTION("vlookup(C738,IMPORTRANGE(""1Kgoo8qyo6zMtf_5B03ksZz228jg0XpZ4_KXsdHQ4Vks"",""14 Sept!A:B""),2,0)"),"DME2185")</f>
        <v>DME2185</v>
      </c>
      <c r="B738" s="5" t="str">
        <f>IFERROR(__xludf.DUMMYFUNCTION("""COMPUTED_VALUE"""),"Brahmasai Vadlamani")</f>
        <v>Brahmasai Vadlamani</v>
      </c>
      <c r="C738" s="5" t="str">
        <f>IFERROR(__xludf.DUMMYFUNCTION("""COMPUTED_VALUE"""),"brahmasai.v@onixnet.com")</f>
        <v>brahmasai.v@onixnet.com</v>
      </c>
      <c r="D738" s="4" t="s">
        <v>11</v>
      </c>
      <c r="E738" s="6" t="str">
        <f>IFERROR(__xludf.DUMMYFUNCTION("vlookup($A738,importrange(""1fyGnaViAX9kns28pvsfPvI9925sAI7kxPlM7jpuHVJM"",""Validation!A:Z""),11,0)"),"Delivery Services")</f>
        <v>Delivery Services</v>
      </c>
      <c r="F738" s="6" t="str">
        <f>IFERROR(__xludf.DUMMYFUNCTION("vlookup($A738,importrange(""1fyGnaViAX9kns28pvsfPvI9925sAI7kxPlM7jpuHVJM"",""Validation!A:Z""),23,0)"),"Sheela Sawant")</f>
        <v>Sheela Sawant</v>
      </c>
      <c r="G738" s="6" t="str">
        <f>IFERROR(__xludf.DUMMYFUNCTION("vlookup(A738,importrange(""1fyGnaViAX9kns28pvsfPvI9925sAI7kxPlM7jpuHVJM"",""Validation!A:Z""),22,0)"),"Cluster - Shreepad")</f>
        <v>Cluster - Shreepad</v>
      </c>
      <c r="H738" s="4" t="str">
        <f>IFERROR(__xludf.DUMMYFUNCTION("vlookup(C738,importrange(""1kw74ismGU34AsZ5x-W4x7F3Zt2xc8NSYcCVMrCJBmdQ"",""DRP for 8 products!B:C""),2,0)"),"ONIBVCPQ4")</f>
        <v>ONIBVCPQ4</v>
      </c>
      <c r="I738" s="7">
        <f>IFERROR(__xludf.DUMMYFUNCTION("vlookup(C738,importrange(""1kw74ismGU34AsZ5x-W4x7F3Zt2xc8NSYcCVMrCJBmdQ"",""DRP for 8 products!B:E""),4,0)"),35.0)</f>
        <v>35</v>
      </c>
      <c r="J738" s="8" t="str">
        <f t="shared" si="1"/>
        <v>Tier 2</v>
      </c>
      <c r="K738" s="9" t="str">
        <f t="shared" si="2"/>
        <v>Active</v>
      </c>
      <c r="L738" s="4" t="str">
        <f>IFERROR(__xludf.DUMMYFUNCTION("vlookup(C738,importrange(""1kw74ismGU34AsZ5x-W4x7F3Zt2xc8NSYcCVMrCJBmdQ"",""DRP for 8 products!B:H""),6,0)"),"BigQuery")</f>
        <v>BigQuery</v>
      </c>
      <c r="M738" s="10" t="str">
        <f t="shared" si="3"/>
        <v>Yes</v>
      </c>
    </row>
    <row r="739">
      <c r="A739" s="4" t="str">
        <f>IFERROR(__xludf.DUMMYFUNCTION("vlookup(C739,IMPORTRANGE(""1Kgoo8qyo6zMtf_5B03ksZz228jg0XpZ4_KXsdHQ4Vks"",""14 Sept!A:B""),2,0)"),"DME2310")</f>
        <v>DME2310</v>
      </c>
      <c r="B739" s="5" t="str">
        <f>IFERROR(__xludf.DUMMYFUNCTION("""COMPUTED_VALUE"""),"Anushri Agrawal")</f>
        <v>Anushri Agrawal</v>
      </c>
      <c r="C739" s="5" t="str">
        <f>IFERROR(__xludf.DUMMYFUNCTION("""COMPUTED_VALUE"""),"anushri.agrawal@onixnet.com")</f>
        <v>anushri.agrawal@onixnet.com</v>
      </c>
      <c r="D739" s="4" t="s">
        <v>11</v>
      </c>
      <c r="E739" s="6" t="str">
        <f>IFERROR(__xludf.DUMMYFUNCTION("vlookup($A739,importrange(""1fyGnaViAX9kns28pvsfPvI9925sAI7kxPlM7jpuHVJM"",""Validation!A:Z""),11,0)"),"Delivery Services")</f>
        <v>Delivery Services</v>
      </c>
      <c r="F739" s="6" t="str">
        <f>IFERROR(__xludf.DUMMYFUNCTION("vlookup($A739,importrange(""1fyGnaViAX9kns28pvsfPvI9925sAI7kxPlM7jpuHVJM"",""Validation!A:Z""),23,0)"),"Raavi Ashok Reddy")</f>
        <v>Raavi Ashok Reddy</v>
      </c>
      <c r="G739" s="6" t="str">
        <f>IFERROR(__xludf.DUMMYFUNCTION("vlookup(A739,importrange(""1fyGnaViAX9kns28pvsfPvI9925sAI7kxPlM7jpuHVJM"",""Validation!A:Z""),22,0)"),"Cluster - Gaurav")</f>
        <v>Cluster - Gaurav</v>
      </c>
      <c r="H739" s="4" t="str">
        <f>IFERROR(__xludf.DUMMYFUNCTION("vlookup(C739,importrange(""1kw74ismGU34AsZ5x-W4x7F3Zt2xc8NSYcCVMrCJBmdQ"",""DRP for 8 products!B:C""),2,0)"),"ONIAABLC5")</f>
        <v>ONIAABLC5</v>
      </c>
      <c r="I739" s="7">
        <f>IFERROR(__xludf.DUMMYFUNCTION("vlookup(C739,importrange(""1kw74ismGU34AsZ5x-W4x7F3Zt2xc8NSYcCVMrCJBmdQ"",""DRP for 8 products!B:E""),4,0)"),23.0)</f>
        <v>23</v>
      </c>
      <c r="J739" s="8" t="str">
        <f t="shared" si="1"/>
        <v>Tier 3</v>
      </c>
      <c r="K739" s="9" t="str">
        <f t="shared" si="2"/>
        <v>Active</v>
      </c>
      <c r="L739" s="4" t="str">
        <f>IFERROR(__xludf.DUMMYFUNCTION("vlookup(C739,importrange(""1kw74ismGU34AsZ5x-W4x7F3Zt2xc8NSYcCVMrCJBmdQ"",""DRP for 8 products!B:H""),6,0)"),"BigQuery")</f>
        <v>BigQuery</v>
      </c>
      <c r="M739" s="10" t="str">
        <f t="shared" si="3"/>
        <v>Yes</v>
      </c>
    </row>
    <row r="740">
      <c r="A740" s="4" t="str">
        <f>IFERROR(__xludf.DUMMYFUNCTION("vlookup(C740,IMPORTRANGE(""1Kgoo8qyo6zMtf_5B03ksZz228jg0XpZ4_KXsdHQ4Vks"",""14 Sept!A:B""),2,0)"),"DME3408")</f>
        <v>DME3408</v>
      </c>
      <c r="B740" s="5" t="str">
        <f>IFERROR(__xludf.DUMMYFUNCTION("""COMPUTED_VALUE"""),"Snehal Patil")</f>
        <v>Snehal Patil</v>
      </c>
      <c r="C740" s="5" t="str">
        <f>IFERROR(__xludf.DUMMYFUNCTION("""COMPUTED_VALUE"""),"snehal.patil@onixnet.com")</f>
        <v>snehal.patil@onixnet.com</v>
      </c>
      <c r="D740" s="4" t="s">
        <v>11</v>
      </c>
      <c r="E740" s="6" t="str">
        <f>IFERROR(__xludf.DUMMYFUNCTION("vlookup($A740,importrange(""1fyGnaViAX9kns28pvsfPvI9925sAI7kxPlM7jpuHVJM"",""Validation!A:Z""),11,0)"),"Delivery Services")</f>
        <v>Delivery Services</v>
      </c>
      <c r="F740" s="6" t="str">
        <f>IFERROR(__xludf.DUMMYFUNCTION("vlookup($A740,importrange(""1fyGnaViAX9kns28pvsfPvI9925sAI7kxPlM7jpuHVJM"",""Validation!A:Z""),23,0)"),"Mangesh Borade")</f>
        <v>Mangesh Borade</v>
      </c>
      <c r="G740" s="6" t="str">
        <f>IFERROR(__xludf.DUMMYFUNCTION("vlookup(A740,importrange(""1fyGnaViAX9kns28pvsfPvI9925sAI7kxPlM7jpuHVJM"",""Validation!A:Z""),22,0)"),"Cluster - Devayani")</f>
        <v>Cluster - Devayani</v>
      </c>
      <c r="H740" s="4" t="str">
        <f>IFERROR(__xludf.DUMMYFUNCTION("vlookup(C740,importrange(""1kw74ismGU34AsZ5x-W4x7F3Zt2xc8NSYcCVMrCJBmdQ"",""DRP for 8 products!B:C""),2,0)"),"ONISPDLD1")</f>
        <v>ONISPDLD1</v>
      </c>
      <c r="I740" s="7">
        <f>IFERROR(__xludf.DUMMYFUNCTION("vlookup(C740,importrange(""1kw74ismGU34AsZ5x-W4x7F3Zt2xc8NSYcCVMrCJBmdQ"",""DRP for 8 products!B:E""),4,0)"),7.0)</f>
        <v>7</v>
      </c>
      <c r="J740" s="8" t="str">
        <f t="shared" si="1"/>
        <v>Tier 4</v>
      </c>
      <c r="K740" s="9" t="str">
        <f t="shared" si="2"/>
        <v>Active</v>
      </c>
      <c r="L740" s="4" t="str">
        <f>IFERROR(__xludf.DUMMYFUNCTION("vlookup(C740,importrange(""1kw74ismGU34AsZ5x-W4x7F3Zt2xc8NSYcCVMrCJBmdQ"",""DRP for 8 products!B:H""),6,0)"),"Dataproc")</f>
        <v>Dataproc</v>
      </c>
      <c r="M740" s="10" t="str">
        <f t="shared" si="3"/>
        <v>Yes</v>
      </c>
    </row>
    <row r="741">
      <c r="A741" s="4" t="str">
        <f>IFERROR(__xludf.DUMMYFUNCTION("vlookup(C741,IMPORTRANGE(""1Kgoo8qyo6zMtf_5B03ksZz228jg0XpZ4_KXsdHQ4Vks"",""14 Sept!A:B""),2,0)"),"DME3409")</f>
        <v>DME3409</v>
      </c>
      <c r="B741" s="5" t="str">
        <f>IFERROR(__xludf.DUMMYFUNCTION("""COMPUTED_VALUE"""),"Vivek Dhokate")</f>
        <v>Vivek Dhokate</v>
      </c>
      <c r="C741" s="5" t="str">
        <f>IFERROR(__xludf.DUMMYFUNCTION("""COMPUTED_VALUE"""),"vivek.dhokate@onixnet.com")</f>
        <v>vivek.dhokate@onixnet.com</v>
      </c>
      <c r="D741" s="4" t="s">
        <v>11</v>
      </c>
      <c r="E741" s="6" t="str">
        <f>IFERROR(__xludf.DUMMYFUNCTION("vlookup($A741,importrange(""1fyGnaViAX9kns28pvsfPvI9925sAI7kxPlM7jpuHVJM"",""Validation!A:Z""),11,0)"),"Delivery Services")</f>
        <v>Delivery Services</v>
      </c>
      <c r="F741" s="6" t="str">
        <f>IFERROR(__xludf.DUMMYFUNCTION("vlookup($A741,importrange(""1fyGnaViAX9kns28pvsfPvI9925sAI7kxPlM7jpuHVJM"",""Validation!A:Z""),23,0)"),"Rameez Tamboli")</f>
        <v>Rameez Tamboli</v>
      </c>
      <c r="G741" s="6" t="str">
        <f>IFERROR(__xludf.DUMMYFUNCTION("vlookup(A741,importrange(""1fyGnaViAX9kns28pvsfPvI9925sAI7kxPlM7jpuHVJM"",""Validation!A:Z""),22,0)"),"Cluster - Devayani")</f>
        <v>Cluster - Devayani</v>
      </c>
      <c r="H741" s="4" t="str">
        <f>IFERROR(__xludf.DUMMYFUNCTION("vlookup(C741,importrange(""1kw74ismGU34AsZ5x-W4x7F3Zt2xc8NSYcCVMrCJBmdQ"",""DRP for 8 products!B:C""),2,0)"),"ONIVDIYK9")</f>
        <v>ONIVDIYK9</v>
      </c>
      <c r="I741" s="7">
        <f>IFERROR(__xludf.DUMMYFUNCTION("vlookup(C741,importrange(""1kw74ismGU34AsZ5x-W4x7F3Zt2xc8NSYcCVMrCJBmdQ"",""DRP for 8 products!B:E""),4,0)"),13.0)</f>
        <v>13</v>
      </c>
      <c r="J741" s="8" t="str">
        <f t="shared" si="1"/>
        <v>Tier 4</v>
      </c>
      <c r="K741" s="9" t="str">
        <f t="shared" si="2"/>
        <v>Active</v>
      </c>
      <c r="L741" s="4" t="str">
        <f>IFERROR(__xludf.DUMMYFUNCTION("vlookup(C741,importrange(""1kw74ismGU34AsZ5x-W4x7F3Zt2xc8NSYcCVMrCJBmdQ"",""DRP for 8 products!B:H""),6,0)"),"Dataproc")</f>
        <v>Dataproc</v>
      </c>
      <c r="M741" s="10" t="str">
        <f t="shared" si="3"/>
        <v>Yes</v>
      </c>
    </row>
    <row r="742">
      <c r="A742" s="4" t="str">
        <f>IFERROR(__xludf.DUMMYFUNCTION("vlookup(C742,IMPORTRANGE(""1Kgoo8qyo6zMtf_5B03ksZz228jg0XpZ4_KXsdHQ4Vks"",""14 Sept!A:B""),2,0)"),"DME3386")</f>
        <v>DME3386</v>
      </c>
      <c r="B742" s="5" t="str">
        <f>IFERROR(__xludf.DUMMYFUNCTION("""COMPUTED_VALUE"""),"vaidehi kokare")</f>
        <v>vaidehi kokare</v>
      </c>
      <c r="C742" s="5" t="str">
        <f>IFERROR(__xludf.DUMMYFUNCTION("""COMPUTED_VALUE"""),"vaidehi.kokare@onixnet.com")</f>
        <v>vaidehi.kokare@onixnet.com</v>
      </c>
      <c r="D742" s="4" t="s">
        <v>11</v>
      </c>
      <c r="E742" s="6" t="str">
        <f>IFERROR(__xludf.DUMMYFUNCTION("vlookup($A742,importrange(""1fyGnaViAX9kns28pvsfPvI9925sAI7kxPlM7jpuHVJM"",""Validation!A:Z""),11,0)"),"Delivery Services")</f>
        <v>Delivery Services</v>
      </c>
      <c r="F742" s="6" t="str">
        <f>IFERROR(__xludf.DUMMYFUNCTION("vlookup($A742,importrange(""1fyGnaViAX9kns28pvsfPvI9925sAI7kxPlM7jpuHVJM"",""Validation!A:Z""),23,0)"),"Shubhendu Shubhendu")</f>
        <v>Shubhendu Shubhendu</v>
      </c>
      <c r="G742" s="6" t="str">
        <f>IFERROR(__xludf.DUMMYFUNCTION("vlookup(A742,importrange(""1fyGnaViAX9kns28pvsfPvI9925sAI7kxPlM7jpuHVJM"",""Validation!A:Z""),22,0)"),"Cluster - Kanhaiya")</f>
        <v>Cluster - Kanhaiya</v>
      </c>
      <c r="H742" s="4" t="str">
        <f>IFERROR(__xludf.DUMMYFUNCTION("vlookup(C742,importrange(""1kw74ismGU34AsZ5x-W4x7F3Zt2xc8NSYcCVMrCJBmdQ"",""DRP for 8 products!B:C""),2,0)"),"ONIVKGLO7")</f>
        <v>ONIVKGLO7</v>
      </c>
      <c r="I742" s="7">
        <f>IFERROR(__xludf.DUMMYFUNCTION("vlookup(C742,importrange(""1kw74ismGU34AsZ5x-W4x7F3Zt2xc8NSYcCVMrCJBmdQ"",""DRP for 8 products!B:E""),4,0)"),6.0)</f>
        <v>6</v>
      </c>
      <c r="J742" s="8" t="str">
        <f t="shared" si="1"/>
        <v>Tier 4</v>
      </c>
      <c r="K742" s="9" t="str">
        <f t="shared" si="2"/>
        <v>Active</v>
      </c>
      <c r="L742" s="4" t="str">
        <f>IFERROR(__xludf.DUMMYFUNCTION("vlookup(C742,importrange(""1kw74ismGU34AsZ5x-W4x7F3Zt2xc8NSYcCVMrCJBmdQ"",""DRP for 8 products!B:H""),6,0)"),"BigQuery")</f>
        <v>BigQuery</v>
      </c>
      <c r="M742" s="10" t="str">
        <f t="shared" si="3"/>
        <v>Yes</v>
      </c>
    </row>
    <row r="743">
      <c r="A743" s="4" t="str">
        <f>IFERROR(__xludf.DUMMYFUNCTION("vlookup(C743,IMPORTRANGE(""1Kgoo8qyo6zMtf_5B03ksZz228jg0XpZ4_KXsdHQ4Vks"",""14 Sept!A:B""),2,0)"),"DME2568")</f>
        <v>DME2568</v>
      </c>
      <c r="B743" s="5" t="str">
        <f>IFERROR(__xludf.DUMMYFUNCTION("""COMPUTED_VALUE"""),"Saksham Mathur")</f>
        <v>Saksham Mathur</v>
      </c>
      <c r="C743" s="5" t="str">
        <f>IFERROR(__xludf.DUMMYFUNCTION("""COMPUTED_VALUE"""),"saksham.mathur@onixnet.com")</f>
        <v>saksham.mathur@onixnet.com</v>
      </c>
      <c r="D743" s="4" t="s">
        <v>11</v>
      </c>
      <c r="E743" s="6" t="str">
        <f>IFERROR(__xludf.DUMMYFUNCTION("vlookup($A743,importrange(""1fyGnaViAX9kns28pvsfPvI9925sAI7kxPlM7jpuHVJM"",""Validation!A:Z""),11,0)"),"Delivery Services")</f>
        <v>Delivery Services</v>
      </c>
      <c r="F743" s="6" t="str">
        <f>IFERROR(__xludf.DUMMYFUNCTION("vlookup($A743,importrange(""1fyGnaViAX9kns28pvsfPvI9925sAI7kxPlM7jpuHVJM"",""Validation!A:Z""),23,0)"),"Varun Katyal")</f>
        <v>Varun Katyal</v>
      </c>
      <c r="G743" s="6" t="str">
        <f>IFERROR(__xludf.DUMMYFUNCTION("vlookup(A743,importrange(""1fyGnaViAX9kns28pvsfPvI9925sAI7kxPlM7jpuHVJM"",""Validation!A:Z""),22,0)"),"Cluster - Varun")</f>
        <v>Cluster - Varun</v>
      </c>
      <c r="H743" s="4" t="str">
        <f>IFERROR(__xludf.DUMMYFUNCTION("vlookup(C743,importrange(""1kw74ismGU34AsZ5x-W4x7F3Zt2xc8NSYcCVMrCJBmdQ"",""DRP for 8 products!B:C""),2,0)"),"ONISMUZE5")</f>
        <v>ONISMUZE5</v>
      </c>
      <c r="I743" s="7">
        <f>IFERROR(__xludf.DUMMYFUNCTION("vlookup(C743,importrange(""1kw74ismGU34AsZ5x-W4x7F3Zt2xc8NSYcCVMrCJBmdQ"",""DRP for 8 products!B:E""),4,0)"),54.0)</f>
        <v>54</v>
      </c>
      <c r="J743" s="8" t="str">
        <f t="shared" si="1"/>
        <v>Tier 1</v>
      </c>
      <c r="K743" s="9" t="str">
        <f t="shared" si="2"/>
        <v>Active</v>
      </c>
      <c r="L743" s="4" t="str">
        <f>IFERROR(__xludf.DUMMYFUNCTION("vlookup(C743,importrange(""1kw74ismGU34AsZ5x-W4x7F3Zt2xc8NSYcCVMrCJBmdQ"",""DRP for 8 products!B:H""),6,0)"),"BigQuery")</f>
        <v>BigQuery</v>
      </c>
      <c r="M743" s="10" t="str">
        <f t="shared" si="3"/>
        <v>Yes</v>
      </c>
    </row>
    <row r="744">
      <c r="A744" s="4" t="str">
        <f>IFERROR(__xludf.DUMMYFUNCTION("vlookup(C744,IMPORTRANGE(""1Kgoo8qyo6zMtf_5B03ksZz228jg0XpZ4_KXsdHQ4Vks"",""14 Sept!A:B""),2,0)"),"DME1980")</f>
        <v>DME1980</v>
      </c>
      <c r="B744" s="5" t="str">
        <f>IFERROR(__xludf.DUMMYFUNCTION("""COMPUTED_VALUE"""),"Supriya Bambe")</f>
        <v>Supriya Bambe</v>
      </c>
      <c r="C744" s="5" t="str">
        <f>IFERROR(__xludf.DUMMYFUNCTION("""COMPUTED_VALUE"""),"supriya.bambe@onixnet.com")</f>
        <v>supriya.bambe@onixnet.com</v>
      </c>
      <c r="D744" s="4" t="s">
        <v>11</v>
      </c>
      <c r="E744" s="6" t="str">
        <f>IFERROR(__xludf.DUMMYFUNCTION("vlookup($A744,importrange(""1fyGnaViAX9kns28pvsfPvI9925sAI7kxPlM7jpuHVJM"",""Validation!A:Z""),11,0)"),"Product Engineering")</f>
        <v>Product Engineering</v>
      </c>
      <c r="F744" s="6" t="str">
        <f>IFERROR(__xludf.DUMMYFUNCTION("vlookup($A744,importrange(""1fyGnaViAX9kns28pvsfPvI9925sAI7kxPlM7jpuHVJM"",""Validation!A:Z""),23,0)"),"Laxmikant Chavan")</f>
        <v>Laxmikant Chavan</v>
      </c>
      <c r="G744" s="6" t="str">
        <f>IFERROR(__xludf.DUMMYFUNCTION("vlookup(A744,importrange(""1fyGnaViAX9kns28pvsfPvI9925sAI7kxPlM7jpuHVJM"",""Validation!A:Z""),22,0)"),"Cluster - Mayur")</f>
        <v>Cluster - Mayur</v>
      </c>
      <c r="H744" s="4" t="str">
        <f>IFERROR(__xludf.DUMMYFUNCTION("vlookup(C744,importrange(""1kw74ismGU34AsZ5x-W4x7F3Zt2xc8NSYcCVMrCJBmdQ"",""DRP for 8 products!B:C""),2,0)"),"DATSBUMF7")</f>
        <v>DATSBUMF7</v>
      </c>
      <c r="I744" s="7">
        <f>IFERROR(__xludf.DUMMYFUNCTION("vlookup(C744,importrange(""1kw74ismGU34AsZ5x-W4x7F3Zt2xc8NSYcCVMrCJBmdQ"",""DRP for 8 products!B:E""),4,0)"),21.0)</f>
        <v>21</v>
      </c>
      <c r="J744" s="8" t="str">
        <f t="shared" si="1"/>
        <v>Tier 3</v>
      </c>
      <c r="K744" s="9" t="str">
        <f t="shared" si="2"/>
        <v>Active</v>
      </c>
      <c r="L744" s="4" t="str">
        <f>IFERROR(__xludf.DUMMYFUNCTION("vlookup(C744,importrange(""1kw74ismGU34AsZ5x-W4x7F3Zt2xc8NSYcCVMrCJBmdQ"",""DRP for 8 products!B:H""),6,0)"),"BigQuery")</f>
        <v>BigQuery</v>
      </c>
      <c r="M744" s="10" t="str">
        <f t="shared" si="3"/>
        <v>Yes</v>
      </c>
    </row>
    <row r="745">
      <c r="A745" s="4" t="str">
        <f>IFERROR(__xludf.DUMMYFUNCTION("vlookup(C745,IMPORTRANGE(""1Kgoo8qyo6zMtf_5B03ksZz228jg0XpZ4_KXsdHQ4Vks"",""14 Sept!A:B""),2,0)"),"DME2435")</f>
        <v>DME2435</v>
      </c>
      <c r="B745" s="5" t="str">
        <f>IFERROR(__xludf.DUMMYFUNCTION("""COMPUTED_VALUE"""),"Vaibhav Kame")</f>
        <v>Vaibhav Kame</v>
      </c>
      <c r="C745" s="5" t="str">
        <f>IFERROR(__xludf.DUMMYFUNCTION("""COMPUTED_VALUE"""),"vaibhav.kame@onixnet.com")</f>
        <v>vaibhav.kame@onixnet.com</v>
      </c>
      <c r="D745" s="4" t="s">
        <v>11</v>
      </c>
      <c r="E745" s="6" t="str">
        <f>IFERROR(__xludf.DUMMYFUNCTION("vlookup($A745,importrange(""1fyGnaViAX9kns28pvsfPvI9925sAI7kxPlM7jpuHVJM"",""Validation!A:Z""),11,0)"),"Delivery Services")</f>
        <v>Delivery Services</v>
      </c>
      <c r="F745" s="6" t="str">
        <f>IFERROR(__xludf.DUMMYFUNCTION("vlookup($A745,importrange(""1fyGnaViAX9kns28pvsfPvI9925sAI7kxPlM7jpuHVJM"",""Validation!A:Z""),23,0)"),"Chinmay Deshpande")</f>
        <v>Chinmay Deshpande</v>
      </c>
      <c r="G745" s="6" t="str">
        <f>IFERROR(__xludf.DUMMYFUNCTION("vlookup(A745,importrange(""1fyGnaViAX9kns28pvsfPvI9925sAI7kxPlM7jpuHVJM"",""Validation!A:Z""),22,0)"),"Cluster - Sagar")</f>
        <v>Cluster - Sagar</v>
      </c>
      <c r="H745" s="4" t="str">
        <f>IFERROR(__xludf.DUMMYFUNCTION("vlookup(C745,importrange(""1kw74ismGU34AsZ5x-W4x7F3Zt2xc8NSYcCVMrCJBmdQ"",""DRP for 8 products!B:C""),2,0)"),"ONIVKVLR2")</f>
        <v>ONIVKVLR2</v>
      </c>
      <c r="I745" s="7">
        <f>IFERROR(__xludf.DUMMYFUNCTION("vlookup(C745,importrange(""1kw74ismGU34AsZ5x-W4x7F3Zt2xc8NSYcCVMrCJBmdQ"",""DRP for 8 products!B:E""),4,0)"),43.0)</f>
        <v>43</v>
      </c>
      <c r="J745" s="8" t="str">
        <f t="shared" si="1"/>
        <v>Tier 2</v>
      </c>
      <c r="K745" s="9" t="str">
        <f t="shared" si="2"/>
        <v>Active</v>
      </c>
      <c r="L745" s="4" t="str">
        <f>IFERROR(__xludf.DUMMYFUNCTION("vlookup(C745,importrange(""1kw74ismGU34AsZ5x-W4x7F3Zt2xc8NSYcCVMrCJBmdQ"",""DRP for 8 products!B:H""),6,0)"),"BigQuery")</f>
        <v>BigQuery</v>
      </c>
      <c r="M745" s="10" t="str">
        <f t="shared" si="3"/>
        <v>Yes</v>
      </c>
    </row>
    <row r="746">
      <c r="A746" s="4" t="str">
        <f>IFERROR(__xludf.DUMMYFUNCTION("vlookup(C746,IMPORTRANGE(""1Kgoo8qyo6zMtf_5B03ksZz228jg0XpZ4_KXsdHQ4Vks"",""14 Sept!A:B""),2,0)"),"DME2937")</f>
        <v>DME2937</v>
      </c>
      <c r="B746" s="5" t="str">
        <f>IFERROR(__xludf.DUMMYFUNCTION("""COMPUTED_VALUE"""),"Chirag Gupta")</f>
        <v>Chirag Gupta</v>
      </c>
      <c r="C746" s="5" t="str">
        <f>IFERROR(__xludf.DUMMYFUNCTION("""COMPUTED_VALUE"""),"chirag.gupta@onixnet.com")</f>
        <v>chirag.gupta@onixnet.com</v>
      </c>
      <c r="D746" s="4" t="s">
        <v>11</v>
      </c>
      <c r="E746" s="6" t="str">
        <f>IFERROR(__xludf.DUMMYFUNCTION("vlookup($A746,importrange(""1fyGnaViAX9kns28pvsfPvI9925sAI7kxPlM7jpuHVJM"",""Validation!A:Z""),11,0)"),"Delivery Services")</f>
        <v>Delivery Services</v>
      </c>
      <c r="F746" s="6" t="str">
        <f>IFERROR(__xludf.DUMMYFUNCTION("vlookup($A746,importrange(""1fyGnaViAX9kns28pvsfPvI9925sAI7kxPlM7jpuHVJM"",""Validation!A:Z""),23,0)"),"Akash Choudhari")</f>
        <v>Akash Choudhari</v>
      </c>
      <c r="G746" s="6" t="str">
        <f>IFERROR(__xludf.DUMMYFUNCTION("vlookup(A746,importrange(""1fyGnaViAX9kns28pvsfPvI9925sAI7kxPlM7jpuHVJM"",""Validation!A:Z""),22,0)"),"Cluster - Sandeep")</f>
        <v>Cluster - Sandeep</v>
      </c>
      <c r="H746" s="4" t="str">
        <f>IFERROR(__xludf.DUMMYFUNCTION("vlookup(C746,importrange(""1kw74ismGU34AsZ5x-W4x7F3Zt2xc8NSYcCVMrCJBmdQ"",""DRP for 8 products!B:C""),2,0)"),"ONICGTLI5")</f>
        <v>ONICGTLI5</v>
      </c>
      <c r="I746" s="7">
        <f>IFERROR(__xludf.DUMMYFUNCTION("vlookup(C746,importrange(""1kw74ismGU34AsZ5x-W4x7F3Zt2xc8NSYcCVMrCJBmdQ"",""DRP for 8 products!B:E""),4,0)"),13.0)</f>
        <v>13</v>
      </c>
      <c r="J746" s="8" t="str">
        <f t="shared" si="1"/>
        <v>Tier 4</v>
      </c>
      <c r="K746" s="9" t="str">
        <f t="shared" si="2"/>
        <v>Active</v>
      </c>
      <c r="L746" s="4" t="str">
        <f>IFERROR(__xludf.DUMMYFUNCTION("vlookup(C746,importrange(""1kw74ismGU34AsZ5x-W4x7F3Zt2xc8NSYcCVMrCJBmdQ"",""DRP for 8 products!B:H""),6,0)"),"BigQuery")</f>
        <v>BigQuery</v>
      </c>
      <c r="M746" s="10" t="str">
        <f t="shared" si="3"/>
        <v>Yes</v>
      </c>
    </row>
    <row r="747">
      <c r="A747" s="4" t="str">
        <f>IFERROR(__xludf.DUMMYFUNCTION("vlookup(C747,IMPORTRANGE(""1Kgoo8qyo6zMtf_5B03ksZz228jg0XpZ4_KXsdHQ4Vks"",""14 Sept!A:B""),2,0)"),"DME3184")</f>
        <v>DME3184</v>
      </c>
      <c r="B747" s="5" t="str">
        <f>IFERROR(__xludf.DUMMYFUNCTION("""COMPUTED_VALUE"""),"Amit Kundu")</f>
        <v>Amit Kundu</v>
      </c>
      <c r="C747" s="5" t="str">
        <f>IFERROR(__xludf.DUMMYFUNCTION("""COMPUTED_VALUE"""),"amit.kundu@onixnet.com")</f>
        <v>amit.kundu@onixnet.com</v>
      </c>
      <c r="D747" s="4" t="s">
        <v>11</v>
      </c>
      <c r="E747" s="6" t="str">
        <f>IFERROR(__xludf.DUMMYFUNCTION("vlookup($A747,importrange(""1fyGnaViAX9kns28pvsfPvI9925sAI7kxPlM7jpuHVJM"",""Validation!A:Z""),11,0)"),"Delivery Services")</f>
        <v>Delivery Services</v>
      </c>
      <c r="F747" s="6" t="str">
        <f>IFERROR(__xludf.DUMMYFUNCTION("vlookup($A747,importrange(""1fyGnaViAX9kns28pvsfPvI9925sAI7kxPlM7jpuHVJM"",""Validation!A:Z""),23,0)"),"Priyanka Parab")</f>
        <v>Priyanka Parab</v>
      </c>
      <c r="G747" s="6" t="str">
        <f>IFERROR(__xludf.DUMMYFUNCTION("vlookup(A747,importrange(""1fyGnaViAX9kns28pvsfPvI9925sAI7kxPlM7jpuHVJM"",""Validation!A:Z""),22,0)"),"Cluster - Sagar")</f>
        <v>Cluster - Sagar</v>
      </c>
      <c r="H747" s="4" t="str">
        <f>IFERROR(__xludf.DUMMYFUNCTION("vlookup(C747,importrange(""1kw74ismGU34AsZ5x-W4x7F3Zt2xc8NSYcCVMrCJBmdQ"",""DRP for 8 products!B:C""),2,0)"),"ONIAKCAU2")</f>
        <v>ONIAKCAU2</v>
      </c>
      <c r="I747" s="7">
        <f>IFERROR(__xludf.DUMMYFUNCTION("vlookup(C747,importrange(""1kw74ismGU34AsZ5x-W4x7F3Zt2xc8NSYcCVMrCJBmdQ"",""DRP for 8 products!B:E""),4,0)"),14.0)</f>
        <v>14</v>
      </c>
      <c r="J747" s="8" t="str">
        <f t="shared" si="1"/>
        <v>Tier 4</v>
      </c>
      <c r="K747" s="9" t="str">
        <f t="shared" si="2"/>
        <v>Active</v>
      </c>
      <c r="L747" s="4" t="str">
        <f>IFERROR(__xludf.DUMMYFUNCTION("vlookup(C747,importrange(""1kw74ismGU34AsZ5x-W4x7F3Zt2xc8NSYcCVMrCJBmdQ"",""DRP for 8 products!B:H""),6,0)"),"BigQuery")</f>
        <v>BigQuery</v>
      </c>
      <c r="M747" s="10" t="str">
        <f t="shared" si="3"/>
        <v>Yes</v>
      </c>
    </row>
    <row r="748">
      <c r="A748" s="4" t="str">
        <f>IFERROR(__xludf.DUMMYFUNCTION("vlookup(C748,IMPORTRANGE(""1Kgoo8qyo6zMtf_5B03ksZz228jg0XpZ4_KXsdHQ4Vks"",""14 Sept!A:B""),2,0)"),"DMC1064")</f>
        <v>DMC1064</v>
      </c>
      <c r="B748" s="5" t="str">
        <f>IFERROR(__xludf.DUMMYFUNCTION("""COMPUTED_VALUE"""),"Rohit Kumar Dubey")</f>
        <v>Rohit Kumar Dubey</v>
      </c>
      <c r="C748" s="5" t="str">
        <f>IFERROR(__xludf.DUMMYFUNCTION("""COMPUTED_VALUE"""),"rohit.dubey@onixnet.com")</f>
        <v>rohit.dubey@onixnet.com</v>
      </c>
      <c r="D748" s="4" t="s">
        <v>11</v>
      </c>
      <c r="E748" s="6" t="str">
        <f>IFERROR(__xludf.DUMMYFUNCTION("vlookup($A748,importrange(""1fyGnaViAX9kns28pvsfPvI9925sAI7kxPlM7jpuHVJM"",""Validation!A:Z""),11,0)"),"Delivery Services")</f>
        <v>Delivery Services</v>
      </c>
      <c r="F748" s="6" t="str">
        <f>IFERROR(__xludf.DUMMYFUNCTION("vlookup($A748,importrange(""1fyGnaViAX9kns28pvsfPvI9925sAI7kxPlM7jpuHVJM"",""Validation!A:Z""),23,0)"),"Vijender Bhardwaj")</f>
        <v>Vijender Bhardwaj</v>
      </c>
      <c r="G748" s="6" t="str">
        <f>IFERROR(__xludf.DUMMYFUNCTION("vlookup(A748,importrange(""1fyGnaViAX9kns28pvsfPvI9925sAI7kxPlM7jpuHVJM"",""Validation!A:Z""),22,0)"),"Cluster - Varun")</f>
        <v>Cluster - Varun</v>
      </c>
      <c r="H748" s="4" t="str">
        <f>IFERROR(__xludf.DUMMYFUNCTION("vlookup(C748,importrange(""1kw74ismGU34AsZ5x-W4x7F3Zt2xc8NSYcCVMrCJBmdQ"",""DRP for 8 products!B:C""),2,0)"),"ONIRDZRD0")</f>
        <v>ONIRDZRD0</v>
      </c>
      <c r="I748" s="7">
        <f>IFERROR(__xludf.DUMMYFUNCTION("vlookup(C748,importrange(""1kw74ismGU34AsZ5x-W4x7F3Zt2xc8NSYcCVMrCJBmdQ"",""DRP for 8 products!B:E""),4,0)"),21.0)</f>
        <v>21</v>
      </c>
      <c r="J748" s="8" t="str">
        <f t="shared" si="1"/>
        <v>Tier 3</v>
      </c>
      <c r="K748" s="9" t="str">
        <f t="shared" si="2"/>
        <v>Active</v>
      </c>
      <c r="L748" s="4" t="str">
        <f>IFERROR(__xludf.DUMMYFUNCTION("vlookup(C748,importrange(""1kw74ismGU34AsZ5x-W4x7F3Zt2xc8NSYcCVMrCJBmdQ"",""DRP for 8 products!B:H""),6,0)"),"BigQuery")</f>
        <v>BigQuery</v>
      </c>
      <c r="M748" s="10" t="str">
        <f t="shared" si="3"/>
        <v>Yes</v>
      </c>
    </row>
    <row r="749">
      <c r="A749" s="4" t="str">
        <f>IFERROR(__xludf.DUMMYFUNCTION("vlookup(C749,IMPORTRANGE(""1Kgoo8qyo6zMtf_5B03ksZz228jg0XpZ4_KXsdHQ4Vks"",""14 Sept!A:B""),2,0)"),"ONIX624")</f>
        <v>ONIX624</v>
      </c>
      <c r="B749" s="5" t="str">
        <f>IFERROR(__xludf.DUMMYFUNCTION("""COMPUTED_VALUE"""),"Sean Morton")</f>
        <v>Sean Morton</v>
      </c>
      <c r="C749" s="5" t="str">
        <f>IFERROR(__xludf.DUMMYFUNCTION("""COMPUTED_VALUE"""),"sean.oneil@onixnet.com")</f>
        <v>sean.oneil@onixnet.com</v>
      </c>
      <c r="D749" s="4" t="s">
        <v>11</v>
      </c>
      <c r="E749" s="6" t="str">
        <f>IFERROR(__xludf.DUMMYFUNCTION("vlookup($A749,importrange(""1fyGnaViAX9kns28pvsfPvI9925sAI7kxPlM7jpuHVJM"",""Validation!A:Z""),11,0)"),"Services")</f>
        <v>Services</v>
      </c>
      <c r="F749" s="6" t="str">
        <f>IFERROR(__xludf.DUMMYFUNCTION("vlookup($A749,importrange(""1fyGnaViAX9kns28pvsfPvI9925sAI7kxPlM7jpuHVJM"",""Validation!A:Z""),23,0)"),"James Vandermost")</f>
        <v>James Vandermost</v>
      </c>
      <c r="G749" s="6" t="str">
        <f>IFERROR(__xludf.DUMMYFUNCTION("vlookup(A749,importrange(""1fyGnaViAX9kns28pvsfPvI9925sAI7kxPlM7jpuHVJM"",""Validation!A:Z""),22,0)"),"Portfolio - Rick")</f>
        <v>Portfolio - Rick</v>
      </c>
      <c r="H749" s="4" t="str">
        <f>IFERROR(__xludf.DUMMYFUNCTION("vlookup(C749,importrange(""1kw74ismGU34AsZ5x-W4x7F3Zt2xc8NSYcCVMrCJBmdQ"",""DRP for 8 products!B:C""),2,0)"),"ONISOXXF6")</f>
        <v>ONISOXXF6</v>
      </c>
      <c r="I749" s="7">
        <f>IFERROR(__xludf.DUMMYFUNCTION("vlookup(C749,importrange(""1kw74ismGU34AsZ5x-W4x7F3Zt2xc8NSYcCVMrCJBmdQ"",""DRP for 8 products!B:E""),4,0)"),13.0)</f>
        <v>13</v>
      </c>
      <c r="J749" s="8" t="str">
        <f t="shared" si="1"/>
        <v>Tier 4</v>
      </c>
      <c r="K749" s="9" t="str">
        <f t="shared" si="2"/>
        <v>Active</v>
      </c>
      <c r="L749" s="4" t="str">
        <f>IFERROR(__xludf.DUMMYFUNCTION("vlookup(C749,importrange(""1kw74ismGU34AsZ5x-W4x7F3Zt2xc8NSYcCVMrCJBmdQ"",""DRP for 8 products!B:H""),6,0)"),"AlloyDB for PostgreSQL")</f>
        <v>AlloyDB for PostgreSQL</v>
      </c>
      <c r="M749" s="10" t="str">
        <f t="shared" si="3"/>
        <v>Yes</v>
      </c>
    </row>
    <row r="750">
      <c r="A750" s="4" t="str">
        <f>IFERROR(__xludf.DUMMYFUNCTION("vlookup(C750,IMPORTRANGE(""1Kgoo8qyo6zMtf_5B03ksZz228jg0XpZ4_KXsdHQ4Vks"",""14 Sept!A:B""),2,0)"),"DME1220")</f>
        <v>DME1220</v>
      </c>
      <c r="B750" s="5" t="str">
        <f>IFERROR(__xludf.DUMMYFUNCTION("""COMPUTED_VALUE"""),"Pritesh Chaudhari")</f>
        <v>Pritesh Chaudhari</v>
      </c>
      <c r="C750" s="5" t="str">
        <f>IFERROR(__xludf.DUMMYFUNCTION("""COMPUTED_VALUE"""),"pritesh.chaudhari@onixnet.com")</f>
        <v>pritesh.chaudhari@onixnet.com</v>
      </c>
      <c r="D750" s="4" t="s">
        <v>11</v>
      </c>
      <c r="E750" s="6" t="str">
        <f>IFERROR(__xludf.DUMMYFUNCTION("vlookup($A750,importrange(""1fyGnaViAX9kns28pvsfPvI9925sAI7kxPlM7jpuHVJM"",""Validation!A:Z""),11,0)"),"Delivery Services")</f>
        <v>Delivery Services</v>
      </c>
      <c r="F750" s="6" t="str">
        <f>IFERROR(__xludf.DUMMYFUNCTION("vlookup($A750,importrange(""1fyGnaViAX9kns28pvsfPvI9925sAI7kxPlM7jpuHVJM"",""Validation!A:Z""),23,0)"),"Chinmay Deshpande")</f>
        <v>Chinmay Deshpande</v>
      </c>
      <c r="G750" s="6" t="str">
        <f>IFERROR(__xludf.DUMMYFUNCTION("vlookup(A750,importrange(""1fyGnaViAX9kns28pvsfPvI9925sAI7kxPlM7jpuHVJM"",""Validation!A:Z""),22,0)"),"Cluster - Sagar")</f>
        <v>Cluster - Sagar</v>
      </c>
      <c r="H750" s="4" t="str">
        <f>IFERROR(__xludf.DUMMYFUNCTION("vlookup(C750,importrange(""1kw74ismGU34AsZ5x-W4x7F3Zt2xc8NSYcCVMrCJBmdQ"",""DRP for 8 products!B:C""),2,0)"),"ONIPCWQE7")</f>
        <v>ONIPCWQE7</v>
      </c>
      <c r="I750" s="7">
        <f>IFERROR(__xludf.DUMMYFUNCTION("vlookup(C750,importrange(""1kw74ismGU34AsZ5x-W4x7F3Zt2xc8NSYcCVMrCJBmdQ"",""DRP for 8 products!B:E""),4,0)"),34.0)</f>
        <v>34</v>
      </c>
      <c r="J750" s="8" t="str">
        <f t="shared" si="1"/>
        <v>Tier 3</v>
      </c>
      <c r="K750" s="9" t="str">
        <f t="shared" si="2"/>
        <v>Active</v>
      </c>
      <c r="L750" s="4" t="str">
        <f>IFERROR(__xludf.DUMMYFUNCTION("vlookup(C750,importrange(""1kw74ismGU34AsZ5x-W4x7F3Zt2xc8NSYcCVMrCJBmdQ"",""DRP for 8 products!B:H""),6,0)"),"BigQuery")</f>
        <v>BigQuery</v>
      </c>
      <c r="M750" s="10" t="str">
        <f t="shared" si="3"/>
        <v>Yes</v>
      </c>
    </row>
    <row r="751">
      <c r="A751" s="4" t="str">
        <f>IFERROR(__xludf.DUMMYFUNCTION("vlookup(C751,IMPORTRANGE(""1Kgoo8qyo6zMtf_5B03ksZz228jg0XpZ4_KXsdHQ4Vks"",""14 Sept!A:B""),2,0)"),"DME3400")</f>
        <v>DME3400</v>
      </c>
      <c r="B751" s="5" t="str">
        <f>IFERROR(__xludf.DUMMYFUNCTION("""COMPUTED_VALUE"""),"Soham Musalgi")</f>
        <v>Soham Musalgi</v>
      </c>
      <c r="C751" s="5" t="str">
        <f>IFERROR(__xludf.DUMMYFUNCTION("""COMPUTED_VALUE"""),"soham.musalgi@onixnet.com")</f>
        <v>soham.musalgi@onixnet.com</v>
      </c>
      <c r="D751" s="4" t="s">
        <v>11</v>
      </c>
      <c r="E751" s="6" t="str">
        <f>IFERROR(__xludf.DUMMYFUNCTION("vlookup($A751,importrange(""1fyGnaViAX9kns28pvsfPvI9925sAI7kxPlM7jpuHVJM"",""Validation!A:Z""),11,0)"),"Delivery Services")</f>
        <v>Delivery Services</v>
      </c>
      <c r="F751" s="6" t="str">
        <f>IFERROR(__xludf.DUMMYFUNCTION("vlookup($A751,importrange(""1fyGnaViAX9kns28pvsfPvI9925sAI7kxPlM7jpuHVJM"",""Validation!A:Z""),23,0)"),"Amit Dhanokar")</f>
        <v>Amit Dhanokar</v>
      </c>
      <c r="G751" s="6" t="str">
        <f>IFERROR(__xludf.DUMMYFUNCTION("vlookup(A751,importrange(""1fyGnaViAX9kns28pvsfPvI9925sAI7kxPlM7jpuHVJM"",""Validation!A:Z""),22,0)"),"Cluster - Sagar")</f>
        <v>Cluster - Sagar</v>
      </c>
      <c r="H751" s="4" t="str">
        <f>IFERROR(__xludf.DUMMYFUNCTION("vlookup(C751,importrange(""1kw74ismGU34AsZ5x-W4x7F3Zt2xc8NSYcCVMrCJBmdQ"",""DRP for 8 products!B:C""),2,0)"),"ONISMZJG8")</f>
        <v>ONISMZJG8</v>
      </c>
      <c r="I751" s="7">
        <f>IFERROR(__xludf.DUMMYFUNCTION("vlookup(C751,importrange(""1kw74ismGU34AsZ5x-W4x7F3Zt2xc8NSYcCVMrCJBmdQ"",""DRP for 8 products!B:E""),4,0)"),11.0)</f>
        <v>11</v>
      </c>
      <c r="J751" s="8" t="str">
        <f t="shared" si="1"/>
        <v>Tier 4</v>
      </c>
      <c r="K751" s="9" t="str">
        <f t="shared" si="2"/>
        <v>Active</v>
      </c>
      <c r="L751" s="4" t="str">
        <f>IFERROR(__xludf.DUMMYFUNCTION("vlookup(C751,importrange(""1kw74ismGU34AsZ5x-W4x7F3Zt2xc8NSYcCVMrCJBmdQ"",""DRP for 8 products!B:H""),6,0)"),"BigQuery")</f>
        <v>BigQuery</v>
      </c>
      <c r="M751" s="10" t="str">
        <f t="shared" si="3"/>
        <v>Yes</v>
      </c>
    </row>
    <row r="752">
      <c r="A752" s="4" t="str">
        <f>IFERROR(__xludf.DUMMYFUNCTION("vlookup(C752,IMPORTRANGE(""1Kgoo8qyo6zMtf_5B03ksZz228jg0XpZ4_KXsdHQ4Vks"",""14 Sept!A:B""),2,0)"),"DME2609")</f>
        <v>DME2609</v>
      </c>
      <c r="B752" s="5" t="str">
        <f>IFERROR(__xludf.DUMMYFUNCTION("""COMPUTED_VALUE"""),"Mohammad Anas")</f>
        <v>Mohammad Anas</v>
      </c>
      <c r="C752" s="5" t="str">
        <f>IFERROR(__xludf.DUMMYFUNCTION("""COMPUTED_VALUE"""),"mohammad.anas@onixnet.com")</f>
        <v>mohammad.anas@onixnet.com</v>
      </c>
      <c r="D752" s="4" t="s">
        <v>11</v>
      </c>
      <c r="E752" s="6" t="str">
        <f>IFERROR(__xludf.DUMMYFUNCTION("vlookup($A752,importrange(""1fyGnaViAX9kns28pvsfPvI9925sAI7kxPlM7jpuHVJM"",""Validation!A:Z""),11,0)"),"Delivery Services")</f>
        <v>Delivery Services</v>
      </c>
      <c r="F752" s="6" t="str">
        <f>IFERROR(__xludf.DUMMYFUNCTION("vlookup($A752,importrange(""1fyGnaViAX9kns28pvsfPvI9925sAI7kxPlM7jpuHVJM"",""Validation!A:Z""),23,0)"),"Aarti Borhade")</f>
        <v>Aarti Borhade</v>
      </c>
      <c r="G752" s="6" t="str">
        <f>IFERROR(__xludf.DUMMYFUNCTION("vlookup(A752,importrange(""1fyGnaViAX9kns28pvsfPvI9925sAI7kxPlM7jpuHVJM"",""Validation!A:Z""),22,0)"),"Cluster - Sagar")</f>
        <v>Cluster - Sagar</v>
      </c>
      <c r="H752" s="4" t="str">
        <f>IFERROR(__xludf.DUMMYFUNCTION("vlookup(C752,importrange(""1kw74ismGU34AsZ5x-W4x7F3Zt2xc8NSYcCVMrCJBmdQ"",""DRP for 8 products!B:C""),2,0)"),"ONIMAHGJ5")</f>
        <v>ONIMAHGJ5</v>
      </c>
      <c r="I752" s="7">
        <f>IFERROR(__xludf.DUMMYFUNCTION("vlookup(C752,importrange(""1kw74ismGU34AsZ5x-W4x7F3Zt2xc8NSYcCVMrCJBmdQ"",""DRP for 8 products!B:E""),4,0)"),15.0)</f>
        <v>15</v>
      </c>
      <c r="J752" s="8" t="str">
        <f t="shared" si="1"/>
        <v>Tier 4</v>
      </c>
      <c r="K752" s="9" t="str">
        <f t="shared" si="2"/>
        <v>Active</v>
      </c>
      <c r="L752" s="4" t="str">
        <f>IFERROR(__xludf.DUMMYFUNCTION("vlookup(C752,importrange(""1kw74ismGU34AsZ5x-W4x7F3Zt2xc8NSYcCVMrCJBmdQ"",""DRP for 8 products!B:H""),6,0)"),"BigQuery")</f>
        <v>BigQuery</v>
      </c>
      <c r="M752" s="10" t="str">
        <f t="shared" si="3"/>
        <v>Yes</v>
      </c>
    </row>
    <row r="753">
      <c r="A753" s="4" t="str">
        <f>IFERROR(__xludf.DUMMYFUNCTION("vlookup(C753,IMPORTRANGE(""1Kgoo8qyo6zMtf_5B03ksZz228jg0XpZ4_KXsdHQ4Vks"",""14 Sept!A:B""),2,0)"),"DMC1036")</f>
        <v>DMC1036</v>
      </c>
      <c r="B753" s="5" t="str">
        <f>IFERROR(__xludf.DUMMYFUNCTION("""COMPUTED_VALUE"""),"Subhanshu Kushwah")</f>
        <v>Subhanshu Kushwah</v>
      </c>
      <c r="C753" s="5" t="str">
        <f>IFERROR(__xludf.DUMMYFUNCTION("""COMPUTED_VALUE"""),"subhanshu.kushwah@onixnet.com")</f>
        <v>subhanshu.kushwah@onixnet.com</v>
      </c>
      <c r="D753" s="4" t="s">
        <v>11</v>
      </c>
      <c r="E753" s="6" t="str">
        <f>IFERROR(__xludf.DUMMYFUNCTION("vlookup($A753,importrange(""1fyGnaViAX9kns28pvsfPvI9925sAI7kxPlM7jpuHVJM"",""Validation!A:Z""),11,0)"),"Delivery Services")</f>
        <v>Delivery Services</v>
      </c>
      <c r="F753" s="6" t="str">
        <f>IFERROR(__xludf.DUMMYFUNCTION("vlookup($A753,importrange(""1fyGnaViAX9kns28pvsfPvI9925sAI7kxPlM7jpuHVJM"",""Validation!A:Z""),23,0)"),"Akash Choudhari")</f>
        <v>Akash Choudhari</v>
      </c>
      <c r="G753" s="6" t="str">
        <f>IFERROR(__xludf.DUMMYFUNCTION("vlookup(A753,importrange(""1fyGnaViAX9kns28pvsfPvI9925sAI7kxPlM7jpuHVJM"",""Validation!A:Z""),22,0)"),"Cluster - Sandeep")</f>
        <v>Cluster - Sandeep</v>
      </c>
      <c r="H753" s="4" t="str">
        <f>IFERROR(__xludf.DUMMYFUNCTION("vlookup(C753,importrange(""1kw74ismGU34AsZ5x-W4x7F3Zt2xc8NSYcCVMrCJBmdQ"",""DRP for 8 products!B:C""),2,0)"),"ONISKPJP1")</f>
        <v>ONISKPJP1</v>
      </c>
      <c r="I753" s="7">
        <f>IFERROR(__xludf.DUMMYFUNCTION("vlookup(C753,importrange(""1kw74ismGU34AsZ5x-W4x7F3Zt2xc8NSYcCVMrCJBmdQ"",""DRP for 8 products!B:E""),4,0)"),13.0)</f>
        <v>13</v>
      </c>
      <c r="J753" s="8" t="str">
        <f t="shared" si="1"/>
        <v>Tier 4</v>
      </c>
      <c r="K753" s="9" t="str">
        <f t="shared" si="2"/>
        <v>Active</v>
      </c>
      <c r="L753" s="4" t="str">
        <f>IFERROR(__xludf.DUMMYFUNCTION("vlookup(C753,importrange(""1kw74ismGU34AsZ5x-W4x7F3Zt2xc8NSYcCVMrCJBmdQ"",""DRP for 8 products!B:H""),6,0)"),"BigQuery")</f>
        <v>BigQuery</v>
      </c>
      <c r="M753" s="10" t="str">
        <f t="shared" si="3"/>
        <v>Yes</v>
      </c>
    </row>
    <row r="754">
      <c r="A754" s="4" t="str">
        <f>IFERROR(__xludf.DUMMYFUNCTION("vlookup(C754,IMPORTRANGE(""1Kgoo8qyo6zMtf_5B03ksZz228jg0XpZ4_KXsdHQ4Vks"",""14 Sept!A:B""),2,0)"),"DME2816")</f>
        <v>DME2816</v>
      </c>
      <c r="B754" s="5" t="str">
        <f>IFERROR(__xludf.DUMMYFUNCTION("""COMPUTED_VALUE"""),"Aditya Alkhaniya")</f>
        <v>Aditya Alkhaniya</v>
      </c>
      <c r="C754" s="5" t="str">
        <f>IFERROR(__xludf.DUMMYFUNCTION("""COMPUTED_VALUE"""),"aditya.alkhaniya@onixnet.com")</f>
        <v>aditya.alkhaniya@onixnet.com</v>
      </c>
      <c r="D754" s="4" t="s">
        <v>11</v>
      </c>
      <c r="E754" s="6" t="str">
        <f>IFERROR(__xludf.DUMMYFUNCTION("vlookup($A754,importrange(""1fyGnaViAX9kns28pvsfPvI9925sAI7kxPlM7jpuHVJM"",""Validation!A:Z""),11,0)"),"Delivery Services")</f>
        <v>Delivery Services</v>
      </c>
      <c r="F754" s="6" t="str">
        <f>IFERROR(__xludf.DUMMYFUNCTION("vlookup($A754,importrange(""1fyGnaViAX9kns28pvsfPvI9925sAI7kxPlM7jpuHVJM"",""Validation!A:Z""),23,0)"),"Hemanth Kolluru")</f>
        <v>Hemanth Kolluru</v>
      </c>
      <c r="G754" s="6" t="str">
        <f>IFERROR(__xludf.DUMMYFUNCTION("vlookup(A754,importrange(""1fyGnaViAX9kns28pvsfPvI9925sAI7kxPlM7jpuHVJM"",""Validation!A:Z""),22,0)"),"Cluster - Sachin")</f>
        <v>Cluster - Sachin</v>
      </c>
      <c r="H754" s="4" t="str">
        <f>IFERROR(__xludf.DUMMYFUNCTION("vlookup(C754,importrange(""1kw74ismGU34AsZ5x-W4x7F3Zt2xc8NSYcCVMrCJBmdQ"",""DRP for 8 products!B:C""),2,0)"),"ONIAASYM4")</f>
        <v>ONIAASYM4</v>
      </c>
      <c r="I754" s="7">
        <f>IFERROR(__xludf.DUMMYFUNCTION("vlookup(C754,importrange(""1kw74ismGU34AsZ5x-W4x7F3Zt2xc8NSYcCVMrCJBmdQ"",""DRP for 8 products!B:E""),4,0)"),14.0)</f>
        <v>14</v>
      </c>
      <c r="J754" s="8" t="str">
        <f t="shared" si="1"/>
        <v>Tier 4</v>
      </c>
      <c r="K754" s="9" t="str">
        <f t="shared" si="2"/>
        <v>Active</v>
      </c>
      <c r="L754" s="4" t="str">
        <f>IFERROR(__xludf.DUMMYFUNCTION("vlookup(C754,importrange(""1kw74ismGU34AsZ5x-W4x7F3Zt2xc8NSYcCVMrCJBmdQ"",""DRP for 8 products!B:H""),6,0)"),"BigQuery")</f>
        <v>BigQuery</v>
      </c>
      <c r="M754" s="10" t="str">
        <f t="shared" si="3"/>
        <v>Yes</v>
      </c>
    </row>
    <row r="755">
      <c r="A755" s="4" t="str">
        <f>IFERROR(__xludf.DUMMYFUNCTION("vlookup(C755,IMPORTRANGE(""1Kgoo8qyo6zMtf_5B03ksZz228jg0XpZ4_KXsdHQ4Vks"",""14 Sept!A:B""),2,0)"),"DME2801")</f>
        <v>DME2801</v>
      </c>
      <c r="B755" s="5" t="str">
        <f>IFERROR(__xludf.DUMMYFUNCTION("""COMPUTED_VALUE"""),"Sunny Mathur")</f>
        <v>Sunny Mathur</v>
      </c>
      <c r="C755" s="5" t="str">
        <f>IFERROR(__xludf.DUMMYFUNCTION("""COMPUTED_VALUE"""),"sunny.mathur@onixnet.com")</f>
        <v>sunny.mathur@onixnet.com</v>
      </c>
      <c r="D755" s="4" t="s">
        <v>11</v>
      </c>
      <c r="E755" s="6" t="str">
        <f>IFERROR(__xludf.DUMMYFUNCTION("vlookup($A755,importrange(""1fyGnaViAX9kns28pvsfPvI9925sAI7kxPlM7jpuHVJM"",""Validation!A:Z""),11,0)"),"Delivery Services")</f>
        <v>Delivery Services</v>
      </c>
      <c r="F755" s="6" t="str">
        <f>IFERROR(__xludf.DUMMYFUNCTION("vlookup($A755,importrange(""1fyGnaViAX9kns28pvsfPvI9925sAI7kxPlM7jpuHVJM"",""Validation!A:Z""),23,0)"),"Prasad Pramod Kulkarni")</f>
        <v>Prasad Pramod Kulkarni</v>
      </c>
      <c r="G755" s="6" t="str">
        <f>IFERROR(__xludf.DUMMYFUNCTION("vlookup(A755,importrange(""1fyGnaViAX9kns28pvsfPvI9925sAI7kxPlM7jpuHVJM"",""Validation!A:Z""),22,0)"),"Cluster - Sagar")</f>
        <v>Cluster - Sagar</v>
      </c>
      <c r="H755" s="4" t="str">
        <f>IFERROR(__xludf.DUMMYFUNCTION("vlookup(C755,importrange(""1kw74ismGU34AsZ5x-W4x7F3Zt2xc8NSYcCVMrCJBmdQ"",""DRP for 8 products!B:C""),2,0)"),"ONISMHQP1")</f>
        <v>ONISMHQP1</v>
      </c>
      <c r="I755" s="7">
        <f>IFERROR(__xludf.DUMMYFUNCTION("vlookup(C755,importrange(""1kw74ismGU34AsZ5x-W4x7F3Zt2xc8NSYcCVMrCJBmdQ"",""DRP for 8 products!B:E""),4,0)"),24.0)</f>
        <v>24</v>
      </c>
      <c r="J755" s="8" t="str">
        <f t="shared" si="1"/>
        <v>Tier 3</v>
      </c>
      <c r="K755" s="9" t="str">
        <f t="shared" si="2"/>
        <v>Active</v>
      </c>
      <c r="L755" s="4" t="str">
        <f>IFERROR(__xludf.DUMMYFUNCTION("vlookup(C755,importrange(""1kw74ismGU34AsZ5x-W4x7F3Zt2xc8NSYcCVMrCJBmdQ"",""DRP for 8 products!B:H""),6,0)"),"BigQuery")</f>
        <v>BigQuery</v>
      </c>
      <c r="M755" s="10" t="str">
        <f t="shared" si="3"/>
        <v>Yes</v>
      </c>
    </row>
    <row r="756">
      <c r="A756" s="4" t="str">
        <f>IFERROR(__xludf.DUMMYFUNCTION("vlookup(C756,IMPORTRANGE(""1Kgoo8qyo6zMtf_5B03ksZz228jg0XpZ4_KXsdHQ4Vks"",""14 Sept!A:B""),2,0)"),"DME2790")</f>
        <v>DME2790</v>
      </c>
      <c r="B756" s="5" t="str">
        <f>IFERROR(__xludf.DUMMYFUNCTION("""COMPUTED_VALUE"""),"Mohd Sumama")</f>
        <v>Mohd Sumama</v>
      </c>
      <c r="C756" s="5" t="str">
        <f>IFERROR(__xludf.DUMMYFUNCTION("""COMPUTED_VALUE"""),"mohd.sumama@onixnet.com")</f>
        <v>mohd.sumama@onixnet.com</v>
      </c>
      <c r="D756" s="4" t="s">
        <v>11</v>
      </c>
      <c r="E756" s="6" t="str">
        <f>IFERROR(__xludf.DUMMYFUNCTION("vlookup($A756,importrange(""1fyGnaViAX9kns28pvsfPvI9925sAI7kxPlM7jpuHVJM"",""Validation!A:Z""),11,0)"),"Delivery Services")</f>
        <v>Delivery Services</v>
      </c>
      <c r="F756" s="6" t="str">
        <f>IFERROR(__xludf.DUMMYFUNCTION("vlookup($A756,importrange(""1fyGnaViAX9kns28pvsfPvI9925sAI7kxPlM7jpuHVJM"",""Validation!A:Z""),23,0)"),"Jitender Singh")</f>
        <v>Jitender Singh</v>
      </c>
      <c r="G756" s="6" t="str">
        <f>IFERROR(__xludf.DUMMYFUNCTION("vlookup(A756,importrange(""1fyGnaViAX9kns28pvsfPvI9925sAI7kxPlM7jpuHVJM"",""Validation!A:Z""),22,0)"),"Cluster - Gaurav")</f>
        <v>Cluster - Gaurav</v>
      </c>
      <c r="H756" s="4" t="str">
        <f>IFERROR(__xludf.DUMMYFUNCTION("vlookup(C756,importrange(""1kw74ismGU34AsZ5x-W4x7F3Zt2xc8NSYcCVMrCJBmdQ"",""DRP for 8 products!B:C""),2,0)"),"ONIMSSXO2")</f>
        <v>ONIMSSXO2</v>
      </c>
      <c r="I756" s="7">
        <f>IFERROR(__xludf.DUMMYFUNCTION("vlookup(C756,importrange(""1kw74ismGU34AsZ5x-W4x7F3Zt2xc8NSYcCVMrCJBmdQ"",""DRP for 8 products!B:E""),4,0)"),22.0)</f>
        <v>22</v>
      </c>
      <c r="J756" s="8" t="str">
        <f t="shared" si="1"/>
        <v>Tier 3</v>
      </c>
      <c r="K756" s="9" t="str">
        <f t="shared" si="2"/>
        <v>Active</v>
      </c>
      <c r="L756" s="4" t="str">
        <f>IFERROR(__xludf.DUMMYFUNCTION("vlookup(C756,importrange(""1kw74ismGU34AsZ5x-W4x7F3Zt2xc8NSYcCVMrCJBmdQ"",""DRP for 8 products!B:H""),6,0)"),"BigQuery")</f>
        <v>BigQuery</v>
      </c>
      <c r="M756" s="10" t="str">
        <f t="shared" si="3"/>
        <v>Yes</v>
      </c>
    </row>
    <row r="757">
      <c r="A757" s="4" t="str">
        <f>IFERROR(__xludf.DUMMYFUNCTION("vlookup(C757,IMPORTRANGE(""1Kgoo8qyo6zMtf_5B03ksZz228jg0XpZ4_KXsdHQ4Vks"",""14 Sept!A:B""),2,0)"),"DME3125")</f>
        <v>DME3125</v>
      </c>
      <c r="B757" s="5" t="str">
        <f>IFERROR(__xludf.DUMMYFUNCTION("""COMPUTED_VALUE"""),"Priyanka Parab")</f>
        <v>Priyanka Parab</v>
      </c>
      <c r="C757" s="5" t="str">
        <f>IFERROR(__xludf.DUMMYFUNCTION("""COMPUTED_VALUE"""),"priyanka.parab@onixnet.com")</f>
        <v>priyanka.parab@onixnet.com</v>
      </c>
      <c r="D757" s="4" t="s">
        <v>11</v>
      </c>
      <c r="E757" s="6" t="str">
        <f>IFERROR(__xludf.DUMMYFUNCTION("vlookup($A757,importrange(""1fyGnaViAX9kns28pvsfPvI9925sAI7kxPlM7jpuHVJM"",""Validation!A:Z""),11,0)"),"Delivery Services")</f>
        <v>Delivery Services</v>
      </c>
      <c r="F757" s="6" t="str">
        <f>IFERROR(__xludf.DUMMYFUNCTION("vlookup($A757,importrange(""1fyGnaViAX9kns28pvsfPvI9925sAI7kxPlM7jpuHVJM"",""Validation!A:Z""),23,0)"),"Chinmay Deshpande")</f>
        <v>Chinmay Deshpande</v>
      </c>
      <c r="G757" s="6" t="str">
        <f>IFERROR(__xludf.DUMMYFUNCTION("vlookup(A757,importrange(""1fyGnaViAX9kns28pvsfPvI9925sAI7kxPlM7jpuHVJM"",""Validation!A:Z""),22,0)"),"Cluster - Sagar")</f>
        <v>Cluster - Sagar</v>
      </c>
      <c r="H757" s="4" t="str">
        <f>IFERROR(__xludf.DUMMYFUNCTION("vlookup(C757,importrange(""1kw74ismGU34AsZ5x-W4x7F3Zt2xc8NSYcCVMrCJBmdQ"",""DRP for 8 products!B:C""),2,0)"),"ONIPPZNZ4")</f>
        <v>ONIPPZNZ4</v>
      </c>
      <c r="I757" s="7">
        <f>IFERROR(__xludf.DUMMYFUNCTION("vlookup(C757,importrange(""1kw74ismGU34AsZ5x-W4x7F3Zt2xc8NSYcCVMrCJBmdQ"",""DRP for 8 products!B:E""),4,0)"),11.0)</f>
        <v>11</v>
      </c>
      <c r="J757" s="8" t="str">
        <f t="shared" si="1"/>
        <v>Tier 4</v>
      </c>
      <c r="K757" s="9" t="str">
        <f t="shared" si="2"/>
        <v>Active</v>
      </c>
      <c r="L757" s="4" t="str">
        <f>IFERROR(__xludf.DUMMYFUNCTION("vlookup(C757,importrange(""1kw74ismGU34AsZ5x-W4x7F3Zt2xc8NSYcCVMrCJBmdQ"",""DRP for 8 products!B:H""),6,0)"),"BigQuery")</f>
        <v>BigQuery</v>
      </c>
      <c r="M757" s="10" t="str">
        <f t="shared" si="3"/>
        <v>Yes</v>
      </c>
    </row>
    <row r="758">
      <c r="A758" s="4" t="str">
        <f>IFERROR(__xludf.DUMMYFUNCTION("vlookup(C758,IMPORTRANGE(""1Kgoo8qyo6zMtf_5B03ksZz228jg0XpZ4_KXsdHQ4Vks"",""14 Sept!A:B""),2,0)"),"DME2624")</f>
        <v>DME2624</v>
      </c>
      <c r="B758" s="5" t="str">
        <f>IFERROR(__xludf.DUMMYFUNCTION("""COMPUTED_VALUE"""),"Ashish Tiwari")</f>
        <v>Ashish Tiwari</v>
      </c>
      <c r="C758" s="5" t="str">
        <f>IFERROR(__xludf.DUMMYFUNCTION("""COMPUTED_VALUE"""),"ashish.tiwari@onixnet.com")</f>
        <v>ashish.tiwari@onixnet.com</v>
      </c>
      <c r="D758" s="4" t="s">
        <v>11</v>
      </c>
      <c r="E758" s="6" t="str">
        <f>IFERROR(__xludf.DUMMYFUNCTION("vlookup($A758,importrange(""1fyGnaViAX9kns28pvsfPvI9925sAI7kxPlM7jpuHVJM"",""Validation!A:Z""),11,0)"),"Delivery Services")</f>
        <v>Delivery Services</v>
      </c>
      <c r="F758" s="6" t="str">
        <f>IFERROR(__xludf.DUMMYFUNCTION("vlookup($A758,importrange(""1fyGnaViAX9kns28pvsfPvI9925sAI7kxPlM7jpuHVJM"",""Validation!A:Z""),23,0)"),"Sheela Sawant")</f>
        <v>Sheela Sawant</v>
      </c>
      <c r="G758" s="6" t="str">
        <f>IFERROR(__xludf.DUMMYFUNCTION("vlookup(A758,importrange(""1fyGnaViAX9kns28pvsfPvI9925sAI7kxPlM7jpuHVJM"",""Validation!A:Z""),22,0)"),"Cluster - Sachin")</f>
        <v>Cluster - Sachin</v>
      </c>
      <c r="H758" s="4" t="str">
        <f>IFERROR(__xludf.DUMMYFUNCTION("vlookup(C758,importrange(""1kw74ismGU34AsZ5x-W4x7F3Zt2xc8NSYcCVMrCJBmdQ"",""DRP for 8 products!B:C""),2,0)"),"ONIATRBR6")</f>
        <v>ONIATRBR6</v>
      </c>
      <c r="I758" s="7">
        <f>IFERROR(__xludf.DUMMYFUNCTION("vlookup(C758,importrange(""1kw74ismGU34AsZ5x-W4x7F3Zt2xc8NSYcCVMrCJBmdQ"",""DRP for 8 products!B:E""),4,0)"),44.0)</f>
        <v>44</v>
      </c>
      <c r="J758" s="8" t="str">
        <f t="shared" si="1"/>
        <v>Tier 2</v>
      </c>
      <c r="K758" s="9" t="str">
        <f t="shared" si="2"/>
        <v>Active</v>
      </c>
      <c r="L758" s="4" t="str">
        <f>IFERROR(__xludf.DUMMYFUNCTION("vlookup(C758,importrange(""1kw74ismGU34AsZ5x-W4x7F3Zt2xc8NSYcCVMrCJBmdQ"",""DRP for 8 products!B:H""),6,0)"),"BigQuery")</f>
        <v>BigQuery</v>
      </c>
      <c r="M758" s="10" t="str">
        <f t="shared" si="3"/>
        <v>Yes</v>
      </c>
    </row>
    <row r="759">
      <c r="A759" s="4" t="str">
        <f>IFERROR(__xludf.DUMMYFUNCTION("vlookup(C759,IMPORTRANGE(""1Kgoo8qyo6zMtf_5B03ksZz228jg0XpZ4_KXsdHQ4Vks"",""14 Sept!A:B""),2,0)"),"DME1377")</f>
        <v>DME1377</v>
      </c>
      <c r="B759" s="5" t="str">
        <f>IFERROR(__xludf.DUMMYFUNCTION("""COMPUTED_VALUE"""),"Aditi Kotewar")</f>
        <v>Aditi Kotewar</v>
      </c>
      <c r="C759" s="5" t="str">
        <f>IFERROR(__xludf.DUMMYFUNCTION("""COMPUTED_VALUE"""),"aditi.kotewar@onixnet.com")</f>
        <v>aditi.kotewar@onixnet.com</v>
      </c>
      <c r="D759" s="4" t="s">
        <v>11</v>
      </c>
      <c r="E759" s="6" t="str">
        <f>IFERROR(__xludf.DUMMYFUNCTION("vlookup($A759,importrange(""1fyGnaViAX9kns28pvsfPvI9925sAI7kxPlM7jpuHVJM"",""Validation!A:Z""),11,0)"),"Delivery Services")</f>
        <v>Delivery Services</v>
      </c>
      <c r="F759" s="6" t="str">
        <f>IFERROR(__xludf.DUMMYFUNCTION("vlookup($A759,importrange(""1fyGnaViAX9kns28pvsfPvI9925sAI7kxPlM7jpuHVJM"",""Validation!A:Z""),23,0)"),"Noorulla Shaik")</f>
        <v>Noorulla Shaik</v>
      </c>
      <c r="G759" s="6" t="str">
        <f>IFERROR(__xludf.DUMMYFUNCTION("vlookup(A759,importrange(""1fyGnaViAX9kns28pvsfPvI9925sAI7kxPlM7jpuHVJM"",""Validation!A:Z""),22,0)"),"Cluster - Kanhaiya")</f>
        <v>Cluster - Kanhaiya</v>
      </c>
      <c r="H759" s="4" t="str">
        <f>IFERROR(__xludf.DUMMYFUNCTION("vlookup(C759,importrange(""1kw74ismGU34AsZ5x-W4x7F3Zt2xc8NSYcCVMrCJBmdQ"",""DRP for 8 products!B:C""),2,0)"),"ONIAKIKD3")</f>
        <v>ONIAKIKD3</v>
      </c>
      <c r="I759" s="7">
        <f>IFERROR(__xludf.DUMMYFUNCTION("vlookup(C759,importrange(""1kw74ismGU34AsZ5x-W4x7F3Zt2xc8NSYcCVMrCJBmdQ"",""DRP for 8 products!B:E""),4,0)"),5.0)</f>
        <v>5</v>
      </c>
      <c r="J759" s="8" t="str">
        <f t="shared" si="1"/>
        <v>Tier 4</v>
      </c>
      <c r="K759" s="9" t="str">
        <f t="shared" si="2"/>
        <v>Active</v>
      </c>
      <c r="L759" s="4" t="str">
        <f>IFERROR(__xludf.DUMMYFUNCTION("vlookup(C759,importrange(""1kw74ismGU34AsZ5x-W4x7F3Zt2xc8NSYcCVMrCJBmdQ"",""DRP for 8 products!B:H""),6,0)"),"Cloud SQL")</f>
        <v>Cloud SQL</v>
      </c>
      <c r="M759" s="10" t="str">
        <f t="shared" si="3"/>
        <v>Yes</v>
      </c>
    </row>
    <row r="760">
      <c r="A760" s="4" t="str">
        <f>IFERROR(__xludf.DUMMYFUNCTION("vlookup(C760,IMPORTRANGE(""1Kgoo8qyo6zMtf_5B03ksZz228jg0XpZ4_KXsdHQ4Vks"",""14 Sept!A:B""),2,0)"),"DME3389")</f>
        <v>DME3389</v>
      </c>
      <c r="B760" s="5" t="str">
        <f>IFERROR(__xludf.DUMMYFUNCTION("""COMPUTED_VALUE"""),"Apurva Phapale")</f>
        <v>Apurva Phapale</v>
      </c>
      <c r="C760" s="5" t="str">
        <f>IFERROR(__xludf.DUMMYFUNCTION("""COMPUTED_VALUE"""),"apurva.phapale@onixnet.com")</f>
        <v>apurva.phapale@onixnet.com</v>
      </c>
      <c r="D760" s="4" t="s">
        <v>11</v>
      </c>
      <c r="E760" s="6" t="str">
        <f>IFERROR(__xludf.DUMMYFUNCTION("vlookup($A760,importrange(""1fyGnaViAX9kns28pvsfPvI9925sAI7kxPlM7jpuHVJM"",""Validation!A:Z""),11,0)"),"Delivery Services")</f>
        <v>Delivery Services</v>
      </c>
      <c r="F760" s="6" t="str">
        <f>IFERROR(__xludf.DUMMYFUNCTION("vlookup($A760,importrange(""1fyGnaViAX9kns28pvsfPvI9925sAI7kxPlM7jpuHVJM"",""Validation!A:Z""),23,0)"),"Rabindra Nayak")</f>
        <v>Rabindra Nayak</v>
      </c>
      <c r="G760" s="6" t="str">
        <f>IFERROR(__xludf.DUMMYFUNCTION("vlookup(A760,importrange(""1fyGnaViAX9kns28pvsfPvI9925sAI7kxPlM7jpuHVJM"",""Validation!A:Z""),22,0)"),"Cluster - Sagar")</f>
        <v>Cluster - Sagar</v>
      </c>
      <c r="H760" s="4" t="str">
        <f>IFERROR(__xludf.DUMMYFUNCTION("vlookup(C760,importrange(""1kw74ismGU34AsZ5x-W4x7F3Zt2xc8NSYcCVMrCJBmdQ"",""DRP for 8 products!B:C""),2,0)"),"ONIAPDKW7")</f>
        <v>ONIAPDKW7</v>
      </c>
      <c r="I760" s="7">
        <f>IFERROR(__xludf.DUMMYFUNCTION("vlookup(C760,importrange(""1kw74ismGU34AsZ5x-W4x7F3Zt2xc8NSYcCVMrCJBmdQ"",""DRP for 8 products!B:E""),4,0)"),10.0)</f>
        <v>10</v>
      </c>
      <c r="J760" s="8" t="str">
        <f t="shared" si="1"/>
        <v>Tier 4</v>
      </c>
      <c r="K760" s="9" t="str">
        <f t="shared" si="2"/>
        <v>Active</v>
      </c>
      <c r="L760" s="4" t="str">
        <f>IFERROR(__xludf.DUMMYFUNCTION("vlookup(C760,importrange(""1kw74ismGU34AsZ5x-W4x7F3Zt2xc8NSYcCVMrCJBmdQ"",""DRP for 8 products!B:H""),6,0)"),"BigQuery")</f>
        <v>BigQuery</v>
      </c>
      <c r="M760" s="10" t="str">
        <f t="shared" si="3"/>
        <v>Yes</v>
      </c>
    </row>
    <row r="761">
      <c r="A761" s="4" t="str">
        <f>IFERROR(__xludf.DUMMYFUNCTION("vlookup(C761,IMPORTRANGE(""1Kgoo8qyo6zMtf_5B03ksZz228jg0XpZ4_KXsdHQ4Vks"",""14 Sept!A:B""),2,0)"),"DME1626")</f>
        <v>DME1626</v>
      </c>
      <c r="B761" s="5" t="str">
        <f>IFERROR(__xludf.DUMMYFUNCTION("""COMPUTED_VALUE"""),"Tushar Pethkar")</f>
        <v>Tushar Pethkar</v>
      </c>
      <c r="C761" s="5" t="str">
        <f>IFERROR(__xludf.DUMMYFUNCTION("""COMPUTED_VALUE"""),"tushar.pethkar@onixnet.com")</f>
        <v>tushar.pethkar@onixnet.com</v>
      </c>
      <c r="D761" s="4" t="s">
        <v>11</v>
      </c>
      <c r="E761" s="6" t="str">
        <f>IFERROR(__xludf.DUMMYFUNCTION("vlookup($A761,importrange(""1fyGnaViAX9kns28pvsfPvI9925sAI7kxPlM7jpuHVJM"",""Validation!A:Z""),11,0)"),"Delivery Services")</f>
        <v>Delivery Services</v>
      </c>
      <c r="F761" s="6" t="str">
        <f>IFERROR(__xludf.DUMMYFUNCTION("vlookup($A761,importrange(""1fyGnaViAX9kns28pvsfPvI9925sAI7kxPlM7jpuHVJM"",""Validation!A:Z""),23,0)"),"Rahul Chandak")</f>
        <v>Rahul Chandak</v>
      </c>
      <c r="G761" s="6" t="str">
        <f>IFERROR(__xludf.DUMMYFUNCTION("vlookup(A761,importrange(""1fyGnaViAX9kns28pvsfPvI9925sAI7kxPlM7jpuHVJM"",""Validation!A:Z""),22,0)"),"Cluster - Sagar")</f>
        <v>Cluster - Sagar</v>
      </c>
      <c r="H761" s="4" t="str">
        <f>IFERROR(__xludf.DUMMYFUNCTION("vlookup(C761,importrange(""1kw74ismGU34AsZ5x-W4x7F3Zt2xc8NSYcCVMrCJBmdQ"",""DRP for 8 products!B:C""),2,0)"),"ONITPLJV3")</f>
        <v>ONITPLJV3</v>
      </c>
      <c r="I761" s="7">
        <f>IFERROR(__xludf.DUMMYFUNCTION("vlookup(C761,importrange(""1kw74ismGU34AsZ5x-W4x7F3Zt2xc8NSYcCVMrCJBmdQ"",""DRP for 8 products!B:E""),4,0)"),49.0)</f>
        <v>49</v>
      </c>
      <c r="J761" s="8" t="str">
        <f t="shared" si="1"/>
        <v>Tier 2</v>
      </c>
      <c r="K761" s="9" t="str">
        <f t="shared" si="2"/>
        <v>Active</v>
      </c>
      <c r="L761" s="4" t="str">
        <f>IFERROR(__xludf.DUMMYFUNCTION("vlookup(C761,importrange(""1kw74ismGU34AsZ5x-W4x7F3Zt2xc8NSYcCVMrCJBmdQ"",""DRP for 8 products!B:H""),6,0)"),"BigQuery")</f>
        <v>BigQuery</v>
      </c>
      <c r="M761" s="10" t="str">
        <f t="shared" si="3"/>
        <v>Yes</v>
      </c>
    </row>
    <row r="762">
      <c r="A762" s="4" t="str">
        <f>IFERROR(__xludf.DUMMYFUNCTION("vlookup(C762,IMPORTRANGE(""1Kgoo8qyo6zMtf_5B03ksZz228jg0XpZ4_KXsdHQ4Vks"",""14 Sept!A:B""),2,0)"),"DME2425")</f>
        <v>DME2425</v>
      </c>
      <c r="B762" s="5" t="str">
        <f>IFERROR(__xludf.DUMMYFUNCTION("""COMPUTED_VALUE"""),"Vaibhav Mittal")</f>
        <v>Vaibhav Mittal</v>
      </c>
      <c r="C762" s="5" t="str">
        <f>IFERROR(__xludf.DUMMYFUNCTION("""COMPUTED_VALUE"""),"vaibhav.mittal@onixnet.com")</f>
        <v>vaibhav.mittal@onixnet.com</v>
      </c>
      <c r="D762" s="4" t="s">
        <v>11</v>
      </c>
      <c r="E762" s="6" t="str">
        <f>IFERROR(__xludf.DUMMYFUNCTION("vlookup($A762,importrange(""1fyGnaViAX9kns28pvsfPvI9925sAI7kxPlM7jpuHVJM"",""Validation!A:Z""),11,0)"),"Delivery Services")</f>
        <v>Delivery Services</v>
      </c>
      <c r="F762" s="6" t="str">
        <f>IFERROR(__xludf.DUMMYFUNCTION("vlookup($A762,importrange(""1fyGnaViAX9kns28pvsfPvI9925sAI7kxPlM7jpuHVJM"",""Validation!A:Z""),23,0)"),"Varunesh Khandelwal")</f>
        <v>Varunesh Khandelwal</v>
      </c>
      <c r="G762" s="6" t="str">
        <f>IFERROR(__xludf.DUMMYFUNCTION("vlookup(A762,importrange(""1fyGnaViAX9kns28pvsfPvI9925sAI7kxPlM7jpuHVJM"",""Validation!A:Z""),22,0)"),"Cluster - Gaurav")</f>
        <v>Cluster - Gaurav</v>
      </c>
      <c r="H762" s="4" t="str">
        <f>IFERROR(__xludf.DUMMYFUNCTION("vlookup(C762,importrange(""1kw74ismGU34AsZ5x-W4x7F3Zt2xc8NSYcCVMrCJBmdQ"",""DRP for 8 products!B:C""),2,0)"),"ONIVMOHW7")</f>
        <v>ONIVMOHW7</v>
      </c>
      <c r="I762" s="7">
        <f>IFERROR(__xludf.DUMMYFUNCTION("vlookup(C762,importrange(""1kw74ismGU34AsZ5x-W4x7F3Zt2xc8NSYcCVMrCJBmdQ"",""DRP for 8 products!B:E""),4,0)"),9.0)</f>
        <v>9</v>
      </c>
      <c r="J762" s="8" t="str">
        <f t="shared" si="1"/>
        <v>Tier 4</v>
      </c>
      <c r="K762" s="9" t="str">
        <f t="shared" si="2"/>
        <v>Active</v>
      </c>
      <c r="L762" s="4" t="str">
        <f>IFERROR(__xludf.DUMMYFUNCTION("vlookup(C762,importrange(""1kw74ismGU34AsZ5x-W4x7F3Zt2xc8NSYcCVMrCJBmdQ"",""DRP for 8 products!B:H""),6,0)"),"BigQuery")</f>
        <v>BigQuery</v>
      </c>
      <c r="M762" s="10" t="str">
        <f t="shared" si="3"/>
        <v>Yes</v>
      </c>
    </row>
    <row r="763">
      <c r="A763" s="4" t="str">
        <f>IFERROR(__xludf.DUMMYFUNCTION("vlookup(C763,IMPORTRANGE(""1Kgoo8qyo6zMtf_5B03ksZz228jg0XpZ4_KXsdHQ4Vks"",""14 Sept!A:B""),2,0)"),"DME2802")</f>
        <v>DME2802</v>
      </c>
      <c r="B763" s="5" t="str">
        <f>IFERROR(__xludf.DUMMYFUNCTION("""COMPUTED_VALUE"""),"Nitesh Verma")</f>
        <v>Nitesh Verma</v>
      </c>
      <c r="C763" s="5" t="str">
        <f>IFERROR(__xludf.DUMMYFUNCTION("""COMPUTED_VALUE"""),"nitesh.verma@onixnet.com")</f>
        <v>nitesh.verma@onixnet.com</v>
      </c>
      <c r="D763" s="4" t="s">
        <v>11</v>
      </c>
      <c r="E763" s="6" t="str">
        <f>IFERROR(__xludf.DUMMYFUNCTION("vlookup($A763,importrange(""1fyGnaViAX9kns28pvsfPvI9925sAI7kxPlM7jpuHVJM"",""Validation!A:Z""),11,0)"),"Delivery Services")</f>
        <v>Delivery Services</v>
      </c>
      <c r="F763" s="6" t="str">
        <f>IFERROR(__xludf.DUMMYFUNCTION("vlookup($A763,importrange(""1fyGnaViAX9kns28pvsfPvI9925sAI7kxPlM7jpuHVJM"",""Validation!A:Z""),23,0)"),"Varunesh Khandelwal")</f>
        <v>Varunesh Khandelwal</v>
      </c>
      <c r="G763" s="6" t="str">
        <f>IFERROR(__xludf.DUMMYFUNCTION("vlookup(A763,importrange(""1fyGnaViAX9kns28pvsfPvI9925sAI7kxPlM7jpuHVJM"",""Validation!A:Z""),22,0)"),"Cluster - Gaurav")</f>
        <v>Cluster - Gaurav</v>
      </c>
      <c r="H763" s="4" t="str">
        <f>IFERROR(__xludf.DUMMYFUNCTION("vlookup(C763,importrange(""1kw74ismGU34AsZ5x-W4x7F3Zt2xc8NSYcCVMrCJBmdQ"",""DRP for 8 products!B:C""),2,0)"),"ONINVFYN2")</f>
        <v>ONINVFYN2</v>
      </c>
      <c r="I763" s="7">
        <f>IFERROR(__xludf.DUMMYFUNCTION("vlookup(C763,importrange(""1kw74ismGU34AsZ5x-W4x7F3Zt2xc8NSYcCVMrCJBmdQ"",""DRP for 8 products!B:E""),4,0)"),9.0)</f>
        <v>9</v>
      </c>
      <c r="J763" s="8" t="str">
        <f t="shared" si="1"/>
        <v>Tier 4</v>
      </c>
      <c r="K763" s="9" t="str">
        <f t="shared" si="2"/>
        <v>Active</v>
      </c>
      <c r="L763" s="4" t="str">
        <f>IFERROR(__xludf.DUMMYFUNCTION("vlookup(C763,importrange(""1kw74ismGU34AsZ5x-W4x7F3Zt2xc8NSYcCVMrCJBmdQ"",""DRP for 8 products!B:H""),6,0)"),"BigQuery")</f>
        <v>BigQuery</v>
      </c>
      <c r="M763" s="10" t="str">
        <f t="shared" si="3"/>
        <v>Yes</v>
      </c>
    </row>
    <row r="764">
      <c r="A764" s="4" t="str">
        <f>IFERROR(__xludf.DUMMYFUNCTION("vlookup(C764,IMPORTRANGE(""1Kgoo8qyo6zMtf_5B03ksZz228jg0XpZ4_KXsdHQ4Vks"",""14 Sept!A:B""),2,0)"),"DME3370")</f>
        <v>DME3370</v>
      </c>
      <c r="B764" s="5" t="str">
        <f>IFERROR(__xludf.DUMMYFUNCTION("""COMPUTED_VALUE"""),"Venkat Soodarshan")</f>
        <v>Venkat Soodarshan</v>
      </c>
      <c r="C764" s="5" t="str">
        <f>IFERROR(__xludf.DUMMYFUNCTION("""COMPUTED_VALUE"""),"venkat.soodarshan@onixnet.com")</f>
        <v>venkat.soodarshan@onixnet.com</v>
      </c>
      <c r="D764" s="4" t="s">
        <v>11</v>
      </c>
      <c r="E764" s="6" t="str">
        <f>IFERROR(__xludf.DUMMYFUNCTION("vlookup($A764,importrange(""1fyGnaViAX9kns28pvsfPvI9925sAI7kxPlM7jpuHVJM"",""Validation!A:Z""),11,0)"),"Delivery Services")</f>
        <v>Delivery Services</v>
      </c>
      <c r="F764" s="6" t="str">
        <f>IFERROR(__xludf.DUMMYFUNCTION("vlookup($A764,importrange(""1fyGnaViAX9kns28pvsfPvI9925sAI7kxPlM7jpuHVJM"",""Validation!A:Z""),23,0)"),"Vishal Khare")</f>
        <v>Vishal Khare</v>
      </c>
      <c r="G764" s="6" t="str">
        <f>IFERROR(__xludf.DUMMYFUNCTION("vlookup(A764,importrange(""1fyGnaViAX9kns28pvsfPvI9925sAI7kxPlM7jpuHVJM"",""Validation!A:Z""),22,0)"),"Cluster - Sagar")</f>
        <v>Cluster - Sagar</v>
      </c>
      <c r="H764" s="4" t="str">
        <f>IFERROR(__xludf.DUMMYFUNCTION("vlookup(C764,importrange(""1kw74ismGU34AsZ5x-W4x7F3Zt2xc8NSYcCVMrCJBmdQ"",""DRP for 8 products!B:C""),2,0)"),"ONIVSXYN3")</f>
        <v>ONIVSXYN3</v>
      </c>
      <c r="I764" s="7">
        <f>IFERROR(__xludf.DUMMYFUNCTION("vlookup(C764,importrange(""1kw74ismGU34AsZ5x-W4x7F3Zt2xc8NSYcCVMrCJBmdQ"",""DRP for 8 products!B:E""),4,0)"),26.0)</f>
        <v>26</v>
      </c>
      <c r="J764" s="8" t="str">
        <f t="shared" si="1"/>
        <v>Tier 3</v>
      </c>
      <c r="K764" s="9" t="str">
        <f t="shared" si="2"/>
        <v>Active</v>
      </c>
      <c r="L764" s="4" t="str">
        <f>IFERROR(__xludf.DUMMYFUNCTION("vlookup(C764,importrange(""1kw74ismGU34AsZ5x-W4x7F3Zt2xc8NSYcCVMrCJBmdQ"",""DRP for 8 products!B:H""),6,0)"),"BigQuery")</f>
        <v>BigQuery</v>
      </c>
      <c r="M764" s="10" t="str">
        <f t="shared" si="3"/>
        <v>Yes</v>
      </c>
    </row>
    <row r="765">
      <c r="A765" s="4" t="str">
        <f>IFERROR(__xludf.DUMMYFUNCTION("vlookup(C765,IMPORTRANGE(""1Kgoo8qyo6zMtf_5B03ksZz228jg0XpZ4_KXsdHQ4Vks"",""14 Sept!A:B""),2,0)"),"DME3238")</f>
        <v>DME3238</v>
      </c>
      <c r="B765" s="5" t="str">
        <f>IFERROR(__xludf.DUMMYFUNCTION("""COMPUTED_VALUE"""),"Piyush Bhone")</f>
        <v>Piyush Bhone</v>
      </c>
      <c r="C765" s="5" t="str">
        <f>IFERROR(__xludf.DUMMYFUNCTION("""COMPUTED_VALUE"""),"piyush.bhone@onixnet.com")</f>
        <v>piyush.bhone@onixnet.com</v>
      </c>
      <c r="D765" s="4" t="s">
        <v>11</v>
      </c>
      <c r="E765" s="6" t="str">
        <f>IFERROR(__xludf.DUMMYFUNCTION("vlookup($A765,importrange(""1fyGnaViAX9kns28pvsfPvI9925sAI7kxPlM7jpuHVJM"",""Validation!A:Z""),11,0)"),"Delivery Services")</f>
        <v>Delivery Services</v>
      </c>
      <c r="F765" s="6" t="str">
        <f>IFERROR(__xludf.DUMMYFUNCTION("vlookup($A765,importrange(""1fyGnaViAX9kns28pvsfPvI9925sAI7kxPlM7jpuHVJM"",""Validation!A:Z""),23,0)"),"Rahul Shelake")</f>
        <v>Rahul Shelake</v>
      </c>
      <c r="G765" s="6" t="str">
        <f>IFERROR(__xludf.DUMMYFUNCTION("vlookup(A765,importrange(""1fyGnaViAX9kns28pvsfPvI9925sAI7kxPlM7jpuHVJM"",""Validation!A:Z""),22,0)"),"Cluster - Sagar")</f>
        <v>Cluster - Sagar</v>
      </c>
      <c r="H765" s="4" t="str">
        <f>IFERROR(__xludf.DUMMYFUNCTION("vlookup(C765,importrange(""1kw74ismGU34AsZ5x-W4x7F3Zt2xc8NSYcCVMrCJBmdQ"",""DRP for 8 products!B:C""),2,0)"),"ONIPBZCL4")</f>
        <v>ONIPBZCL4</v>
      </c>
      <c r="I765" s="7">
        <f>IFERROR(__xludf.DUMMYFUNCTION("vlookup(C765,importrange(""1kw74ismGU34AsZ5x-W4x7F3Zt2xc8NSYcCVMrCJBmdQ"",""DRP for 8 products!B:E""),4,0)"),7.0)</f>
        <v>7</v>
      </c>
      <c r="J765" s="8" t="str">
        <f t="shared" si="1"/>
        <v>Tier 4</v>
      </c>
      <c r="K765" s="9" t="str">
        <f t="shared" si="2"/>
        <v>Active</v>
      </c>
      <c r="L765" s="4" t="str">
        <f>IFERROR(__xludf.DUMMYFUNCTION("vlookup(C765,importrange(""1kw74ismGU34AsZ5x-W4x7F3Zt2xc8NSYcCVMrCJBmdQ"",""DRP for 8 products!B:H""),6,0)"),"BigQuery")</f>
        <v>BigQuery</v>
      </c>
      <c r="M765" s="10" t="str">
        <f t="shared" si="3"/>
        <v>Yes</v>
      </c>
    </row>
    <row r="766">
      <c r="A766" s="4" t="str">
        <f>IFERROR(__xludf.DUMMYFUNCTION("vlookup(C766,IMPORTRANGE(""1Kgoo8qyo6zMtf_5B03ksZz228jg0XpZ4_KXsdHQ4Vks"",""14 Sept!A:B""),2,0)"),"DME2146")</f>
        <v>DME2146</v>
      </c>
      <c r="B766" s="5" t="str">
        <f>IFERROR(__xludf.DUMMYFUNCTION("""COMPUTED_VALUE"""),"Prachi Chauhan")</f>
        <v>Prachi Chauhan</v>
      </c>
      <c r="C766" s="5" t="str">
        <f>IFERROR(__xludf.DUMMYFUNCTION("""COMPUTED_VALUE"""),"prachi.chauhan@onixnet.com")</f>
        <v>prachi.chauhan@onixnet.com</v>
      </c>
      <c r="D766" s="4" t="s">
        <v>11</v>
      </c>
      <c r="E766" s="6" t="str">
        <f>IFERROR(__xludf.DUMMYFUNCTION("vlookup($A766,importrange(""1fyGnaViAX9kns28pvsfPvI9925sAI7kxPlM7jpuHVJM"",""Validation!A:Z""),11,0)"),"Delivery Services")</f>
        <v>Delivery Services</v>
      </c>
      <c r="F766" s="6" t="str">
        <f>IFERROR(__xludf.DUMMYFUNCTION("vlookup($A766,importrange(""1fyGnaViAX9kns28pvsfPvI9925sAI7kxPlM7jpuHVJM"",""Validation!A:Z""),23,0)"),"Sarang Katre")</f>
        <v>Sarang Katre</v>
      </c>
      <c r="G766" s="6" t="str">
        <f>IFERROR(__xludf.DUMMYFUNCTION("vlookup(A766,importrange(""1fyGnaViAX9kns28pvsfPvI9925sAI7kxPlM7jpuHVJM"",""Validation!A:Z""),22,0)"),"Cluster - Kanhaiya")</f>
        <v>Cluster - Kanhaiya</v>
      </c>
      <c r="H766" s="4" t="str">
        <f>IFERROR(__xludf.DUMMYFUNCTION("vlookup(C766,importrange(""1kw74ismGU34AsZ5x-W4x7F3Zt2xc8NSYcCVMrCJBmdQ"",""DRP for 8 products!B:C""),2,0)"),"ONIPCOYE6")</f>
        <v>ONIPCOYE6</v>
      </c>
      <c r="I766" s="7">
        <f>IFERROR(__xludf.DUMMYFUNCTION("vlookup(C766,importrange(""1kw74ismGU34AsZ5x-W4x7F3Zt2xc8NSYcCVMrCJBmdQ"",""DRP for 8 products!B:E""),4,0)"),6.0)</f>
        <v>6</v>
      </c>
      <c r="J766" s="8" t="str">
        <f t="shared" si="1"/>
        <v>Tier 4</v>
      </c>
      <c r="K766" s="9" t="str">
        <f t="shared" si="2"/>
        <v>Active</v>
      </c>
      <c r="L766" s="4" t="str">
        <f>IFERROR(__xludf.DUMMYFUNCTION("vlookup(C766,importrange(""1kw74ismGU34AsZ5x-W4x7F3Zt2xc8NSYcCVMrCJBmdQ"",""DRP for 8 products!B:H""),6,0)"),"Oracle")</f>
        <v>Oracle</v>
      </c>
      <c r="M766" s="10" t="str">
        <f t="shared" si="3"/>
        <v>Yes</v>
      </c>
    </row>
    <row r="767">
      <c r="A767" s="4" t="str">
        <f>IFERROR(__xludf.DUMMYFUNCTION("vlookup(C767,IMPORTRANGE(""1Kgoo8qyo6zMtf_5B03ksZz228jg0XpZ4_KXsdHQ4Vks"",""14 Sept!A:B""),2,0)"),"DME3263")</f>
        <v>DME3263</v>
      </c>
      <c r="B767" s="5" t="str">
        <f>IFERROR(__xludf.DUMMYFUNCTION("""COMPUTED_VALUE"""),"Himanshu Soni")</f>
        <v>Himanshu Soni</v>
      </c>
      <c r="C767" s="5" t="str">
        <f>IFERROR(__xludf.DUMMYFUNCTION("""COMPUTED_VALUE"""),"himanshu.soni@onixnet.com")</f>
        <v>himanshu.soni@onixnet.com</v>
      </c>
      <c r="D767" s="4" t="s">
        <v>11</v>
      </c>
      <c r="E767" s="6" t="str">
        <f>IFERROR(__xludf.DUMMYFUNCTION("vlookup($A767,importrange(""1fyGnaViAX9kns28pvsfPvI9925sAI7kxPlM7jpuHVJM"",""Validation!A:Z""),11,0)"),"Delivery Services")</f>
        <v>Delivery Services</v>
      </c>
      <c r="F767" s="6" t="str">
        <f>IFERROR(__xludf.DUMMYFUNCTION("vlookup($A767,importrange(""1fyGnaViAX9kns28pvsfPvI9925sAI7kxPlM7jpuHVJM"",""Validation!A:Z""),23,0)"),"Vedant Bhogawade")</f>
        <v>Vedant Bhogawade</v>
      </c>
      <c r="G767" s="6" t="str">
        <f>IFERROR(__xludf.DUMMYFUNCTION("vlookup(A767,importrange(""1fyGnaViAX9kns28pvsfPvI9925sAI7kxPlM7jpuHVJM"",""Validation!A:Z""),22,0)"),"Cluster - Varun")</f>
        <v>Cluster - Varun</v>
      </c>
      <c r="H767" s="4" t="str">
        <f>IFERROR(__xludf.DUMMYFUNCTION("vlookup(C767,importrange(""1kw74ismGU34AsZ5x-W4x7F3Zt2xc8NSYcCVMrCJBmdQ"",""DRP for 8 products!B:C""),2,0)"),"ONIHSXZO4")</f>
        <v>ONIHSXZO4</v>
      </c>
      <c r="I767" s="7">
        <f>IFERROR(__xludf.DUMMYFUNCTION("vlookup(C767,importrange(""1kw74ismGU34AsZ5x-W4x7F3Zt2xc8NSYcCVMrCJBmdQ"",""DRP for 8 products!B:E""),4,0)"),14.0)</f>
        <v>14</v>
      </c>
      <c r="J767" s="8" t="str">
        <f t="shared" si="1"/>
        <v>Tier 4</v>
      </c>
      <c r="K767" s="9" t="str">
        <f t="shared" si="2"/>
        <v>Active</v>
      </c>
      <c r="L767" s="4" t="str">
        <f>IFERROR(__xludf.DUMMYFUNCTION("vlookup(C767,importrange(""1kw74ismGU34AsZ5x-W4x7F3Zt2xc8NSYcCVMrCJBmdQ"",""DRP for 8 products!B:H""),6,0)"),"BigQuery")</f>
        <v>BigQuery</v>
      </c>
      <c r="M767" s="10" t="str">
        <f t="shared" si="3"/>
        <v>Yes</v>
      </c>
    </row>
    <row r="768">
      <c r="A768" s="4" t="str">
        <f>IFERROR(__xludf.DUMMYFUNCTION("vlookup(C768,IMPORTRANGE(""1Kgoo8qyo6zMtf_5B03ksZz228jg0XpZ4_KXsdHQ4Vks"",""14 Sept!A:B""),2,0)"),"DME2650")</f>
        <v>DME2650</v>
      </c>
      <c r="B768" s="5" t="str">
        <f>IFERROR(__xludf.DUMMYFUNCTION("""COMPUTED_VALUE"""),"Shubham Agnihotri")</f>
        <v>Shubham Agnihotri</v>
      </c>
      <c r="C768" s="5" t="str">
        <f>IFERROR(__xludf.DUMMYFUNCTION("""COMPUTED_VALUE"""),"shubham.agnihotri@onixnet.com")</f>
        <v>shubham.agnihotri@onixnet.com</v>
      </c>
      <c r="D768" s="4" t="s">
        <v>11</v>
      </c>
      <c r="E768" s="6" t="str">
        <f>IFERROR(__xludf.DUMMYFUNCTION("vlookup($A768,importrange(""1fyGnaViAX9kns28pvsfPvI9925sAI7kxPlM7jpuHVJM"",""Validation!A:Z""),11,0)"),"Delivery Services")</f>
        <v>Delivery Services</v>
      </c>
      <c r="F768" s="6" t="str">
        <f>IFERROR(__xludf.DUMMYFUNCTION("vlookup($A768,importrange(""1fyGnaViAX9kns28pvsfPvI9925sAI7kxPlM7jpuHVJM"",""Validation!A:Z""),23,0)"),"Varunesh Khandelwal")</f>
        <v>Varunesh Khandelwal</v>
      </c>
      <c r="G768" s="6" t="str">
        <f>IFERROR(__xludf.DUMMYFUNCTION("vlookup(A768,importrange(""1fyGnaViAX9kns28pvsfPvI9925sAI7kxPlM7jpuHVJM"",""Validation!A:Z""),22,0)"),"Cluster - Gaurav")</f>
        <v>Cluster - Gaurav</v>
      </c>
      <c r="H768" s="4" t="str">
        <f>IFERROR(__xludf.DUMMYFUNCTION("vlookup(C768,importrange(""1kw74ismGU34AsZ5x-W4x7F3Zt2xc8NSYcCVMrCJBmdQ"",""DRP for 8 products!B:C""),2,0)"),"ONISAYXW4")</f>
        <v>ONISAYXW4</v>
      </c>
      <c r="I768" s="7">
        <f>IFERROR(__xludf.DUMMYFUNCTION("vlookup(C768,importrange(""1kw74ismGU34AsZ5x-W4x7F3Zt2xc8NSYcCVMrCJBmdQ"",""DRP for 8 products!B:E""),4,0)"),9.0)</f>
        <v>9</v>
      </c>
      <c r="J768" s="8" t="str">
        <f t="shared" si="1"/>
        <v>Tier 4</v>
      </c>
      <c r="K768" s="9" t="str">
        <f t="shared" si="2"/>
        <v>Active</v>
      </c>
      <c r="L768" s="4" t="str">
        <f>IFERROR(__xludf.DUMMYFUNCTION("vlookup(C768,importrange(""1kw74ismGU34AsZ5x-W4x7F3Zt2xc8NSYcCVMrCJBmdQ"",""DRP for 8 products!B:H""),6,0)"),"BigQuery")</f>
        <v>BigQuery</v>
      </c>
      <c r="M768" s="10" t="str">
        <f t="shared" si="3"/>
        <v>Yes</v>
      </c>
    </row>
    <row r="769">
      <c r="A769" s="4" t="str">
        <f>IFERROR(__xludf.DUMMYFUNCTION("vlookup(C769,IMPORTRANGE(""1Kgoo8qyo6zMtf_5B03ksZz228jg0XpZ4_KXsdHQ4Vks"",""14 Sept!A:B""),2,0)"),"DME3413")</f>
        <v>DME3413</v>
      </c>
      <c r="B769" s="5" t="str">
        <f>IFERROR(__xludf.DUMMYFUNCTION("""COMPUTED_VALUE"""),"Manish Tiwari")</f>
        <v>Manish Tiwari</v>
      </c>
      <c r="C769" s="5" t="str">
        <f>IFERROR(__xludf.DUMMYFUNCTION("""COMPUTED_VALUE"""),"manish.tiwari@onixnet.com")</f>
        <v>manish.tiwari@onixnet.com</v>
      </c>
      <c r="D769" s="4" t="s">
        <v>11</v>
      </c>
      <c r="E769" s="6" t="str">
        <f>IFERROR(__xludf.DUMMYFUNCTION("vlookup($A769,importrange(""1fyGnaViAX9kns28pvsfPvI9925sAI7kxPlM7jpuHVJM"",""Validation!A:Z""),11,0)"),"Delivery Services")</f>
        <v>Delivery Services</v>
      </c>
      <c r="F769" s="6" t="str">
        <f>IFERROR(__xludf.DUMMYFUNCTION("vlookup($A769,importrange(""1fyGnaViAX9kns28pvsfPvI9925sAI7kxPlM7jpuHVJM"",""Validation!A:Z""),23,0)"),"Devayani Girish Pillai")</f>
        <v>Devayani Girish Pillai</v>
      </c>
      <c r="G769" s="6" t="str">
        <f>IFERROR(__xludf.DUMMYFUNCTION("vlookup(A769,importrange(""1fyGnaViAX9kns28pvsfPvI9925sAI7kxPlM7jpuHVJM"",""Validation!A:Z""),22,0)"),"Cluster - Devayani")</f>
        <v>Cluster - Devayani</v>
      </c>
      <c r="H769" s="4" t="str">
        <f>IFERROR(__xludf.DUMMYFUNCTION("vlookup(C769,importrange(""1kw74ismGU34AsZ5x-W4x7F3Zt2xc8NSYcCVMrCJBmdQ"",""DRP for 8 products!B:C""),2,0)"),"ONIMTJZM7")</f>
        <v>ONIMTJZM7</v>
      </c>
      <c r="I769" s="7">
        <f>IFERROR(__xludf.DUMMYFUNCTION("vlookup(C769,importrange(""1kw74ismGU34AsZ5x-W4x7F3Zt2xc8NSYcCVMrCJBmdQ"",""DRP for 8 products!B:E""),4,0)"),19.0)</f>
        <v>19</v>
      </c>
      <c r="J769" s="8" t="str">
        <f t="shared" si="1"/>
        <v>Tier 4</v>
      </c>
      <c r="K769" s="9" t="str">
        <f t="shared" si="2"/>
        <v>Active</v>
      </c>
      <c r="L769" s="4" t="str">
        <f>IFERROR(__xludf.DUMMYFUNCTION("vlookup(C769,importrange(""1kw74ismGU34AsZ5x-W4x7F3Zt2xc8NSYcCVMrCJBmdQ"",""DRP for 8 products!B:H""),6,0)"),"Looker")</f>
        <v>Looker</v>
      </c>
      <c r="M769" s="10" t="str">
        <f t="shared" si="3"/>
        <v>Yes</v>
      </c>
    </row>
    <row r="770">
      <c r="A770" s="4" t="str">
        <f>IFERROR(__xludf.DUMMYFUNCTION("vlookup(C770,IMPORTRANGE(""1Kgoo8qyo6zMtf_5B03ksZz228jg0XpZ4_KXsdHQ4Vks"",""14 Sept!A:B""),2,0)"),"DME3245")</f>
        <v>DME3245</v>
      </c>
      <c r="B770" s="5" t="str">
        <f>IFERROR(__xludf.DUMMYFUNCTION("""COMPUTED_VALUE"""),"Aayush Mishra")</f>
        <v>Aayush Mishra</v>
      </c>
      <c r="C770" s="5" t="str">
        <f>IFERROR(__xludf.DUMMYFUNCTION("""COMPUTED_VALUE"""),"aayush.mishra@onixnet.com")</f>
        <v>aayush.mishra@onixnet.com</v>
      </c>
      <c r="D770" s="4" t="s">
        <v>11</v>
      </c>
      <c r="E770" s="6" t="str">
        <f>IFERROR(__xludf.DUMMYFUNCTION("vlookup($A770,importrange(""1fyGnaViAX9kns28pvsfPvI9925sAI7kxPlM7jpuHVJM"",""Validation!A:Z""),11,0)"),"Delivery Services")</f>
        <v>Delivery Services</v>
      </c>
      <c r="F770" s="6" t="str">
        <f>IFERROR(__xludf.DUMMYFUNCTION("vlookup($A770,importrange(""1fyGnaViAX9kns28pvsfPvI9925sAI7kxPlM7jpuHVJM"",""Validation!A:Z""),23,0)"),"Rahul Chandak")</f>
        <v>Rahul Chandak</v>
      </c>
      <c r="G770" s="6" t="str">
        <f>IFERROR(__xludf.DUMMYFUNCTION("vlookup(A770,importrange(""1fyGnaViAX9kns28pvsfPvI9925sAI7kxPlM7jpuHVJM"",""Validation!A:Z""),22,0)"),"Cluster - Sagar")</f>
        <v>Cluster - Sagar</v>
      </c>
      <c r="H770" s="4" t="str">
        <f>IFERROR(__xludf.DUMMYFUNCTION("vlookup(C770,importrange(""1kw74ismGU34AsZ5x-W4x7F3Zt2xc8NSYcCVMrCJBmdQ"",""DRP for 8 products!B:C""),2,0)"),"ONIAMAAK5")</f>
        <v>ONIAMAAK5</v>
      </c>
      <c r="I770" s="7">
        <f>IFERROR(__xludf.DUMMYFUNCTION("vlookup(C770,importrange(""1kw74ismGU34AsZ5x-W4x7F3Zt2xc8NSYcCVMrCJBmdQ"",""DRP for 8 products!B:E""),4,0)"),19.0)</f>
        <v>19</v>
      </c>
      <c r="J770" s="8" t="str">
        <f t="shared" si="1"/>
        <v>Tier 4</v>
      </c>
      <c r="K770" s="9" t="str">
        <f t="shared" si="2"/>
        <v>Active</v>
      </c>
      <c r="L770" s="4" t="str">
        <f>IFERROR(__xludf.DUMMYFUNCTION("vlookup(C770,importrange(""1kw74ismGU34AsZ5x-W4x7F3Zt2xc8NSYcCVMrCJBmdQ"",""DRP for 8 products!B:H""),6,0)"),"BigQuery")</f>
        <v>BigQuery</v>
      </c>
      <c r="M770" s="10" t="str">
        <f t="shared" si="3"/>
        <v>Yes</v>
      </c>
    </row>
    <row r="771">
      <c r="A771" s="4" t="str">
        <f>IFERROR(__xludf.DUMMYFUNCTION("vlookup(C771,IMPORTRANGE(""1Kgoo8qyo6zMtf_5B03ksZz228jg0XpZ4_KXsdHQ4Vks"",""14 Sept!A:B""),2,0)"),"DME1727")</f>
        <v>DME1727</v>
      </c>
      <c r="B771" s="5" t="str">
        <f>IFERROR(__xludf.DUMMYFUNCTION("""COMPUTED_VALUE"""),"Prachi Borawake")</f>
        <v>Prachi Borawake</v>
      </c>
      <c r="C771" s="5" t="str">
        <f>IFERROR(__xludf.DUMMYFUNCTION("""COMPUTED_VALUE"""),"prachi.borawake@onixnet.com")</f>
        <v>prachi.borawake@onixnet.com</v>
      </c>
      <c r="D771" s="4" t="s">
        <v>11</v>
      </c>
      <c r="E771" s="6" t="str">
        <f>IFERROR(__xludf.DUMMYFUNCTION("vlookup($A771,importrange(""1fyGnaViAX9kns28pvsfPvI9925sAI7kxPlM7jpuHVJM"",""Validation!A:Z""),11,0)"),"Delivery Services")</f>
        <v>Delivery Services</v>
      </c>
      <c r="F771" s="6" t="str">
        <f>IFERROR(__xludf.DUMMYFUNCTION("vlookup($A771,importrange(""1fyGnaViAX9kns28pvsfPvI9925sAI7kxPlM7jpuHVJM"",""Validation!A:Z""),23,0)"),"Venkatavivekananda Sala")</f>
        <v>Venkatavivekananda Sala</v>
      </c>
      <c r="G771" s="6" t="str">
        <f>IFERROR(__xludf.DUMMYFUNCTION("vlookup(A771,importrange(""1fyGnaViAX9kns28pvsfPvI9925sAI7kxPlM7jpuHVJM"",""Validation!A:Z""),22,0)"),"Cluster - Sachin")</f>
        <v>Cluster - Sachin</v>
      </c>
      <c r="H771" s="4" t="str">
        <f>IFERROR(__xludf.DUMMYFUNCTION("vlookup(C771,importrange(""1kw74ismGU34AsZ5x-W4x7F3Zt2xc8NSYcCVMrCJBmdQ"",""DRP for 8 products!B:C""),2,0)"),"ONIPBRJF6")</f>
        <v>ONIPBRJF6</v>
      </c>
      <c r="I771" s="7">
        <f>IFERROR(__xludf.DUMMYFUNCTION("vlookup(C771,importrange(""1kw74ismGU34AsZ5x-W4x7F3Zt2xc8NSYcCVMrCJBmdQ"",""DRP for 8 products!B:E""),4,0)"),35.0)</f>
        <v>35</v>
      </c>
      <c r="J771" s="8" t="str">
        <f t="shared" si="1"/>
        <v>Tier 2</v>
      </c>
      <c r="K771" s="9" t="str">
        <f t="shared" si="2"/>
        <v>Active</v>
      </c>
      <c r="L771" s="4" t="str">
        <f>IFERROR(__xludf.DUMMYFUNCTION("vlookup(C771,importrange(""1kw74ismGU34AsZ5x-W4x7F3Zt2xc8NSYcCVMrCJBmdQ"",""DRP for 8 products!B:H""),6,0)"),"BigQuery")</f>
        <v>BigQuery</v>
      </c>
      <c r="M771" s="10" t="str">
        <f t="shared" si="3"/>
        <v>Yes</v>
      </c>
    </row>
    <row r="772">
      <c r="A772" s="4" t="str">
        <f>IFERROR(__xludf.DUMMYFUNCTION("vlookup(C772,IMPORTRANGE(""1Kgoo8qyo6zMtf_5B03ksZz228jg0XpZ4_KXsdHQ4Vks"",""14 Sept!A:B""),2,0)"),"DME2970")</f>
        <v>DME2970</v>
      </c>
      <c r="B772" s="5" t="str">
        <f>IFERROR(__xludf.DUMMYFUNCTION("""COMPUTED_VALUE"""),"Saidutt Bhagat")</f>
        <v>Saidutt Bhagat</v>
      </c>
      <c r="C772" s="5" t="str">
        <f>IFERROR(__xludf.DUMMYFUNCTION("""COMPUTED_VALUE"""),"saidutt.bhagat@onixnet.com")</f>
        <v>saidutt.bhagat@onixnet.com</v>
      </c>
      <c r="D772" s="4" t="s">
        <v>11</v>
      </c>
      <c r="E772" s="6" t="str">
        <f>IFERROR(__xludf.DUMMYFUNCTION("vlookup($A772,importrange(""1fyGnaViAX9kns28pvsfPvI9925sAI7kxPlM7jpuHVJM"",""Validation!A:Z""),11,0)"),"Delivery Services")</f>
        <v>Delivery Services</v>
      </c>
      <c r="F772" s="6" t="str">
        <f>IFERROR(__xludf.DUMMYFUNCTION("vlookup($A772,importrange(""1fyGnaViAX9kns28pvsfPvI9925sAI7kxPlM7jpuHVJM"",""Validation!A:Z""),23,0)"),"Laxmi Ambadas Gaddam")</f>
        <v>Laxmi Ambadas Gaddam</v>
      </c>
      <c r="G772" s="6" t="str">
        <f>IFERROR(__xludf.DUMMYFUNCTION("vlookup(A772,importrange(""1fyGnaViAX9kns28pvsfPvI9925sAI7kxPlM7jpuHVJM"",""Validation!A:Z""),22,0)"),"Cluster - Sagar")</f>
        <v>Cluster - Sagar</v>
      </c>
      <c r="H772" s="4" t="str">
        <f>IFERROR(__xludf.DUMMYFUNCTION("vlookup(C772,importrange(""1kw74ismGU34AsZ5x-W4x7F3Zt2xc8NSYcCVMrCJBmdQ"",""DRP for 8 products!B:C""),2,0)"),"ONISBFDZ6")</f>
        <v>ONISBFDZ6</v>
      </c>
      <c r="I772" s="7">
        <f>IFERROR(__xludf.DUMMYFUNCTION("vlookup(C772,importrange(""1kw74ismGU34AsZ5x-W4x7F3Zt2xc8NSYcCVMrCJBmdQ"",""DRP for 8 products!B:E""),4,0)"),10.0)</f>
        <v>10</v>
      </c>
      <c r="J772" s="8" t="str">
        <f t="shared" si="1"/>
        <v>Tier 4</v>
      </c>
      <c r="K772" s="9" t="str">
        <f t="shared" si="2"/>
        <v>Active</v>
      </c>
      <c r="L772" s="4" t="str">
        <f>IFERROR(__xludf.DUMMYFUNCTION("vlookup(C772,importrange(""1kw74ismGU34AsZ5x-W4x7F3Zt2xc8NSYcCVMrCJBmdQ"",""DRP for 8 products!B:H""),6,0)"),"BigQuery")</f>
        <v>BigQuery</v>
      </c>
      <c r="M772" s="10" t="str">
        <f t="shared" si="3"/>
        <v>Yes</v>
      </c>
    </row>
    <row r="773">
      <c r="A773" s="4" t="str">
        <f>IFERROR(__xludf.DUMMYFUNCTION("vlookup(C773,IMPORTRANGE(""1Kgoo8qyo6zMtf_5B03ksZz228jg0XpZ4_KXsdHQ4Vks"",""14 Sept!A:B""),2,0)"),"DME2307")</f>
        <v>DME2307</v>
      </c>
      <c r="B773" s="5" t="str">
        <f>IFERROR(__xludf.DUMMYFUNCTION("""COMPUTED_VALUE"""),"lokeswara rao kamavarapu")</f>
        <v>lokeswara rao kamavarapu</v>
      </c>
      <c r="C773" s="5" t="str">
        <f>IFERROR(__xludf.DUMMYFUNCTION("""COMPUTED_VALUE"""),"lokeswara.k@onixnet.com")</f>
        <v>lokeswara.k@onixnet.com</v>
      </c>
      <c r="D773" s="4" t="s">
        <v>11</v>
      </c>
      <c r="E773" s="6" t="str">
        <f>IFERROR(__xludf.DUMMYFUNCTION("vlookup($A773,importrange(""1fyGnaViAX9kns28pvsfPvI9925sAI7kxPlM7jpuHVJM"",""Validation!A:Z""),11,0)"),"Delivery Services")</f>
        <v>Delivery Services</v>
      </c>
      <c r="F773" s="6" t="str">
        <f>IFERROR(__xludf.DUMMYFUNCTION("vlookup($A773,importrange(""1fyGnaViAX9kns28pvsfPvI9925sAI7kxPlM7jpuHVJM"",""Validation!A:Z""),23,0)"),"Deshabhotla Sravan")</f>
        <v>Deshabhotla Sravan</v>
      </c>
      <c r="G773" s="6" t="str">
        <f>IFERROR(__xludf.DUMMYFUNCTION("vlookup(A773,importrange(""1fyGnaViAX9kns28pvsfPvI9925sAI7kxPlM7jpuHVJM"",""Validation!A:Z""),22,0)"),"Cluster - Shreepad")</f>
        <v>Cluster - Shreepad</v>
      </c>
      <c r="H773" s="4" t="str">
        <f>IFERROR(__xludf.DUMMYFUNCTION("vlookup(C773,importrange(""1kw74ismGU34AsZ5x-W4x7F3Zt2xc8NSYcCVMrCJBmdQ"",""DRP for 8 products!B:C""),2,0)"),"ONILKMMZ3")</f>
        <v>ONILKMMZ3</v>
      </c>
      <c r="I773" s="7">
        <f>IFERROR(__xludf.DUMMYFUNCTION("vlookup(C773,importrange(""1kw74ismGU34AsZ5x-W4x7F3Zt2xc8NSYcCVMrCJBmdQ"",""DRP for 8 products!B:E""),4,0)"),55.0)</f>
        <v>55</v>
      </c>
      <c r="J773" s="8" t="str">
        <f t="shared" si="1"/>
        <v>Tier 1</v>
      </c>
      <c r="K773" s="9" t="str">
        <f t="shared" si="2"/>
        <v>Active</v>
      </c>
      <c r="L773" s="4" t="str">
        <f>IFERROR(__xludf.DUMMYFUNCTION("vlookup(C773,importrange(""1kw74ismGU34AsZ5x-W4x7F3Zt2xc8NSYcCVMrCJBmdQ"",""DRP for 8 products!B:H""),6,0)"),"BigQuery")</f>
        <v>BigQuery</v>
      </c>
      <c r="M773" s="10" t="str">
        <f t="shared" si="3"/>
        <v>Yes</v>
      </c>
    </row>
    <row r="774">
      <c r="A774" s="4" t="str">
        <f>IFERROR(__xludf.DUMMYFUNCTION("vlookup(C774,IMPORTRANGE(""1Kgoo8qyo6zMtf_5B03ksZz228jg0XpZ4_KXsdHQ4Vks"",""14 Sept!A:B""),2,0)"),"DME2974")</f>
        <v>DME2974</v>
      </c>
      <c r="B774" s="5" t="str">
        <f>IFERROR(__xludf.DUMMYFUNCTION("""COMPUTED_VALUE"""),"Rohan Hardade")</f>
        <v>Rohan Hardade</v>
      </c>
      <c r="C774" s="5" t="str">
        <f>IFERROR(__xludf.DUMMYFUNCTION("""COMPUTED_VALUE"""),"rohan.hardade@onixnet.com")</f>
        <v>rohan.hardade@onixnet.com</v>
      </c>
      <c r="D774" s="4" t="s">
        <v>11</v>
      </c>
      <c r="E774" s="6" t="str">
        <f>IFERROR(__xludf.DUMMYFUNCTION("vlookup($A774,importrange(""1fyGnaViAX9kns28pvsfPvI9925sAI7kxPlM7jpuHVJM"",""Validation!A:Z""),11,0)"),"Delivery Services")</f>
        <v>Delivery Services</v>
      </c>
      <c r="F774" s="6" t="str">
        <f>IFERROR(__xludf.DUMMYFUNCTION("vlookup($A774,importrange(""1fyGnaViAX9kns28pvsfPvI9925sAI7kxPlM7jpuHVJM"",""Validation!A:Z""),23,0)"),"Priyanka Jain")</f>
        <v>Priyanka Jain</v>
      </c>
      <c r="G774" s="6" t="str">
        <f>IFERROR(__xludf.DUMMYFUNCTION("vlookup(A774,importrange(""1fyGnaViAX9kns28pvsfPvI9925sAI7kxPlM7jpuHVJM"",""Validation!A:Z""),22,0)"),"Cluster - Sagar")</f>
        <v>Cluster - Sagar</v>
      </c>
      <c r="H774" s="4" t="str">
        <f>IFERROR(__xludf.DUMMYFUNCTION("vlookup(C774,importrange(""1kw74ismGU34AsZ5x-W4x7F3Zt2xc8NSYcCVMrCJBmdQ"",""DRP for 8 products!B:C""),2,0)"),"ONIRHZSJ8")</f>
        <v>ONIRHZSJ8</v>
      </c>
      <c r="I774" s="7">
        <f>IFERROR(__xludf.DUMMYFUNCTION("vlookup(C774,importrange(""1kw74ismGU34AsZ5x-W4x7F3Zt2xc8NSYcCVMrCJBmdQ"",""DRP for 8 products!B:E""),4,0)"),10.0)</f>
        <v>10</v>
      </c>
      <c r="J774" s="8" t="str">
        <f t="shared" si="1"/>
        <v>Tier 4</v>
      </c>
      <c r="K774" s="9" t="str">
        <f t="shared" si="2"/>
        <v>Active</v>
      </c>
      <c r="L774" s="4" t="str">
        <f>IFERROR(__xludf.DUMMYFUNCTION("vlookup(C774,importrange(""1kw74ismGU34AsZ5x-W4x7F3Zt2xc8NSYcCVMrCJBmdQ"",""DRP for 8 products!B:H""),6,0)"),"Cloud SQL")</f>
        <v>Cloud SQL</v>
      </c>
      <c r="M774" s="10" t="str">
        <f t="shared" si="3"/>
        <v>Yes</v>
      </c>
    </row>
    <row r="775">
      <c r="A775" s="4" t="str">
        <f>IFERROR(__xludf.DUMMYFUNCTION("vlookup(C775,IMPORTRANGE(""1Kgoo8qyo6zMtf_5B03ksZz228jg0XpZ4_KXsdHQ4Vks"",""14 Sept!A:B""),2,0)"),"DME2466")</f>
        <v>DME2466</v>
      </c>
      <c r="B775" s="5" t="str">
        <f>IFERROR(__xludf.DUMMYFUNCTION("""COMPUTED_VALUE"""),"Jahnavi Saparam")</f>
        <v>Jahnavi Saparam</v>
      </c>
      <c r="C775" s="5" t="str">
        <f>IFERROR(__xludf.DUMMYFUNCTION("""COMPUTED_VALUE"""),"jahnavi.saparam@onixnet.com")</f>
        <v>jahnavi.saparam@onixnet.com</v>
      </c>
      <c r="D775" s="4" t="s">
        <v>11</v>
      </c>
      <c r="E775" s="6" t="str">
        <f>IFERROR(__xludf.DUMMYFUNCTION("vlookup($A775,importrange(""1fyGnaViAX9kns28pvsfPvI9925sAI7kxPlM7jpuHVJM"",""Validation!A:Z""),11,0)"),"Delivery Services")</f>
        <v>Delivery Services</v>
      </c>
      <c r="F775" s="6" t="str">
        <f>IFERROR(__xludf.DUMMYFUNCTION("vlookup($A775,importrange(""1fyGnaViAX9kns28pvsfPvI9925sAI7kxPlM7jpuHVJM"",""Validation!A:Z""),23,0)"),"Kishore Kotagiri")</f>
        <v>Kishore Kotagiri</v>
      </c>
      <c r="G775" s="6" t="str">
        <f>IFERROR(__xludf.DUMMYFUNCTION("vlookup(A775,importrange(""1fyGnaViAX9kns28pvsfPvI9925sAI7kxPlM7jpuHVJM"",""Validation!A:Z""),22,0)"),"Cluster - Kanhaiya")</f>
        <v>Cluster - Kanhaiya</v>
      </c>
      <c r="H775" s="4" t="str">
        <f>IFERROR(__xludf.DUMMYFUNCTION("vlookup(C775,importrange(""1kw74ismGU34AsZ5x-W4x7F3Zt2xc8NSYcCVMrCJBmdQ"",""DRP for 8 products!B:C""),2,0)"),"ONIJSJWT4")</f>
        <v>ONIJSJWT4</v>
      </c>
      <c r="I775" s="7">
        <f>IFERROR(__xludf.DUMMYFUNCTION("vlookup(C775,importrange(""1kw74ismGU34AsZ5x-W4x7F3Zt2xc8NSYcCVMrCJBmdQ"",""DRP for 8 products!B:E""),4,0)"),14.0)</f>
        <v>14</v>
      </c>
      <c r="J775" s="8" t="str">
        <f t="shared" si="1"/>
        <v>Tier 4</v>
      </c>
      <c r="K775" s="9" t="str">
        <f t="shared" si="2"/>
        <v>Active</v>
      </c>
      <c r="L775" s="4" t="str">
        <f>IFERROR(__xludf.DUMMYFUNCTION("vlookup(C775,importrange(""1kw74ismGU34AsZ5x-W4x7F3Zt2xc8NSYcCVMrCJBmdQ"",""DRP for 8 products!B:H""),6,0)"),"BigQuery")</f>
        <v>BigQuery</v>
      </c>
      <c r="M775" s="10" t="str">
        <f t="shared" si="3"/>
        <v>Yes</v>
      </c>
    </row>
    <row r="776">
      <c r="A776" s="4" t="str">
        <f>IFERROR(__xludf.DUMMYFUNCTION("vlookup(C776,IMPORTRANGE(""1Kgoo8qyo6zMtf_5B03ksZz228jg0XpZ4_KXsdHQ4Vks"",""14 Sept!A:B""),2,0)"),"DME3178")</f>
        <v>DME3178</v>
      </c>
      <c r="B776" s="5" t="str">
        <f>IFERROR(__xludf.DUMMYFUNCTION("""COMPUTED_VALUE"""),"Nishant Srivastav")</f>
        <v>Nishant Srivastav</v>
      </c>
      <c r="C776" s="5" t="str">
        <f>IFERROR(__xludf.DUMMYFUNCTION("""COMPUTED_VALUE"""),"nishant.srivastav@onixnet.com")</f>
        <v>nishant.srivastav@onixnet.com</v>
      </c>
      <c r="D776" s="4" t="s">
        <v>11</v>
      </c>
      <c r="E776" s="6" t="str">
        <f>IFERROR(__xludf.DUMMYFUNCTION("vlookup($A776,importrange(""1fyGnaViAX9kns28pvsfPvI9925sAI7kxPlM7jpuHVJM"",""Validation!A:Z""),11,0)"),"Delivery Services")</f>
        <v>Delivery Services</v>
      </c>
      <c r="F776" s="6" t="str">
        <f>IFERROR(__xludf.DUMMYFUNCTION("vlookup($A776,importrange(""1fyGnaViAX9kns28pvsfPvI9925sAI7kxPlM7jpuHVJM"",""Validation!A:Z""),23,0)"),"Sheela Sawant")</f>
        <v>Sheela Sawant</v>
      </c>
      <c r="G776" s="6" t="str">
        <f>IFERROR(__xludf.DUMMYFUNCTION("vlookup(A776,importrange(""1fyGnaViAX9kns28pvsfPvI9925sAI7kxPlM7jpuHVJM"",""Validation!A:Z""),22,0)"),"Cluster - Sandeep")</f>
        <v>Cluster - Sandeep</v>
      </c>
      <c r="H776" s="4" t="str">
        <f>IFERROR(__xludf.DUMMYFUNCTION("vlookup(C776,importrange(""1kw74ismGU34AsZ5x-W4x7F3Zt2xc8NSYcCVMrCJBmdQ"",""DRP for 8 products!B:C""),2,0)"),"ONINSPIV2")</f>
        <v>ONINSPIV2</v>
      </c>
      <c r="I776" s="7">
        <f>IFERROR(__xludf.DUMMYFUNCTION("vlookup(C776,importrange(""1kw74ismGU34AsZ5x-W4x7F3Zt2xc8NSYcCVMrCJBmdQ"",""DRP for 8 products!B:E""),4,0)"),15.0)</f>
        <v>15</v>
      </c>
      <c r="J776" s="8" t="str">
        <f t="shared" si="1"/>
        <v>Tier 4</v>
      </c>
      <c r="K776" s="9" t="str">
        <f t="shared" si="2"/>
        <v>Active</v>
      </c>
      <c r="L776" s="4" t="str">
        <f>IFERROR(__xludf.DUMMYFUNCTION("vlookup(C776,importrange(""1kw74ismGU34AsZ5x-W4x7F3Zt2xc8NSYcCVMrCJBmdQ"",""DRP for 8 products!B:H""),6,0)"),"BigQuery")</f>
        <v>BigQuery</v>
      </c>
      <c r="M776" s="10" t="str">
        <f t="shared" si="3"/>
        <v>Yes</v>
      </c>
    </row>
    <row r="777">
      <c r="A777" s="4" t="str">
        <f>IFERROR(__xludf.DUMMYFUNCTION("vlookup(C777,IMPORTRANGE(""1Kgoo8qyo6zMtf_5B03ksZz228jg0XpZ4_KXsdHQ4Vks"",""14 Sept!A:B""),2,0)"),"DME3146")</f>
        <v>DME3146</v>
      </c>
      <c r="B777" s="5" t="str">
        <f>IFERROR(__xludf.DUMMYFUNCTION("""COMPUTED_VALUE"""),"Dattatray Patil")</f>
        <v>Dattatray Patil</v>
      </c>
      <c r="C777" s="5" t="str">
        <f>IFERROR(__xludf.DUMMYFUNCTION("""COMPUTED_VALUE"""),"dattatray.patil@onixnet.com")</f>
        <v>dattatray.patil@onixnet.com</v>
      </c>
      <c r="D777" s="4" t="s">
        <v>11</v>
      </c>
      <c r="E777" s="6" t="str">
        <f>IFERROR(__xludf.DUMMYFUNCTION("vlookup($A777,importrange(""1fyGnaViAX9kns28pvsfPvI9925sAI7kxPlM7jpuHVJM"",""Validation!A:Z""),11,0)"),"Delivery Services")</f>
        <v>Delivery Services</v>
      </c>
      <c r="F777" s="6" t="str">
        <f>IFERROR(__xludf.DUMMYFUNCTION("vlookup($A777,importrange(""1fyGnaViAX9kns28pvsfPvI9925sAI7kxPlM7jpuHVJM"",""Validation!A:Z""),23,0)"),"Manoj Patil")</f>
        <v>Manoj Patil</v>
      </c>
      <c r="G777" s="6" t="str">
        <f>IFERROR(__xludf.DUMMYFUNCTION("vlookup(A777,importrange(""1fyGnaViAX9kns28pvsfPvI9925sAI7kxPlM7jpuHVJM"",""Validation!A:Z""),22,0)"),"Cluster - Shreepad")</f>
        <v>Cluster - Shreepad</v>
      </c>
      <c r="H777" s="4" t="str">
        <f>IFERROR(__xludf.DUMMYFUNCTION("vlookup(C777,importrange(""1kw74ismGU34AsZ5x-W4x7F3Zt2xc8NSYcCVMrCJBmdQ"",""DRP for 8 products!B:C""),2,0)"),"ONIDPTLB1")</f>
        <v>ONIDPTLB1</v>
      </c>
      <c r="I777" s="7">
        <f>IFERROR(__xludf.DUMMYFUNCTION("vlookup(C777,importrange(""1kw74ismGU34AsZ5x-W4x7F3Zt2xc8NSYcCVMrCJBmdQ"",""DRP for 8 products!B:E""),4,0)"),7.0)</f>
        <v>7</v>
      </c>
      <c r="J777" s="8" t="str">
        <f t="shared" si="1"/>
        <v>Tier 4</v>
      </c>
      <c r="K777" s="9" t="str">
        <f t="shared" si="2"/>
        <v>Active</v>
      </c>
      <c r="L777" s="4" t="str">
        <f>IFERROR(__xludf.DUMMYFUNCTION("vlookup(C777,importrange(""1kw74ismGU34AsZ5x-W4x7F3Zt2xc8NSYcCVMrCJBmdQ"",""DRP for 8 products!B:H""),6,0)"),"BigQuery")</f>
        <v>BigQuery</v>
      </c>
      <c r="M777" s="10" t="str">
        <f t="shared" si="3"/>
        <v>Yes</v>
      </c>
    </row>
    <row r="778">
      <c r="A778" s="4" t="str">
        <f>IFERROR(__xludf.DUMMYFUNCTION("vlookup(C778,IMPORTRANGE(""1Kgoo8qyo6zMtf_5B03ksZz228jg0XpZ4_KXsdHQ4Vks"",""14 Sept!A:B""),2,0)"),"DME3020")</f>
        <v>DME3020</v>
      </c>
      <c r="B778" s="5" t="str">
        <f>IFERROR(__xludf.DUMMYFUNCTION("""COMPUTED_VALUE"""),"Veera Venkata Mahesh Kristaparapu")</f>
        <v>Veera Venkata Mahesh Kristaparapu</v>
      </c>
      <c r="C778" s="5" t="str">
        <f>IFERROR(__xludf.DUMMYFUNCTION("""COMPUTED_VALUE"""),"mahesh.kristaparapu@onixnet.com")</f>
        <v>mahesh.kristaparapu@onixnet.com</v>
      </c>
      <c r="D778" s="4" t="s">
        <v>11</v>
      </c>
      <c r="E778" s="6" t="str">
        <f>IFERROR(__xludf.DUMMYFUNCTION("vlookup($A778,importrange(""1fyGnaViAX9kns28pvsfPvI9925sAI7kxPlM7jpuHVJM"",""Validation!A:Z""),11,0)"),"Delivery Services")</f>
        <v>Delivery Services</v>
      </c>
      <c r="F778" s="6" t="str">
        <f>IFERROR(__xludf.DUMMYFUNCTION("vlookup($A778,importrange(""1fyGnaViAX9kns28pvsfPvI9925sAI7kxPlM7jpuHVJM"",""Validation!A:Z""),23,0)"),"Sheela Sawant")</f>
        <v>Sheela Sawant</v>
      </c>
      <c r="G778" s="6" t="str">
        <f>IFERROR(__xludf.DUMMYFUNCTION("vlookup(A778,importrange(""1fyGnaViAX9kns28pvsfPvI9925sAI7kxPlM7jpuHVJM"",""Validation!A:Z""),22,0)"),"Cluster - Shreepad")</f>
        <v>Cluster - Shreepad</v>
      </c>
      <c r="H778" s="4" t="str">
        <f>IFERROR(__xludf.DUMMYFUNCTION("vlookup(C778,importrange(""1kw74ismGU34AsZ5x-W4x7F3Zt2xc8NSYcCVMrCJBmdQ"",""DRP for 8 products!B:C""),2,0)"),"ONIVKBGC7")</f>
        <v>ONIVKBGC7</v>
      </c>
      <c r="I778" s="7">
        <f>IFERROR(__xludf.DUMMYFUNCTION("vlookup(C778,importrange(""1kw74ismGU34AsZ5x-W4x7F3Zt2xc8NSYcCVMrCJBmdQ"",""DRP for 8 products!B:E""),4,0)"),18.0)</f>
        <v>18</v>
      </c>
      <c r="J778" s="8" t="str">
        <f t="shared" si="1"/>
        <v>Tier 4</v>
      </c>
      <c r="K778" s="9" t="str">
        <f t="shared" si="2"/>
        <v>Active</v>
      </c>
      <c r="L778" s="4" t="str">
        <f>IFERROR(__xludf.DUMMYFUNCTION("vlookup(C778,importrange(""1kw74ismGU34AsZ5x-W4x7F3Zt2xc8NSYcCVMrCJBmdQ"",""DRP for 8 products!B:H""),6,0)"),"BigQuery")</f>
        <v>BigQuery</v>
      </c>
      <c r="M778" s="10" t="str">
        <f t="shared" si="3"/>
        <v>Yes</v>
      </c>
    </row>
    <row r="779">
      <c r="A779" s="4" t="str">
        <f>IFERROR(__xludf.DUMMYFUNCTION("vlookup(C779,IMPORTRANGE(""1Kgoo8qyo6zMtf_5B03ksZz228jg0XpZ4_KXsdHQ4Vks"",""14 Sept!A:B""),2,0)"),"DME3067")</f>
        <v>DME3067</v>
      </c>
      <c r="B779" s="5" t="str">
        <f>IFERROR(__xludf.DUMMYFUNCTION("""COMPUTED_VALUE"""),"sravani chedurupaku")</f>
        <v>sravani chedurupaku</v>
      </c>
      <c r="C779" s="5" t="str">
        <f>IFERROR(__xludf.DUMMYFUNCTION("""COMPUTED_VALUE"""),"sravani.chedurupaku@onixnet.com")</f>
        <v>sravani.chedurupaku@onixnet.com</v>
      </c>
      <c r="D779" s="4" t="s">
        <v>11</v>
      </c>
      <c r="E779" s="6" t="str">
        <f>IFERROR(__xludf.DUMMYFUNCTION("vlookup($A779,importrange(""1fyGnaViAX9kns28pvsfPvI9925sAI7kxPlM7jpuHVJM"",""Validation!A:Z""),11,0)"),"Delivery Services")</f>
        <v>Delivery Services</v>
      </c>
      <c r="F779" s="6" t="str">
        <f>IFERROR(__xludf.DUMMYFUNCTION("vlookup($A779,importrange(""1fyGnaViAX9kns28pvsfPvI9925sAI7kxPlM7jpuHVJM"",""Validation!A:Z""),23,0)"),"Vijender Bhardwaj")</f>
        <v>Vijender Bhardwaj</v>
      </c>
      <c r="G779" s="6" t="str">
        <f>IFERROR(__xludf.DUMMYFUNCTION("vlookup(A779,importrange(""1fyGnaViAX9kns28pvsfPvI9925sAI7kxPlM7jpuHVJM"",""Validation!A:Z""),22,0)"),"Cluster - Varun")</f>
        <v>Cluster - Varun</v>
      </c>
      <c r="H779" s="4" t="str">
        <f>IFERROR(__xludf.DUMMYFUNCTION("vlookup(C779,importrange(""1kw74ismGU34AsZ5x-W4x7F3Zt2xc8NSYcCVMrCJBmdQ"",""DRP for 8 products!B:C""),2,0)"),"ONISCYXI1")</f>
        <v>ONISCYXI1</v>
      </c>
      <c r="I779" s="7">
        <f>IFERROR(__xludf.DUMMYFUNCTION("vlookup(C779,importrange(""1kw74ismGU34AsZ5x-W4x7F3Zt2xc8NSYcCVMrCJBmdQ"",""DRP for 8 products!B:E""),4,0)"),9.0)</f>
        <v>9</v>
      </c>
      <c r="J779" s="8" t="str">
        <f t="shared" si="1"/>
        <v>Tier 4</v>
      </c>
      <c r="K779" s="9" t="str">
        <f t="shared" si="2"/>
        <v>Active</v>
      </c>
      <c r="L779" s="4" t="str">
        <f>IFERROR(__xludf.DUMMYFUNCTION("vlookup(C779,importrange(""1kw74ismGU34AsZ5x-W4x7F3Zt2xc8NSYcCVMrCJBmdQ"",""DRP for 8 products!B:H""),6,0)"),"AlloyDB for PostgreSQL")</f>
        <v>AlloyDB for PostgreSQL</v>
      </c>
      <c r="M779" s="10" t="str">
        <f t="shared" si="3"/>
        <v>Yes</v>
      </c>
    </row>
    <row r="780">
      <c r="A780" s="4" t="str">
        <f>IFERROR(__xludf.DUMMYFUNCTION("vlookup(C780,IMPORTRANGE(""1Kgoo8qyo6zMtf_5B03ksZz228jg0XpZ4_KXsdHQ4Vks"",""14 Sept!A:B""),2,0)"),"DMC1222")</f>
        <v>DMC1222</v>
      </c>
      <c r="B780" s="5" t="str">
        <f>IFERROR(__xludf.DUMMYFUNCTION("""COMPUTED_VALUE"""),"Abhishek Awalgave")</f>
        <v>Abhishek Awalgave</v>
      </c>
      <c r="C780" s="5" t="str">
        <f>IFERROR(__xludf.DUMMYFUNCTION("""COMPUTED_VALUE"""),"abhishek.awalgave@onixnet.us")</f>
        <v>abhishek.awalgave@onixnet.us</v>
      </c>
      <c r="D780" s="4" t="s">
        <v>11</v>
      </c>
      <c r="E780" s="6" t="str">
        <f>IFERROR(__xludf.DUMMYFUNCTION("vlookup($A780,importrange(""1fyGnaViAX9kns28pvsfPvI9925sAI7kxPlM7jpuHVJM"",""Validation!A:Z""),11,0)"),"Corporate Operations")</f>
        <v>Corporate Operations</v>
      </c>
      <c r="F780" s="6" t="str">
        <f>IFERROR(__xludf.DUMMYFUNCTION("vlookup($A780,importrange(""1fyGnaViAX9kns28pvsfPvI9925sAI7kxPlM7jpuHVJM"",""Validation!A:Z""),23,0)"),"Nikhil Ashok Shelke")</f>
        <v>Nikhil Ashok Shelke</v>
      </c>
      <c r="G780" s="6" t="str">
        <f>IFERROR(__xludf.DUMMYFUNCTION("vlookup(A780,importrange(""1fyGnaViAX9kns28pvsfPvI9925sAI7kxPlM7jpuHVJM"",""Validation!A:Z""),22,0)"),"Cluster - Anil")</f>
        <v>Cluster - Anil</v>
      </c>
      <c r="H780" s="4" t="str">
        <f>IFERROR(__xludf.DUMMYFUNCTION("vlookup(C780,importrange(""1kw74ismGU34AsZ5x-W4x7F3Zt2xc8NSYcCVMrCJBmdQ"",""DRP for 8 products!B:C""),2,0)"),"ONIAADPB6")</f>
        <v>ONIAADPB6</v>
      </c>
      <c r="I780" s="7">
        <f>IFERROR(__xludf.DUMMYFUNCTION("vlookup(C780,importrange(""1kw74ismGU34AsZ5x-W4x7F3Zt2xc8NSYcCVMrCJBmdQ"",""DRP for 8 products!B:E""),4,0)"),20.0)</f>
        <v>20</v>
      </c>
      <c r="J780" s="8" t="str">
        <f t="shared" si="1"/>
        <v>Tier 3</v>
      </c>
      <c r="K780" s="9" t="str">
        <f t="shared" si="2"/>
        <v>Active</v>
      </c>
      <c r="L780" s="4" t="str">
        <f>IFERROR(__xludf.DUMMYFUNCTION("vlookup(C780,importrange(""1kw74ismGU34AsZ5x-W4x7F3Zt2xc8NSYcCVMrCJBmdQ"",""DRP for 8 products!B:H""),6,0)"),"BigQuery")</f>
        <v>BigQuery</v>
      </c>
      <c r="M780" s="10" t="str">
        <f t="shared" si="3"/>
        <v>Yes</v>
      </c>
    </row>
    <row r="781">
      <c r="A781" s="4" t="str">
        <f>IFERROR(__xludf.DUMMYFUNCTION("vlookup(C781,IMPORTRANGE(""1Kgoo8qyo6zMtf_5B03ksZz228jg0XpZ4_KXsdHQ4Vks"",""14 Sept!A:B""),2,0)"),"DMC1221")</f>
        <v>DMC1221</v>
      </c>
      <c r="B781" s="5" t="str">
        <f>IFERROR(__xludf.DUMMYFUNCTION("""COMPUTED_VALUE"""),"Dev Sali")</f>
        <v>Dev Sali</v>
      </c>
      <c r="C781" s="5" t="str">
        <f>IFERROR(__xludf.DUMMYFUNCTION("""COMPUTED_VALUE"""),"dev.sali@onixnet.us")</f>
        <v>dev.sali@onixnet.us</v>
      </c>
      <c r="D781" s="4" t="s">
        <v>11</v>
      </c>
      <c r="E781" s="6" t="str">
        <f>IFERROR(__xludf.DUMMYFUNCTION("vlookup($A781,importrange(""1fyGnaViAX9kns28pvsfPvI9925sAI7kxPlM7jpuHVJM"",""Validation!A:Z""),11,0)"),"Corporate Operations")</f>
        <v>Corporate Operations</v>
      </c>
      <c r="F781" s="6" t="str">
        <f>IFERROR(__xludf.DUMMYFUNCTION("vlookup($A781,importrange(""1fyGnaViAX9kns28pvsfPvI9925sAI7kxPlM7jpuHVJM"",""Validation!A:Z""),23,0)"),"Nikhil Ashok Shelke")</f>
        <v>Nikhil Ashok Shelke</v>
      </c>
      <c r="G781" s="6" t="str">
        <f>IFERROR(__xludf.DUMMYFUNCTION("vlookup(A781,importrange(""1fyGnaViAX9kns28pvsfPvI9925sAI7kxPlM7jpuHVJM"",""Validation!A:Z""),22,0)"),"Cluster - Bishakha")</f>
        <v>Cluster - Bishakha</v>
      </c>
      <c r="H781" s="4" t="str">
        <f>IFERROR(__xludf.DUMMYFUNCTION("vlookup(C781,importrange(""1kw74ismGU34AsZ5x-W4x7F3Zt2xc8NSYcCVMrCJBmdQ"",""DRP for 8 products!B:C""),2,0)"),"ONIDSCPW4")</f>
        <v>ONIDSCPW4</v>
      </c>
      <c r="I781" s="7">
        <f>IFERROR(__xludf.DUMMYFUNCTION("vlookup(C781,importrange(""1kw74ismGU34AsZ5x-W4x7F3Zt2xc8NSYcCVMrCJBmdQ"",""DRP for 8 products!B:E""),4,0)"),36.0)</f>
        <v>36</v>
      </c>
      <c r="J781" s="8" t="str">
        <f t="shared" si="1"/>
        <v>Tier 2</v>
      </c>
      <c r="K781" s="9" t="str">
        <f t="shared" si="2"/>
        <v>Active</v>
      </c>
      <c r="L781" s="4" t="str">
        <f>IFERROR(__xludf.DUMMYFUNCTION("vlookup(C781,importrange(""1kw74ismGU34AsZ5x-W4x7F3Zt2xc8NSYcCVMrCJBmdQ"",""DRP for 8 products!B:H""),6,0)"),"BigQuery")</f>
        <v>BigQuery</v>
      </c>
      <c r="M781" s="10" t="str">
        <f t="shared" si="3"/>
        <v>Yes</v>
      </c>
    </row>
    <row r="782">
      <c r="A782" s="4" t="str">
        <f>IFERROR(__xludf.DUMMYFUNCTION("vlookup(C782,IMPORTRANGE(""1Kgoo8qyo6zMtf_5B03ksZz228jg0XpZ4_KXsdHQ4Vks"",""14 Sept!A:B""),2,0)"),"DME2499")</f>
        <v>DME2499</v>
      </c>
      <c r="B782" s="5" t="str">
        <f>IFERROR(__xludf.DUMMYFUNCTION("""COMPUTED_VALUE"""),"Imran Ashraf")</f>
        <v>Imran Ashraf</v>
      </c>
      <c r="C782" s="5" t="str">
        <f>IFERROR(__xludf.DUMMYFUNCTION("""COMPUTED_VALUE"""),"imran.ashraf@onixnet.com")</f>
        <v>imran.ashraf@onixnet.com</v>
      </c>
      <c r="D782" s="4" t="s">
        <v>11</v>
      </c>
      <c r="E782" s="6" t="str">
        <f>IFERROR(__xludf.DUMMYFUNCTION("vlookup($A782,importrange(""1fyGnaViAX9kns28pvsfPvI9925sAI7kxPlM7jpuHVJM"",""Validation!A:Z""),11,0)"),"Delivery Services")</f>
        <v>Delivery Services</v>
      </c>
      <c r="F782" s="6" t="str">
        <f>IFERROR(__xludf.DUMMYFUNCTION("vlookup($A782,importrange(""1fyGnaViAX9kns28pvsfPvI9925sAI7kxPlM7jpuHVJM"",""Validation!A:Z""),23,0)"),"Prabhat Jain")</f>
        <v>Prabhat Jain</v>
      </c>
      <c r="G782" s="6" t="str">
        <f>IFERROR(__xludf.DUMMYFUNCTION("vlookup(A782,importrange(""1fyGnaViAX9kns28pvsfPvI9925sAI7kxPlM7jpuHVJM"",""Validation!A:Z""),22,0)"),"Cluster - Gaurav")</f>
        <v>Cluster - Gaurav</v>
      </c>
      <c r="H782" s="4" t="str">
        <f>IFERROR(__xludf.DUMMYFUNCTION("vlookup(C782,importrange(""1kw74ismGU34AsZ5x-W4x7F3Zt2xc8NSYcCVMrCJBmdQ"",""DRP for 8 products!B:C""),2,0)"),"ONIIACFR7")</f>
        <v>ONIIACFR7</v>
      </c>
      <c r="I782" s="7">
        <f>IFERROR(__xludf.DUMMYFUNCTION("vlookup(C782,importrange(""1kw74ismGU34AsZ5x-W4x7F3Zt2xc8NSYcCVMrCJBmdQ"",""DRP for 8 products!B:E""),4,0)"),17.0)</f>
        <v>17</v>
      </c>
      <c r="J782" s="8" t="str">
        <f t="shared" si="1"/>
        <v>Tier 4</v>
      </c>
      <c r="K782" s="9" t="str">
        <f t="shared" si="2"/>
        <v>Active</v>
      </c>
      <c r="L782" s="4" t="str">
        <f>IFERROR(__xludf.DUMMYFUNCTION("vlookup(C782,importrange(""1kw74ismGU34AsZ5x-W4x7F3Zt2xc8NSYcCVMrCJBmdQ"",""DRP for 8 products!B:H""),6,0)"),"BigQuery")</f>
        <v>BigQuery</v>
      </c>
      <c r="M782" s="10" t="str">
        <f t="shared" si="3"/>
        <v>Yes</v>
      </c>
    </row>
    <row r="783">
      <c r="A783" s="4" t="str">
        <f>IFERROR(__xludf.DUMMYFUNCTION("vlookup(C783,IMPORTRANGE(""1Kgoo8qyo6zMtf_5B03ksZz228jg0XpZ4_KXsdHQ4Vks"",""14 Sept!A:B""),2,0)"),"DME2841")</f>
        <v>DME2841</v>
      </c>
      <c r="B783" s="5" t="str">
        <f>IFERROR(__xludf.DUMMYFUNCTION("""COMPUTED_VALUE"""),"shrinath bothe")</f>
        <v>shrinath bothe</v>
      </c>
      <c r="C783" s="5" t="str">
        <f>IFERROR(__xludf.DUMMYFUNCTION("""COMPUTED_VALUE"""),"shrinath.bothe@onixnet.com")</f>
        <v>shrinath.bothe@onixnet.com</v>
      </c>
      <c r="D783" s="4" t="s">
        <v>11</v>
      </c>
      <c r="E783" s="6" t="str">
        <f>IFERROR(__xludf.DUMMYFUNCTION("vlookup($A783,importrange(""1fyGnaViAX9kns28pvsfPvI9925sAI7kxPlM7jpuHVJM"",""Validation!A:Z""),11,0)"),"Delivery Services")</f>
        <v>Delivery Services</v>
      </c>
      <c r="F783" s="6" t="str">
        <f>IFERROR(__xludf.DUMMYFUNCTION("vlookup($A783,importrange(""1fyGnaViAX9kns28pvsfPvI9925sAI7kxPlM7jpuHVJM"",""Validation!A:Z""),23,0)"),"Pratik Karpe")</f>
        <v>Pratik Karpe</v>
      </c>
      <c r="G783" s="6" t="str">
        <f>IFERROR(__xludf.DUMMYFUNCTION("vlookup(A783,importrange(""1fyGnaViAX9kns28pvsfPvI9925sAI7kxPlM7jpuHVJM"",""Validation!A:Z""),22,0)"),"Cluster - Gaurav")</f>
        <v>Cluster - Gaurav</v>
      </c>
      <c r="H783" s="4" t="str">
        <f>IFERROR(__xludf.DUMMYFUNCTION("vlookup(C783,importrange(""1kw74ismGU34AsZ5x-W4x7F3Zt2xc8NSYcCVMrCJBmdQ"",""DRP for 8 products!B:C""),2,0)"),"ONISBIIK9")</f>
        <v>ONISBIIK9</v>
      </c>
      <c r="I783" s="7">
        <f>IFERROR(__xludf.DUMMYFUNCTION("vlookup(C783,importrange(""1kw74ismGU34AsZ5x-W4x7F3Zt2xc8NSYcCVMrCJBmdQ"",""DRP for 8 products!B:E""),4,0)"),20.0)</f>
        <v>20</v>
      </c>
      <c r="J783" s="8" t="str">
        <f t="shared" si="1"/>
        <v>Tier 3</v>
      </c>
      <c r="K783" s="9" t="str">
        <f t="shared" si="2"/>
        <v>Active</v>
      </c>
      <c r="L783" s="4" t="str">
        <f>IFERROR(__xludf.DUMMYFUNCTION("vlookup(C783,importrange(""1kw74ismGU34AsZ5x-W4x7F3Zt2xc8NSYcCVMrCJBmdQ"",""DRP for 8 products!B:H""),6,0)"),"BigQuery")</f>
        <v>BigQuery</v>
      </c>
      <c r="M783" s="10" t="str">
        <f t="shared" si="3"/>
        <v>Yes</v>
      </c>
    </row>
    <row r="784">
      <c r="A784" s="4" t="str">
        <f>IFERROR(__xludf.DUMMYFUNCTION("vlookup(C784,IMPORTRANGE(""1Kgoo8qyo6zMtf_5B03ksZz228jg0XpZ4_KXsdHQ4Vks"",""14 Sept!A:B""),2,0)"),"DME2480")</f>
        <v>DME2480</v>
      </c>
      <c r="B784" s="5" t="str">
        <f>IFERROR(__xludf.DUMMYFUNCTION("""COMPUTED_VALUE"""),"Sameer Pathan")</f>
        <v>Sameer Pathan</v>
      </c>
      <c r="C784" s="5" t="str">
        <f>IFERROR(__xludf.DUMMYFUNCTION("""COMPUTED_VALUE"""),"sameer.pathan@onixnet.com")</f>
        <v>sameer.pathan@onixnet.com</v>
      </c>
      <c r="D784" s="4" t="s">
        <v>11</v>
      </c>
      <c r="E784" s="6" t="str">
        <f>IFERROR(__xludf.DUMMYFUNCTION("vlookup($A784,importrange(""1fyGnaViAX9kns28pvsfPvI9925sAI7kxPlM7jpuHVJM"",""Validation!A:Z""),11,0)"),"Delivery Services")</f>
        <v>Delivery Services</v>
      </c>
      <c r="F784" s="6" t="str">
        <f>IFERROR(__xludf.DUMMYFUNCTION("vlookup($A784,importrange(""1fyGnaViAX9kns28pvsfPvI9925sAI7kxPlM7jpuHVJM"",""Validation!A:Z""),23,0)"),"Gayatri Nachiket Bondale")</f>
        <v>Gayatri Nachiket Bondale</v>
      </c>
      <c r="G784" s="6" t="str">
        <f>IFERROR(__xludf.DUMMYFUNCTION("vlookup(A784,importrange(""1fyGnaViAX9kns28pvsfPvI9925sAI7kxPlM7jpuHVJM"",""Validation!A:Z""),22,0)"),"Cluster - Gaurav")</f>
        <v>Cluster - Gaurav</v>
      </c>
      <c r="H784" s="4" t="str">
        <f>IFERROR(__xludf.DUMMYFUNCTION("vlookup(C784,importrange(""1kw74ismGU34AsZ5x-W4x7F3Zt2xc8NSYcCVMrCJBmdQ"",""DRP for 8 products!B:C""),2,0)"),"ONISPKGC6")</f>
        <v>ONISPKGC6</v>
      </c>
      <c r="I784" s="7">
        <f>IFERROR(__xludf.DUMMYFUNCTION("vlookup(C784,importrange(""1kw74ismGU34AsZ5x-W4x7F3Zt2xc8NSYcCVMrCJBmdQ"",""DRP for 8 products!B:E""),4,0)"),8.0)</f>
        <v>8</v>
      </c>
      <c r="J784" s="8" t="str">
        <f t="shared" si="1"/>
        <v>Tier 4</v>
      </c>
      <c r="K784" s="9" t="str">
        <f t="shared" si="2"/>
        <v>Active</v>
      </c>
      <c r="L784" s="4" t="str">
        <f>IFERROR(__xludf.DUMMYFUNCTION("vlookup(C784,importrange(""1kw74ismGU34AsZ5x-W4x7F3Zt2xc8NSYcCVMrCJBmdQ"",""DRP for 8 products!B:H""),6,0)"),"BigQuery")</f>
        <v>BigQuery</v>
      </c>
      <c r="M784" s="10" t="str">
        <f t="shared" si="3"/>
        <v>Yes</v>
      </c>
    </row>
    <row r="785">
      <c r="A785" s="4" t="str">
        <f>IFERROR(__xludf.DUMMYFUNCTION("vlookup(C785,IMPORTRANGE(""1Kgoo8qyo6zMtf_5B03ksZz228jg0XpZ4_KXsdHQ4Vks"",""14 Sept!A:B""),2,0)"),"DME1512")</f>
        <v>DME1512</v>
      </c>
      <c r="B785" s="5" t="str">
        <f>IFERROR(__xludf.DUMMYFUNCTION("""COMPUTED_VALUE"""),"Rabindra Nayak")</f>
        <v>Rabindra Nayak</v>
      </c>
      <c r="C785" s="5" t="str">
        <f>IFERROR(__xludf.DUMMYFUNCTION("""COMPUTED_VALUE"""),"rabindra.nayak@onixnet.com")</f>
        <v>rabindra.nayak@onixnet.com</v>
      </c>
      <c r="D785" s="4" t="s">
        <v>11</v>
      </c>
      <c r="E785" s="6" t="str">
        <f>IFERROR(__xludf.DUMMYFUNCTION("vlookup($A785,importrange(""1fyGnaViAX9kns28pvsfPvI9925sAI7kxPlM7jpuHVJM"",""Validation!A:Z""),11,0)"),"Delivery Services")</f>
        <v>Delivery Services</v>
      </c>
      <c r="F785" s="6" t="str">
        <f>IFERROR(__xludf.DUMMYFUNCTION("vlookup($A785,importrange(""1fyGnaViAX9kns28pvsfPvI9925sAI7kxPlM7jpuHVJM"",""Validation!A:Z""),23,0)"),"Sunny Mathur")</f>
        <v>Sunny Mathur</v>
      </c>
      <c r="G785" s="6" t="str">
        <f>IFERROR(__xludf.DUMMYFUNCTION("vlookup(A785,importrange(""1fyGnaViAX9kns28pvsfPvI9925sAI7kxPlM7jpuHVJM"",""Validation!A:Z""),22,0)"),"Cluster - Sagar")</f>
        <v>Cluster - Sagar</v>
      </c>
      <c r="H785" s="4" t="str">
        <f>IFERROR(__xludf.DUMMYFUNCTION("vlookup(C785,importrange(""1kw74ismGU34AsZ5x-W4x7F3Zt2xc8NSYcCVMrCJBmdQ"",""DRP for 8 products!B:C""),2,0)"),"ONIRNCXO7")</f>
        <v>ONIRNCXO7</v>
      </c>
      <c r="I785" s="7">
        <f>IFERROR(__xludf.DUMMYFUNCTION("vlookup(C785,importrange(""1kw74ismGU34AsZ5x-W4x7F3Zt2xc8NSYcCVMrCJBmdQ"",""DRP for 8 products!B:E""),4,0)"),39.0)</f>
        <v>39</v>
      </c>
      <c r="J785" s="8" t="str">
        <f t="shared" si="1"/>
        <v>Tier 2</v>
      </c>
      <c r="K785" s="9" t="str">
        <f t="shared" si="2"/>
        <v>Active</v>
      </c>
      <c r="L785" s="4" t="str">
        <f>IFERROR(__xludf.DUMMYFUNCTION("vlookup(C785,importrange(""1kw74ismGU34AsZ5x-W4x7F3Zt2xc8NSYcCVMrCJBmdQ"",""DRP for 8 products!B:H""),6,0)"),"BigQuery")</f>
        <v>BigQuery</v>
      </c>
      <c r="M785" s="10" t="str">
        <f t="shared" si="3"/>
        <v>Yes</v>
      </c>
    </row>
    <row r="786">
      <c r="A786" s="4" t="str">
        <f>IFERROR(__xludf.DUMMYFUNCTION("vlookup(C786,IMPORTRANGE(""1Kgoo8qyo6zMtf_5B03ksZz228jg0XpZ4_KXsdHQ4Vks"",""14 Sept!A:B""),2,0)"),"DME2880")</f>
        <v>DME2880</v>
      </c>
      <c r="B786" s="5" t="str">
        <f>IFERROR(__xludf.DUMMYFUNCTION("""COMPUTED_VALUE"""),"Chidananda Parida")</f>
        <v>Chidananda Parida</v>
      </c>
      <c r="C786" s="5" t="str">
        <f>IFERROR(__xludf.DUMMYFUNCTION("""COMPUTED_VALUE"""),"chidananda.parida@onixnet.com")</f>
        <v>chidananda.parida@onixnet.com</v>
      </c>
      <c r="D786" s="4" t="s">
        <v>11</v>
      </c>
      <c r="E786" s="6" t="str">
        <f>IFERROR(__xludf.DUMMYFUNCTION("vlookup($A786,importrange(""1fyGnaViAX9kns28pvsfPvI9925sAI7kxPlM7jpuHVJM"",""Validation!A:Z""),11,0)"),"Delivery Services")</f>
        <v>Delivery Services</v>
      </c>
      <c r="F786" s="6" t="str">
        <f>IFERROR(__xludf.DUMMYFUNCTION("vlookup($A786,importrange(""1fyGnaViAX9kns28pvsfPvI9925sAI7kxPlM7jpuHVJM"",""Validation!A:Z""),23,0)"),"Venkatavivekananda Sala")</f>
        <v>Venkatavivekananda Sala</v>
      </c>
      <c r="G786" s="6" t="str">
        <f>IFERROR(__xludf.DUMMYFUNCTION("vlookup(A786,importrange(""1fyGnaViAX9kns28pvsfPvI9925sAI7kxPlM7jpuHVJM"",""Validation!A:Z""),22,0)"),"Cluster - Sachin")</f>
        <v>Cluster - Sachin</v>
      </c>
      <c r="H786" s="4" t="str">
        <f>IFERROR(__xludf.DUMMYFUNCTION("vlookup(C786,importrange(""1kw74ismGU34AsZ5x-W4x7F3Zt2xc8NSYcCVMrCJBmdQ"",""DRP for 8 products!B:C""),2,0)"),"ONICPXDR0")</f>
        <v>ONICPXDR0</v>
      </c>
      <c r="I786" s="7">
        <f>IFERROR(__xludf.DUMMYFUNCTION("vlookup(C786,importrange(""1kw74ismGU34AsZ5x-W4x7F3Zt2xc8NSYcCVMrCJBmdQ"",""DRP for 8 products!B:E""),4,0)"),16.0)</f>
        <v>16</v>
      </c>
      <c r="J786" s="8" t="str">
        <f t="shared" si="1"/>
        <v>Tier 4</v>
      </c>
      <c r="K786" s="9" t="str">
        <f t="shared" si="2"/>
        <v>Active</v>
      </c>
      <c r="L786" s="4" t="str">
        <f>IFERROR(__xludf.DUMMYFUNCTION("vlookup(C786,importrange(""1kw74ismGU34AsZ5x-W4x7F3Zt2xc8NSYcCVMrCJBmdQ"",""DRP for 8 products!B:H""),6,0)"),"BigQuery")</f>
        <v>BigQuery</v>
      </c>
      <c r="M786" s="10" t="str">
        <f t="shared" si="3"/>
        <v>Yes</v>
      </c>
    </row>
    <row r="787">
      <c r="A787" s="4" t="str">
        <f>IFERROR(__xludf.DUMMYFUNCTION("vlookup(C787,IMPORTRANGE(""1Kgoo8qyo6zMtf_5B03ksZz228jg0XpZ4_KXsdHQ4Vks"",""14 Sept!A:B""),2,0)"),"DME2872")</f>
        <v>DME2872</v>
      </c>
      <c r="B787" s="5" t="str">
        <f>IFERROR(__xludf.DUMMYFUNCTION("""COMPUTED_VALUE"""),"Priya Singla")</f>
        <v>Priya Singla</v>
      </c>
      <c r="C787" s="5" t="str">
        <f>IFERROR(__xludf.DUMMYFUNCTION("""COMPUTED_VALUE"""),"priya.singla@onixnet.com")</f>
        <v>priya.singla@onixnet.com</v>
      </c>
      <c r="D787" s="4" t="s">
        <v>11</v>
      </c>
      <c r="E787" s="6" t="str">
        <f>IFERROR(__xludf.DUMMYFUNCTION("vlookup($A787,importrange(""1fyGnaViAX9kns28pvsfPvI9925sAI7kxPlM7jpuHVJM"",""Validation!A:Z""),11,0)"),"Delivery Services")</f>
        <v>Delivery Services</v>
      </c>
      <c r="F787" s="6" t="str">
        <f>IFERROR(__xludf.DUMMYFUNCTION("vlookup($A787,importrange(""1fyGnaViAX9kns28pvsfPvI9925sAI7kxPlM7jpuHVJM"",""Validation!A:Z""),23,0)"),"Varun Katyal")</f>
        <v>Varun Katyal</v>
      </c>
      <c r="G787" s="6" t="str">
        <f>IFERROR(__xludf.DUMMYFUNCTION("vlookup(A787,importrange(""1fyGnaViAX9kns28pvsfPvI9925sAI7kxPlM7jpuHVJM"",""Validation!A:Z""),22,0)"),"Cluster - Varun")</f>
        <v>Cluster - Varun</v>
      </c>
      <c r="H787" s="4" t="str">
        <f>IFERROR(__xludf.DUMMYFUNCTION("vlookup(C787,importrange(""1kw74ismGU34AsZ5x-W4x7F3Zt2xc8NSYcCVMrCJBmdQ"",""DRP for 8 products!B:C""),2,0)"),"ONIPSCXF2")</f>
        <v>ONIPSCXF2</v>
      </c>
      <c r="I787" s="7">
        <f>IFERROR(__xludf.DUMMYFUNCTION("vlookup(C787,importrange(""1kw74ismGU34AsZ5x-W4x7F3Zt2xc8NSYcCVMrCJBmdQ"",""DRP for 8 products!B:E""),4,0)"),10.0)</f>
        <v>10</v>
      </c>
      <c r="J787" s="8" t="str">
        <f t="shared" si="1"/>
        <v>Tier 4</v>
      </c>
      <c r="K787" s="9" t="str">
        <f t="shared" si="2"/>
        <v>Active</v>
      </c>
      <c r="L787" s="4" t="str">
        <f>IFERROR(__xludf.DUMMYFUNCTION("vlookup(C787,importrange(""1kw74ismGU34AsZ5x-W4x7F3Zt2xc8NSYcCVMrCJBmdQ"",""DRP for 8 products!B:H""),6,0)"),"BigQuery")</f>
        <v>BigQuery</v>
      </c>
      <c r="M787" s="10" t="str">
        <f t="shared" si="3"/>
        <v>Yes</v>
      </c>
    </row>
    <row r="788">
      <c r="A788" s="4" t="str">
        <f>IFERROR(__xludf.DUMMYFUNCTION("vlookup(C788,IMPORTRANGE(""1Kgoo8qyo6zMtf_5B03ksZz228jg0XpZ4_KXsdHQ4Vks"",""14 Sept!A:B""),2,0)"),"DME2966")</f>
        <v>DME2966</v>
      </c>
      <c r="B788" s="5" t="str">
        <f>IFERROR(__xludf.DUMMYFUNCTION("""COMPUTED_VALUE"""),"Akash Sarulkar")</f>
        <v>Akash Sarulkar</v>
      </c>
      <c r="C788" s="5" t="str">
        <f>IFERROR(__xludf.DUMMYFUNCTION("""COMPUTED_VALUE"""),"akash.sarulkar@onixnet.com")</f>
        <v>akash.sarulkar@onixnet.com</v>
      </c>
      <c r="D788" s="4" t="s">
        <v>11</v>
      </c>
      <c r="E788" s="6" t="str">
        <f>IFERROR(__xludf.DUMMYFUNCTION("vlookup($A788,importrange(""1fyGnaViAX9kns28pvsfPvI9925sAI7kxPlM7jpuHVJM"",""Validation!A:Z""),11,0)"),"Delivery Services")</f>
        <v>Delivery Services</v>
      </c>
      <c r="F788" s="6" t="str">
        <f>IFERROR(__xludf.DUMMYFUNCTION("vlookup($A788,importrange(""1fyGnaViAX9kns28pvsfPvI9925sAI7kxPlM7jpuHVJM"",""Validation!A:Z""),23,0)"),"Bhagyashri Paralkar")</f>
        <v>Bhagyashri Paralkar</v>
      </c>
      <c r="G788" s="6" t="str">
        <f>IFERROR(__xludf.DUMMYFUNCTION("vlookup(A788,importrange(""1fyGnaViAX9kns28pvsfPvI9925sAI7kxPlM7jpuHVJM"",""Validation!A:Z""),22,0)"),"Cluster - Sagar")</f>
        <v>Cluster - Sagar</v>
      </c>
      <c r="H788" s="4" t="str">
        <f>IFERROR(__xludf.DUMMYFUNCTION("vlookup(C788,importrange(""1kw74ismGU34AsZ5x-W4x7F3Zt2xc8NSYcCVMrCJBmdQ"",""DRP for 8 products!B:C""),2,0)"),"ONIASANM2")</f>
        <v>ONIASANM2</v>
      </c>
      <c r="I788" s="7">
        <f>IFERROR(__xludf.DUMMYFUNCTION("vlookup(C788,importrange(""1kw74ismGU34AsZ5x-W4x7F3Zt2xc8NSYcCVMrCJBmdQ"",""DRP for 8 products!B:E""),4,0)"),16.0)</f>
        <v>16</v>
      </c>
      <c r="J788" s="8" t="str">
        <f t="shared" si="1"/>
        <v>Tier 4</v>
      </c>
      <c r="K788" s="9" t="str">
        <f t="shared" si="2"/>
        <v>Active</v>
      </c>
      <c r="L788" s="4" t="str">
        <f>IFERROR(__xludf.DUMMYFUNCTION("vlookup(C788,importrange(""1kw74ismGU34AsZ5x-W4x7F3Zt2xc8NSYcCVMrCJBmdQ"",""DRP for 8 products!B:H""),6,0)"),"BigQuery")</f>
        <v>BigQuery</v>
      </c>
      <c r="M788" s="10" t="str">
        <f t="shared" si="3"/>
        <v>Yes</v>
      </c>
    </row>
    <row r="789">
      <c r="A789" s="4" t="str">
        <f>IFERROR(__xludf.DUMMYFUNCTION("vlookup(C789,IMPORTRANGE(""1Kgoo8qyo6zMtf_5B03ksZz228jg0XpZ4_KXsdHQ4Vks"",""14 Sept!A:B""),2,0)"),"DME1598")</f>
        <v>DME1598</v>
      </c>
      <c r="B789" s="5" t="str">
        <f>IFERROR(__xludf.DUMMYFUNCTION("""COMPUTED_VALUE"""),"Suryakanta Mishra")</f>
        <v>Suryakanta Mishra</v>
      </c>
      <c r="C789" s="5" t="str">
        <f>IFERROR(__xludf.DUMMYFUNCTION("""COMPUTED_VALUE"""),"suryakanta.mishra@onixnet.com")</f>
        <v>suryakanta.mishra@onixnet.com</v>
      </c>
      <c r="D789" s="4" t="s">
        <v>11</v>
      </c>
      <c r="E789" s="6" t="str">
        <f>IFERROR(__xludf.DUMMYFUNCTION("vlookup($A789,importrange(""1fyGnaViAX9kns28pvsfPvI9925sAI7kxPlM7jpuHVJM"",""Validation!A:Z""),11,0)"),"Delivery Services")</f>
        <v>Delivery Services</v>
      </c>
      <c r="F789" s="6" t="str">
        <f>IFERROR(__xludf.DUMMYFUNCTION("vlookup($A789,importrange(""1fyGnaViAX9kns28pvsfPvI9925sAI7kxPlM7jpuHVJM"",""Validation!A:Z""),23,0)"),"Sneha Bhatambrekar")</f>
        <v>Sneha Bhatambrekar</v>
      </c>
      <c r="G789" s="6" t="str">
        <f>IFERROR(__xludf.DUMMYFUNCTION("vlookup(A789,importrange(""1fyGnaViAX9kns28pvsfPvI9925sAI7kxPlM7jpuHVJM"",""Validation!A:Z""),22,0)"),"Cluster - Sandeep")</f>
        <v>Cluster - Sandeep</v>
      </c>
      <c r="H789" s="4" t="str">
        <f>IFERROR(__xludf.DUMMYFUNCTION("vlookup(C789,importrange(""1kw74ismGU34AsZ5x-W4x7F3Zt2xc8NSYcCVMrCJBmdQ"",""DRP for 8 products!B:C""),2,0)"),"ONISMVRB2")</f>
        <v>ONISMVRB2</v>
      </c>
      <c r="I789" s="7">
        <f>IFERROR(__xludf.DUMMYFUNCTION("vlookup(C789,importrange(""1kw74ismGU34AsZ5x-W4x7F3Zt2xc8NSYcCVMrCJBmdQ"",""DRP for 8 products!B:E""),4,0)"),19.0)</f>
        <v>19</v>
      </c>
      <c r="J789" s="8" t="str">
        <f t="shared" si="1"/>
        <v>Tier 4</v>
      </c>
      <c r="K789" s="9" t="str">
        <f t="shared" si="2"/>
        <v>Active</v>
      </c>
      <c r="L789" s="4" t="str">
        <f>IFERROR(__xludf.DUMMYFUNCTION("vlookup(C789,importrange(""1kw74ismGU34AsZ5x-W4x7F3Zt2xc8NSYcCVMrCJBmdQ"",""DRP for 8 products!B:H""),6,0)"),"BigQuery")</f>
        <v>BigQuery</v>
      </c>
      <c r="M789" s="10" t="str">
        <f t="shared" si="3"/>
        <v>Yes</v>
      </c>
    </row>
    <row r="790">
      <c r="A790" s="4" t="str">
        <f>IFERROR(__xludf.DUMMYFUNCTION("vlookup(C790,IMPORTRANGE(""1Kgoo8qyo6zMtf_5B03ksZz228jg0XpZ4_KXsdHQ4Vks"",""14 Sept!A:B""),2,0)"),"DME2214")</f>
        <v>DME2214</v>
      </c>
      <c r="B790" s="5" t="str">
        <f>IFERROR(__xludf.DUMMYFUNCTION("""COMPUTED_VALUE"""),"Samarth Chowksay")</f>
        <v>Samarth Chowksay</v>
      </c>
      <c r="C790" s="5" t="str">
        <f>IFERROR(__xludf.DUMMYFUNCTION("""COMPUTED_VALUE"""),"samarth.chowksay@onixnet.com")</f>
        <v>samarth.chowksay@onixnet.com</v>
      </c>
      <c r="D790" s="4" t="s">
        <v>11</v>
      </c>
      <c r="E790" s="6" t="str">
        <f>IFERROR(__xludf.DUMMYFUNCTION("vlookup($A790,importrange(""1fyGnaViAX9kns28pvsfPvI9925sAI7kxPlM7jpuHVJM"",""Validation!A:Z""),11,0)"),"Product Engineering")</f>
        <v>Product Engineering</v>
      </c>
      <c r="F790" s="6" t="str">
        <f>IFERROR(__xludf.DUMMYFUNCTION("vlookup($A790,importrange(""1fyGnaViAX9kns28pvsfPvI9925sAI7kxPlM7jpuHVJM"",""Validation!A:Z""),23,0)"),"Mayur Jain")</f>
        <v>Mayur Jain</v>
      </c>
      <c r="G790" s="6" t="str">
        <f>IFERROR(__xludf.DUMMYFUNCTION("vlookup(A790,importrange(""1fyGnaViAX9kns28pvsfPvI9925sAI7kxPlM7jpuHVJM"",""Validation!A:Z""),22,0)"),"Cluster - Mayur")</f>
        <v>Cluster - Mayur</v>
      </c>
      <c r="H790" s="4" t="str">
        <f>IFERROR(__xludf.DUMMYFUNCTION("vlookup(C790,importrange(""1kw74ismGU34AsZ5x-W4x7F3Zt2xc8NSYcCVMrCJBmdQ"",""DRP for 8 products!B:C""),2,0)"),"ONISCSZD6")</f>
        <v>ONISCSZD6</v>
      </c>
      <c r="I790" s="7">
        <f>IFERROR(__xludf.DUMMYFUNCTION("vlookup(C790,importrange(""1kw74ismGU34AsZ5x-W4x7F3Zt2xc8NSYcCVMrCJBmdQ"",""DRP for 8 products!B:E""),4,0)"),9.0)</f>
        <v>9</v>
      </c>
      <c r="J790" s="8" t="str">
        <f t="shared" si="1"/>
        <v>Tier 4</v>
      </c>
      <c r="K790" s="9" t="str">
        <f t="shared" si="2"/>
        <v>Active</v>
      </c>
      <c r="L790" s="4" t="str">
        <f>IFERROR(__xludf.DUMMYFUNCTION("vlookup(C790,importrange(""1kw74ismGU34AsZ5x-W4x7F3Zt2xc8NSYcCVMrCJBmdQ"",""DRP for 8 products!B:H""),6,0)"),"BigQuery")</f>
        <v>BigQuery</v>
      </c>
      <c r="M790" s="10" t="str">
        <f t="shared" si="3"/>
        <v>Yes</v>
      </c>
    </row>
    <row r="791">
      <c r="A791" s="4" t="str">
        <f>IFERROR(__xludf.DUMMYFUNCTION("vlookup(C791,IMPORTRANGE(""1Kgoo8qyo6zMtf_5B03ksZz228jg0XpZ4_KXsdHQ4Vks"",""14 Sept!A:B""),2,0)"),"DME2588")</f>
        <v>DME2588</v>
      </c>
      <c r="B791" s="5" t="str">
        <f>IFERROR(__xludf.DUMMYFUNCTION("""COMPUTED_VALUE"""),"Aman Khandelwal")</f>
        <v>Aman Khandelwal</v>
      </c>
      <c r="C791" s="5" t="str">
        <f>IFERROR(__xludf.DUMMYFUNCTION("""COMPUTED_VALUE"""),"aman.khandelwal@onixnet.com")</f>
        <v>aman.khandelwal@onixnet.com</v>
      </c>
      <c r="D791" s="4" t="s">
        <v>11</v>
      </c>
      <c r="E791" s="6" t="str">
        <f>IFERROR(__xludf.DUMMYFUNCTION("vlookup($A791,importrange(""1fyGnaViAX9kns28pvsfPvI9925sAI7kxPlM7jpuHVJM"",""Validation!A:Z""),11,0)"),"Delivery Services")</f>
        <v>Delivery Services</v>
      </c>
      <c r="F791" s="6" t="str">
        <f>IFERROR(__xludf.DUMMYFUNCTION("vlookup($A791,importrange(""1fyGnaViAX9kns28pvsfPvI9925sAI7kxPlM7jpuHVJM"",""Validation!A:Z""),23,0)"),"Rahul Gupta")</f>
        <v>Rahul Gupta</v>
      </c>
      <c r="G791" s="6" t="str">
        <f>IFERROR(__xludf.DUMMYFUNCTION("vlookup(A791,importrange(""1fyGnaViAX9kns28pvsfPvI9925sAI7kxPlM7jpuHVJM"",""Validation!A:Z""),22,0)"),"Cluster - Sachin")</f>
        <v>Cluster - Sachin</v>
      </c>
      <c r="H791" s="4" t="str">
        <f>IFERROR(__xludf.DUMMYFUNCTION("vlookup(C791,importrange(""1kw74ismGU34AsZ5x-W4x7F3Zt2xc8NSYcCVMrCJBmdQ"",""DRP for 8 products!B:C""),2,0)"),"ONIAKILJ2")</f>
        <v>ONIAKILJ2</v>
      </c>
      <c r="I791" s="7">
        <f>IFERROR(__xludf.DUMMYFUNCTION("vlookup(C791,importrange(""1kw74ismGU34AsZ5x-W4x7F3Zt2xc8NSYcCVMrCJBmdQ"",""DRP for 8 products!B:E""),4,0)"),10.0)</f>
        <v>10</v>
      </c>
      <c r="J791" s="8" t="str">
        <f t="shared" si="1"/>
        <v>Tier 4</v>
      </c>
      <c r="K791" s="9" t="str">
        <f t="shared" si="2"/>
        <v>Active</v>
      </c>
      <c r="L791" s="4" t="str">
        <f>IFERROR(__xludf.DUMMYFUNCTION("vlookup(C791,importrange(""1kw74ismGU34AsZ5x-W4x7F3Zt2xc8NSYcCVMrCJBmdQ"",""DRP for 8 products!B:H""),6,0)"),"BigQuery")</f>
        <v>BigQuery</v>
      </c>
      <c r="M791" s="10" t="str">
        <f t="shared" si="3"/>
        <v>Yes</v>
      </c>
    </row>
    <row r="792">
      <c r="A792" s="4" t="str">
        <f>IFERROR(__xludf.DUMMYFUNCTION("vlookup(C792,IMPORTRANGE(""1Kgoo8qyo6zMtf_5B03ksZz228jg0XpZ4_KXsdHQ4Vks"",""14 Sept!A:B""),2,0)"),"DME3432")</f>
        <v>DME3432</v>
      </c>
      <c r="B792" s="5" t="str">
        <f>IFERROR(__xludf.DUMMYFUNCTION("""COMPUTED_VALUE"""),"Ekta Dhusia")</f>
        <v>Ekta Dhusia</v>
      </c>
      <c r="C792" s="5" t="str">
        <f>IFERROR(__xludf.DUMMYFUNCTION("""COMPUTED_VALUE"""),"ekta.dhusia@onixnet.com")</f>
        <v>ekta.dhusia@onixnet.com</v>
      </c>
      <c r="D792" s="4" t="s">
        <v>11</v>
      </c>
      <c r="E792" s="6" t="str">
        <f>IFERROR(__xludf.DUMMYFUNCTION("vlookup($A792,importrange(""1fyGnaViAX9kns28pvsfPvI9925sAI7kxPlM7jpuHVJM"",""Validation!A:Z""),11,0)"),"Delivery Services")</f>
        <v>Delivery Services</v>
      </c>
      <c r="F792" s="6" t="str">
        <f>IFERROR(__xludf.DUMMYFUNCTION("vlookup($A792,importrange(""1fyGnaViAX9kns28pvsfPvI9925sAI7kxPlM7jpuHVJM"",""Validation!A:Z""),23,0)"),"Aakash Vinod Tolani")</f>
        <v>Aakash Vinod Tolani</v>
      </c>
      <c r="G792" s="6" t="str">
        <f>IFERROR(__xludf.DUMMYFUNCTION("vlookup(A792,importrange(""1fyGnaViAX9kns28pvsfPvI9925sAI7kxPlM7jpuHVJM"",""Validation!A:Z""),22,0)"),"Cluster - Shreepad")</f>
        <v>Cluster - Shreepad</v>
      </c>
      <c r="H792" s="4" t="str">
        <f>IFERROR(__xludf.DUMMYFUNCTION("vlookup(C792,importrange(""1kw74ismGU34AsZ5x-W4x7F3Zt2xc8NSYcCVMrCJBmdQ"",""DRP for 8 products!B:C""),2,0)"),"ONIEDZBJ3")</f>
        <v>ONIEDZBJ3</v>
      </c>
      <c r="I792" s="7">
        <f>IFERROR(__xludf.DUMMYFUNCTION("vlookup(C792,importrange(""1kw74ismGU34AsZ5x-W4x7F3Zt2xc8NSYcCVMrCJBmdQ"",""DRP for 8 products!B:E""),4,0)"),9.0)</f>
        <v>9</v>
      </c>
      <c r="J792" s="8" t="str">
        <f t="shared" si="1"/>
        <v>Tier 4</v>
      </c>
      <c r="K792" s="9" t="str">
        <f t="shared" si="2"/>
        <v>Active</v>
      </c>
      <c r="L792" s="4" t="str">
        <f>IFERROR(__xludf.DUMMYFUNCTION("vlookup(C792,importrange(""1kw74ismGU34AsZ5x-W4x7F3Zt2xc8NSYcCVMrCJBmdQ"",""DRP for 8 products!B:H""),6,0)"),"AlloyDB for PostgreSQL")</f>
        <v>AlloyDB for PostgreSQL</v>
      </c>
      <c r="M792" s="10" t="str">
        <f t="shared" si="3"/>
        <v>Yes</v>
      </c>
    </row>
    <row r="793">
      <c r="A793" s="4" t="str">
        <f>IFERROR(__xludf.DUMMYFUNCTION("vlookup(C793,IMPORTRANGE(""1Kgoo8qyo6zMtf_5B03ksZz228jg0XpZ4_KXsdHQ4Vks"",""14 Sept!A:B""),2,0)"),"DME3396")</f>
        <v>DME3396</v>
      </c>
      <c r="B793" s="5" t="str">
        <f>IFERROR(__xludf.DUMMYFUNCTION("""COMPUTED_VALUE"""),"Soham Kale")</f>
        <v>Soham Kale</v>
      </c>
      <c r="C793" s="5" t="str">
        <f>IFERROR(__xludf.DUMMYFUNCTION("""COMPUTED_VALUE"""),"soham.kale@onixnet.com")</f>
        <v>soham.kale@onixnet.com</v>
      </c>
      <c r="D793" s="4" t="s">
        <v>11</v>
      </c>
      <c r="E793" s="6" t="str">
        <f>IFERROR(__xludf.DUMMYFUNCTION("vlookup($A793,importrange(""1fyGnaViAX9kns28pvsfPvI9925sAI7kxPlM7jpuHVJM"",""Validation!A:Z""),11,0)"),"Delivery Services")</f>
        <v>Delivery Services</v>
      </c>
      <c r="F793" s="6" t="str">
        <f>IFERROR(__xludf.DUMMYFUNCTION("vlookup($A793,importrange(""1fyGnaViAX9kns28pvsfPvI9925sAI7kxPlM7jpuHVJM"",""Validation!A:Z""),23,0)"),"Bhagyashri Paralkar")</f>
        <v>Bhagyashri Paralkar</v>
      </c>
      <c r="G793" s="6" t="str">
        <f>IFERROR(__xludf.DUMMYFUNCTION("vlookup(A793,importrange(""1fyGnaViAX9kns28pvsfPvI9925sAI7kxPlM7jpuHVJM"",""Validation!A:Z""),22,0)"),"Cluster - Sagar")</f>
        <v>Cluster - Sagar</v>
      </c>
      <c r="H793" s="4" t="str">
        <f>IFERROR(__xludf.DUMMYFUNCTION("vlookup(C793,importrange(""1kw74ismGU34AsZ5x-W4x7F3Zt2xc8NSYcCVMrCJBmdQ"",""DRP for 8 products!B:C""),2,0)"),"ONISKCRJ8")</f>
        <v>ONISKCRJ8</v>
      </c>
      <c r="I793" s="7">
        <f>IFERROR(__xludf.DUMMYFUNCTION("vlookup(C793,importrange(""1kw74ismGU34AsZ5x-W4x7F3Zt2xc8NSYcCVMrCJBmdQ"",""DRP for 8 products!B:E""),4,0)"),16.0)</f>
        <v>16</v>
      </c>
      <c r="J793" s="8" t="str">
        <f t="shared" si="1"/>
        <v>Tier 4</v>
      </c>
      <c r="K793" s="9" t="str">
        <f t="shared" si="2"/>
        <v>Active</v>
      </c>
      <c r="L793" s="4" t="str">
        <f>IFERROR(__xludf.DUMMYFUNCTION("vlookup(C793,importrange(""1kw74ismGU34AsZ5x-W4x7F3Zt2xc8NSYcCVMrCJBmdQ"",""DRP for 8 products!B:H""),6,0)"),"BigQuery")</f>
        <v>BigQuery</v>
      </c>
      <c r="M793" s="10" t="str">
        <f t="shared" si="3"/>
        <v>Yes</v>
      </c>
    </row>
    <row r="794">
      <c r="A794" s="4" t="str">
        <f>IFERROR(__xludf.DUMMYFUNCTION("vlookup(C794,IMPORTRANGE(""1Kgoo8qyo6zMtf_5B03ksZz228jg0XpZ4_KXsdHQ4Vks"",""14 Sept!A:B""),2,0)"),"DME3127")</f>
        <v>DME3127</v>
      </c>
      <c r="B794" s="5" t="str">
        <f>IFERROR(__xludf.DUMMYFUNCTION("""COMPUTED_VALUE"""),"Gouse Shaik")</f>
        <v>Gouse Shaik</v>
      </c>
      <c r="C794" s="5" t="str">
        <f>IFERROR(__xludf.DUMMYFUNCTION("""COMPUTED_VALUE"""),"gouse.shaik@onixnet.com")</f>
        <v>gouse.shaik@onixnet.com</v>
      </c>
      <c r="D794" s="4" t="s">
        <v>11</v>
      </c>
      <c r="E794" s="6" t="str">
        <f>IFERROR(__xludf.DUMMYFUNCTION("vlookup($A794,importrange(""1fyGnaViAX9kns28pvsfPvI9925sAI7kxPlM7jpuHVJM"",""Validation!A:Z""),11,0)"),"Delivery Services")</f>
        <v>Delivery Services</v>
      </c>
      <c r="F794" s="6" t="str">
        <f>IFERROR(__xludf.DUMMYFUNCTION("vlookup($A794,importrange(""1fyGnaViAX9kns28pvsfPvI9925sAI7kxPlM7jpuHVJM"",""Validation!A:Z""),23,0)"),"Chetana Hande")</f>
        <v>Chetana Hande</v>
      </c>
      <c r="G794" s="6" t="str">
        <f>IFERROR(__xludf.DUMMYFUNCTION("vlookup(A794,importrange(""1fyGnaViAX9kns28pvsfPvI9925sAI7kxPlM7jpuHVJM"",""Validation!A:Z""),22,0)"),"Cluster - Sagar")</f>
        <v>Cluster - Sagar</v>
      </c>
      <c r="H794" s="4" t="str">
        <f>IFERROR(__xludf.DUMMYFUNCTION("vlookup(C794,importrange(""1kw74ismGU34AsZ5x-W4x7F3Zt2xc8NSYcCVMrCJBmdQ"",""DRP for 8 products!B:C""),2,0)"),"ONIGSHNB5")</f>
        <v>ONIGSHNB5</v>
      </c>
      <c r="I794" s="7">
        <f>IFERROR(__xludf.DUMMYFUNCTION("vlookup(C794,importrange(""1kw74ismGU34AsZ5x-W4x7F3Zt2xc8NSYcCVMrCJBmdQ"",""DRP for 8 products!B:E""),4,0)"),6.0)</f>
        <v>6</v>
      </c>
      <c r="J794" s="8" t="str">
        <f t="shared" si="1"/>
        <v>Tier 4</v>
      </c>
      <c r="K794" s="9" t="str">
        <f t="shared" si="2"/>
        <v>Active</v>
      </c>
      <c r="L794" s="4" t="str">
        <f>IFERROR(__xludf.DUMMYFUNCTION("vlookup(C794,importrange(""1kw74ismGU34AsZ5x-W4x7F3Zt2xc8NSYcCVMrCJBmdQ"",""DRP for 8 products!B:H""),6,0)"),"BigQuery")</f>
        <v>BigQuery</v>
      </c>
      <c r="M794" s="10" t="str">
        <f t="shared" si="3"/>
        <v>Yes</v>
      </c>
    </row>
    <row r="795">
      <c r="A795" s="4" t="str">
        <f>IFERROR(__xludf.DUMMYFUNCTION("vlookup(C795,IMPORTRANGE(""1Kgoo8qyo6zMtf_5B03ksZz228jg0XpZ4_KXsdHQ4Vks"",""14 Sept!A:B""),2,0)"),"DME3174")</f>
        <v>DME3174</v>
      </c>
      <c r="B795" s="5" t="str">
        <f>IFERROR(__xludf.DUMMYFUNCTION("""COMPUTED_VALUE"""),"Ranga saikiran")</f>
        <v>Ranga saikiran</v>
      </c>
      <c r="C795" s="5" t="str">
        <f>IFERROR(__xludf.DUMMYFUNCTION("""COMPUTED_VALUE"""),"ranga.tirupathi@onixnet.com")</f>
        <v>ranga.tirupathi@onixnet.com</v>
      </c>
      <c r="D795" s="4" t="s">
        <v>11</v>
      </c>
      <c r="E795" s="6" t="str">
        <f>IFERROR(__xludf.DUMMYFUNCTION("vlookup($A795,importrange(""1fyGnaViAX9kns28pvsfPvI9925sAI7kxPlM7jpuHVJM"",""Validation!A:Z""),11,0)"),"Delivery Services")</f>
        <v>Delivery Services</v>
      </c>
      <c r="F795" s="6" t="str">
        <f>IFERROR(__xludf.DUMMYFUNCTION("vlookup($A795,importrange(""1fyGnaViAX9kns28pvsfPvI9925sAI7kxPlM7jpuHVJM"",""Validation!A:Z""),23,0)"),"Sadupati Ashok Kumar")</f>
        <v>Sadupati Ashok Kumar</v>
      </c>
      <c r="G795" s="6" t="str">
        <f>IFERROR(__xludf.DUMMYFUNCTION("vlookup(A795,importrange(""1fyGnaViAX9kns28pvsfPvI9925sAI7kxPlM7jpuHVJM"",""Validation!A:Z""),22,0)"),"Cluster - Shreepad")</f>
        <v>Cluster - Shreepad</v>
      </c>
      <c r="H795" s="4" t="str">
        <f>IFERROR(__xludf.DUMMYFUNCTION("vlookup(C795,importrange(""1kw74ismGU34AsZ5x-W4x7F3Zt2xc8NSYcCVMrCJBmdQ"",""DRP for 8 products!B:C""),2,0)"),"ONIRSYDC6")</f>
        <v>ONIRSYDC6</v>
      </c>
      <c r="I795" s="7">
        <f>IFERROR(__xludf.DUMMYFUNCTION("vlookup(C795,importrange(""1kw74ismGU34AsZ5x-W4x7F3Zt2xc8NSYcCVMrCJBmdQ"",""DRP for 8 products!B:E""),4,0)"),11.0)</f>
        <v>11</v>
      </c>
      <c r="J795" s="8" t="str">
        <f t="shared" si="1"/>
        <v>Tier 4</v>
      </c>
      <c r="K795" s="9" t="str">
        <f t="shared" si="2"/>
        <v>Active</v>
      </c>
      <c r="L795" s="4" t="str">
        <f>IFERROR(__xludf.DUMMYFUNCTION("vlookup(C795,importrange(""1kw74ismGU34AsZ5x-W4x7F3Zt2xc8NSYcCVMrCJBmdQ"",""DRP for 8 products!B:H""),6,0)"),"BigQuery")</f>
        <v>BigQuery</v>
      </c>
      <c r="M795" s="10" t="str">
        <f t="shared" si="3"/>
        <v>Yes</v>
      </c>
    </row>
    <row r="796">
      <c r="A796" s="4" t="str">
        <f>IFERROR(__xludf.DUMMYFUNCTION("vlookup(C796,IMPORTRANGE(""1Kgoo8qyo6zMtf_5B03ksZz228jg0XpZ4_KXsdHQ4Vks"",""14 Sept!A:B""),2,0)"),"DME2177")</f>
        <v>DME2177</v>
      </c>
      <c r="B796" s="5" t="str">
        <f>IFERROR(__xludf.DUMMYFUNCTION("""COMPUTED_VALUE"""),"Anuj Chopra")</f>
        <v>Anuj Chopra</v>
      </c>
      <c r="C796" s="5" t="str">
        <f>IFERROR(__xludf.DUMMYFUNCTION("""COMPUTED_VALUE"""),"anuj.chopra@onixnet.com")</f>
        <v>anuj.chopra@onixnet.com</v>
      </c>
      <c r="D796" s="4" t="s">
        <v>11</v>
      </c>
      <c r="E796" s="6" t="str">
        <f>IFERROR(__xludf.DUMMYFUNCTION("vlookup($A796,importrange(""1fyGnaViAX9kns28pvsfPvI9925sAI7kxPlM7jpuHVJM"",""Validation!A:Z""),11,0)"),"Delivery Services")</f>
        <v>Delivery Services</v>
      </c>
      <c r="F796" s="6" t="str">
        <f>IFERROR(__xludf.DUMMYFUNCTION("vlookup($A796,importrange(""1fyGnaViAX9kns28pvsfPvI9925sAI7kxPlM7jpuHVJM"",""Validation!A:Z""),23,0)"),"Rahul Chandak")</f>
        <v>Rahul Chandak</v>
      </c>
      <c r="G796" s="6" t="str">
        <f>IFERROR(__xludf.DUMMYFUNCTION("vlookup(A796,importrange(""1fyGnaViAX9kns28pvsfPvI9925sAI7kxPlM7jpuHVJM"",""Validation!A:Z""),22,0)"),"Cluster - Sagar")</f>
        <v>Cluster - Sagar</v>
      </c>
      <c r="H796" s="4" t="str">
        <f>IFERROR(__xludf.DUMMYFUNCTION("vlookup(C796,importrange(""1kw74ismGU34AsZ5x-W4x7F3Zt2xc8NSYcCVMrCJBmdQ"",""DRP for 8 products!B:C""),2,0)"),"ONIACHCK9")</f>
        <v>ONIACHCK9</v>
      </c>
      <c r="I796" s="7">
        <f>IFERROR(__xludf.DUMMYFUNCTION("vlookup(C796,importrange(""1kw74ismGU34AsZ5x-W4x7F3Zt2xc8NSYcCVMrCJBmdQ"",""DRP for 8 products!B:E""),4,0)"),24.0)</f>
        <v>24</v>
      </c>
      <c r="J796" s="8" t="str">
        <f t="shared" si="1"/>
        <v>Tier 3</v>
      </c>
      <c r="K796" s="9" t="str">
        <f t="shared" si="2"/>
        <v>Active</v>
      </c>
      <c r="L796" s="4" t="str">
        <f>IFERROR(__xludf.DUMMYFUNCTION("vlookup(C796,importrange(""1kw74ismGU34AsZ5x-W4x7F3Zt2xc8NSYcCVMrCJBmdQ"",""DRP for 8 products!B:H""),6,0)"),"BigQuery")</f>
        <v>BigQuery</v>
      </c>
      <c r="M796" s="10" t="str">
        <f t="shared" si="3"/>
        <v>Yes</v>
      </c>
    </row>
    <row r="797">
      <c r="A797" s="4" t="str">
        <f>IFERROR(__xludf.DUMMYFUNCTION("vlookup(C797,IMPORTRANGE(""1Kgoo8qyo6zMtf_5B03ksZz228jg0XpZ4_KXsdHQ4Vks"",""14 Sept!A:B""),2,0)"),"DME1432")</f>
        <v>DME1432</v>
      </c>
      <c r="B797" s="5" t="str">
        <f>IFERROR(__xludf.DUMMYFUNCTION("""COMPUTED_VALUE"""),"Arihant Jain")</f>
        <v>Arihant Jain</v>
      </c>
      <c r="C797" s="5" t="str">
        <f>IFERROR(__xludf.DUMMYFUNCTION("""COMPUTED_VALUE"""),"arihant.jain@onixnet.com")</f>
        <v>arihant.jain@onixnet.com</v>
      </c>
      <c r="D797" s="4" t="s">
        <v>11</v>
      </c>
      <c r="E797" s="6" t="str">
        <f>IFERROR(__xludf.DUMMYFUNCTION("vlookup($A797,importrange(""1fyGnaViAX9kns28pvsfPvI9925sAI7kxPlM7jpuHVJM"",""Validation!A:Z""),11,0)"),"Eagle Assessment")</f>
        <v>Eagle Assessment</v>
      </c>
      <c r="F797" s="6" t="str">
        <f>IFERROR(__xludf.DUMMYFUNCTION("vlookup($A797,importrange(""1fyGnaViAX9kns28pvsfPvI9925sAI7kxPlM7jpuHVJM"",""Validation!A:Z""),23,0)"),"Ashish Taman")</f>
        <v>Ashish Taman</v>
      </c>
      <c r="G797" s="6" t="str">
        <f>IFERROR(__xludf.DUMMYFUNCTION("vlookup(A797,importrange(""1fyGnaViAX9kns28pvsfPvI9925sAI7kxPlM7jpuHVJM"",""Validation!A:Z""),22,0)"),"Cluster - Kalpa")</f>
        <v>Cluster - Kalpa</v>
      </c>
      <c r="H797" s="4" t="str">
        <f>IFERROR(__xludf.DUMMYFUNCTION("vlookup(C797,importrange(""1kw74ismGU34AsZ5x-W4x7F3Zt2xc8NSYcCVMrCJBmdQ"",""DRP for 8 products!B:C""),2,0)"),"ONIAJMLV8")</f>
        <v>ONIAJMLV8</v>
      </c>
      <c r="I797" s="7">
        <f>IFERROR(__xludf.DUMMYFUNCTION("vlookup(C797,importrange(""1kw74ismGU34AsZ5x-W4x7F3Zt2xc8NSYcCVMrCJBmdQ"",""DRP for 8 products!B:E""),4,0)"),65.0)</f>
        <v>65</v>
      </c>
      <c r="J797" s="8" t="str">
        <f t="shared" si="1"/>
        <v>Tier 1</v>
      </c>
      <c r="K797" s="9" t="str">
        <f t="shared" si="2"/>
        <v>Active</v>
      </c>
      <c r="L797" s="4" t="str">
        <f>IFERROR(__xludf.DUMMYFUNCTION("vlookup(C797,importrange(""1kw74ismGU34AsZ5x-W4x7F3Zt2xc8NSYcCVMrCJBmdQ"",""DRP for 8 products!B:H""),6,0)"),"BigQuery")</f>
        <v>BigQuery</v>
      </c>
      <c r="M797" s="10" t="str">
        <f t="shared" si="3"/>
        <v>Yes</v>
      </c>
    </row>
    <row r="798">
      <c r="A798" s="4" t="str">
        <f>IFERROR(__xludf.DUMMYFUNCTION("vlookup(C798,IMPORTRANGE(""1Kgoo8qyo6zMtf_5B03ksZz228jg0XpZ4_KXsdHQ4Vks"",""14 Sept!A:B""),2,0)"),"DME2975")</f>
        <v>DME2975</v>
      </c>
      <c r="B798" s="5" t="str">
        <f>IFERROR(__xludf.DUMMYFUNCTION("""COMPUTED_VALUE"""),"Khushi Munot")</f>
        <v>Khushi Munot</v>
      </c>
      <c r="C798" s="5" t="str">
        <f>IFERROR(__xludf.DUMMYFUNCTION("""COMPUTED_VALUE"""),"khushi.munot@onixnet.com")</f>
        <v>khushi.munot@onixnet.com</v>
      </c>
      <c r="D798" s="4" t="s">
        <v>11</v>
      </c>
      <c r="E798" s="6" t="str">
        <f>IFERROR(__xludf.DUMMYFUNCTION("vlookup($A798,importrange(""1fyGnaViAX9kns28pvsfPvI9925sAI7kxPlM7jpuHVJM"",""Validation!A:Z""),11,0)"),"Delivery Services")</f>
        <v>Delivery Services</v>
      </c>
      <c r="F798" s="6" t="str">
        <f>IFERROR(__xludf.DUMMYFUNCTION("vlookup($A798,importrange(""1fyGnaViAX9kns28pvsfPvI9925sAI7kxPlM7jpuHVJM"",""Validation!A:Z""),23,0)"),"Rahul Shelake")</f>
        <v>Rahul Shelake</v>
      </c>
      <c r="G798" s="6" t="str">
        <f>IFERROR(__xludf.DUMMYFUNCTION("vlookup(A798,importrange(""1fyGnaViAX9kns28pvsfPvI9925sAI7kxPlM7jpuHVJM"",""Validation!A:Z""),22,0)"),"Cluster - Sagar")</f>
        <v>Cluster - Sagar</v>
      </c>
      <c r="H798" s="4" t="str">
        <f>IFERROR(__xludf.DUMMYFUNCTION("vlookup(C798,importrange(""1kw74ismGU34AsZ5x-W4x7F3Zt2xc8NSYcCVMrCJBmdQ"",""DRP for 8 products!B:C""),2,0)"),"ONIKMBQS6")</f>
        <v>ONIKMBQS6</v>
      </c>
      <c r="I798" s="7">
        <f>IFERROR(__xludf.DUMMYFUNCTION("vlookup(C798,importrange(""1kw74ismGU34AsZ5x-W4x7F3Zt2xc8NSYcCVMrCJBmdQ"",""DRP for 8 products!B:E""),4,0)"),12.0)</f>
        <v>12</v>
      </c>
      <c r="J798" s="8" t="str">
        <f t="shared" si="1"/>
        <v>Tier 4</v>
      </c>
      <c r="K798" s="9" t="str">
        <f t="shared" si="2"/>
        <v>Active</v>
      </c>
      <c r="L798" s="4" t="str">
        <f>IFERROR(__xludf.DUMMYFUNCTION("vlookup(C798,importrange(""1kw74ismGU34AsZ5x-W4x7F3Zt2xc8NSYcCVMrCJBmdQ"",""DRP for 8 products!B:H""),6,0)"),"BigQuery")</f>
        <v>BigQuery</v>
      </c>
      <c r="M798" s="10" t="str">
        <f t="shared" si="3"/>
        <v>Yes</v>
      </c>
    </row>
    <row r="799">
      <c r="A799" s="4" t="str">
        <f>IFERROR(__xludf.DUMMYFUNCTION("vlookup(C799,IMPORTRANGE(""1Kgoo8qyo6zMtf_5B03ksZz228jg0XpZ4_KXsdHQ4Vks"",""14 Sept!A:B""),2,0)"),"DME2814")</f>
        <v>DME2814</v>
      </c>
      <c r="B799" s="5" t="str">
        <f>IFERROR(__xludf.DUMMYFUNCTION("""COMPUTED_VALUE"""),"Ajay Babar")</f>
        <v>Ajay Babar</v>
      </c>
      <c r="C799" s="5" t="str">
        <f>IFERROR(__xludf.DUMMYFUNCTION("""COMPUTED_VALUE"""),"ajay.babar@onixnet.com")</f>
        <v>ajay.babar@onixnet.com</v>
      </c>
      <c r="D799" s="4" t="s">
        <v>11</v>
      </c>
      <c r="E799" s="6" t="str">
        <f>IFERROR(__xludf.DUMMYFUNCTION("vlookup($A799,importrange(""1fyGnaViAX9kns28pvsfPvI9925sAI7kxPlM7jpuHVJM"",""Validation!A:Z""),11,0)"),"Delivery Services")</f>
        <v>Delivery Services</v>
      </c>
      <c r="F799" s="6" t="str">
        <f>IFERROR(__xludf.DUMMYFUNCTION("vlookup($A799,importrange(""1fyGnaViAX9kns28pvsfPvI9925sAI7kxPlM7jpuHVJM"",""Validation!A:Z""),23,0)"),"Hemanth Kolluru")</f>
        <v>Hemanth Kolluru</v>
      </c>
      <c r="G799" s="6" t="str">
        <f>IFERROR(__xludf.DUMMYFUNCTION("vlookup(A799,importrange(""1fyGnaViAX9kns28pvsfPvI9925sAI7kxPlM7jpuHVJM"",""Validation!A:Z""),22,0)"),"Cluster - Sachin")</f>
        <v>Cluster - Sachin</v>
      </c>
      <c r="H799" s="4" t="str">
        <f>IFERROR(__xludf.DUMMYFUNCTION("vlookup(C799,importrange(""1kw74ismGU34AsZ5x-W4x7F3Zt2xc8NSYcCVMrCJBmdQ"",""DRP for 8 products!B:C""),2,0)"),"ONIABXHS4")</f>
        <v>ONIABXHS4</v>
      </c>
      <c r="I799" s="7">
        <f>IFERROR(__xludf.DUMMYFUNCTION("vlookup(C799,importrange(""1kw74ismGU34AsZ5x-W4x7F3Zt2xc8NSYcCVMrCJBmdQ"",""DRP for 8 products!B:E""),4,0)"),44.0)</f>
        <v>44</v>
      </c>
      <c r="J799" s="8" t="str">
        <f t="shared" si="1"/>
        <v>Tier 2</v>
      </c>
      <c r="K799" s="9" t="str">
        <f t="shared" si="2"/>
        <v>Active</v>
      </c>
      <c r="L799" s="4" t="str">
        <f>IFERROR(__xludf.DUMMYFUNCTION("vlookup(C799,importrange(""1kw74ismGU34AsZ5x-W4x7F3Zt2xc8NSYcCVMrCJBmdQ"",""DRP for 8 products!B:H""),6,0)"),"BigQuery")</f>
        <v>BigQuery</v>
      </c>
      <c r="M799" s="10" t="str">
        <f t="shared" si="3"/>
        <v>Yes</v>
      </c>
    </row>
    <row r="800">
      <c r="A800" s="4" t="str">
        <f>IFERROR(__xludf.DUMMYFUNCTION("vlookup(C800,IMPORTRANGE(""1Kgoo8qyo6zMtf_5B03ksZz228jg0XpZ4_KXsdHQ4Vks"",""14 Sept!A:B""),2,0)"),"DME2351")</f>
        <v>DME2351</v>
      </c>
      <c r="B800" s="5" t="str">
        <f>IFERROR(__xludf.DUMMYFUNCTION("""COMPUTED_VALUE"""),"Swapnil Salunke")</f>
        <v>Swapnil Salunke</v>
      </c>
      <c r="C800" s="5" t="str">
        <f>IFERROR(__xludf.DUMMYFUNCTION("""COMPUTED_VALUE"""),"swapnil.salunke@onixnet.com")</f>
        <v>swapnil.salunke@onixnet.com</v>
      </c>
      <c r="D800" s="4" t="s">
        <v>11</v>
      </c>
      <c r="E800" s="6" t="str">
        <f>IFERROR(__xludf.DUMMYFUNCTION("vlookup($A800,importrange(""1fyGnaViAX9kns28pvsfPvI9925sAI7kxPlM7jpuHVJM"",""Validation!A:Z""),11,0)"),"Eagle Assessment")</f>
        <v>Eagle Assessment</v>
      </c>
      <c r="F800" s="6" t="str">
        <f>IFERROR(__xludf.DUMMYFUNCTION("vlookup($A800,importrange(""1fyGnaViAX9kns28pvsfPvI9925sAI7kxPlM7jpuHVJM"",""Validation!A:Z""),23,0)"),"Ashish Taman")</f>
        <v>Ashish Taman</v>
      </c>
      <c r="G800" s="6" t="str">
        <f>IFERROR(__xludf.DUMMYFUNCTION("vlookup(A800,importrange(""1fyGnaViAX9kns28pvsfPvI9925sAI7kxPlM7jpuHVJM"",""Validation!A:Z""),22,0)"),"Cluster - Kalpa")</f>
        <v>Cluster - Kalpa</v>
      </c>
      <c r="H800" s="4" t="str">
        <f>IFERROR(__xludf.DUMMYFUNCTION("vlookup(C800,importrange(""1kw74ismGU34AsZ5x-W4x7F3Zt2xc8NSYcCVMrCJBmdQ"",""DRP for 8 products!B:C""),2,0)"),"ONISSJUN7")</f>
        <v>ONISSJUN7</v>
      </c>
      <c r="I800" s="7">
        <f>IFERROR(__xludf.DUMMYFUNCTION("vlookup(C800,importrange(""1kw74ismGU34AsZ5x-W4x7F3Zt2xc8NSYcCVMrCJBmdQ"",""DRP for 8 products!B:E""),4,0)"),19.0)</f>
        <v>19</v>
      </c>
      <c r="J800" s="8" t="str">
        <f t="shared" si="1"/>
        <v>Tier 4</v>
      </c>
      <c r="K800" s="9" t="str">
        <f t="shared" si="2"/>
        <v>Active</v>
      </c>
      <c r="L800" s="4" t="str">
        <f>IFERROR(__xludf.DUMMYFUNCTION("vlookup(C800,importrange(""1kw74ismGU34AsZ5x-W4x7F3Zt2xc8NSYcCVMrCJBmdQ"",""DRP for 8 products!B:H""),6,0)"),"BigQuery")</f>
        <v>BigQuery</v>
      </c>
      <c r="M800" s="10" t="str">
        <f t="shared" si="3"/>
        <v>Yes</v>
      </c>
    </row>
    <row r="801">
      <c r="A801" s="4" t="str">
        <f>IFERROR(__xludf.DUMMYFUNCTION("vlookup(C801,IMPORTRANGE(""1Kgoo8qyo6zMtf_5B03ksZz228jg0XpZ4_KXsdHQ4Vks"",""14 Sept!A:B""),2,0)"),"DME2870")</f>
        <v>DME2870</v>
      </c>
      <c r="B801" s="5" t="str">
        <f>IFERROR(__xludf.DUMMYFUNCTION("""COMPUTED_VALUE"""),"Rishav Varshney")</f>
        <v>Rishav Varshney</v>
      </c>
      <c r="C801" s="5" t="str">
        <f>IFERROR(__xludf.DUMMYFUNCTION("""COMPUTED_VALUE"""),"rishav.varshney@onixnet.com")</f>
        <v>rishav.varshney@onixnet.com</v>
      </c>
      <c r="D801" s="4" t="s">
        <v>11</v>
      </c>
      <c r="E801" s="6" t="str">
        <f>IFERROR(__xludf.DUMMYFUNCTION("vlookup($A801,importrange(""1fyGnaViAX9kns28pvsfPvI9925sAI7kxPlM7jpuHVJM"",""Validation!A:Z""),11,0)"),"Delivery Services")</f>
        <v>Delivery Services</v>
      </c>
      <c r="F801" s="6" t="str">
        <f>IFERROR(__xludf.DUMMYFUNCTION("vlookup($A801,importrange(""1fyGnaViAX9kns28pvsfPvI9925sAI7kxPlM7jpuHVJM"",""Validation!A:Z""),23,0)"),"Hemanth Kolluru")</f>
        <v>Hemanth Kolluru</v>
      </c>
      <c r="G801" s="6" t="str">
        <f>IFERROR(__xludf.DUMMYFUNCTION("vlookup(A801,importrange(""1fyGnaViAX9kns28pvsfPvI9925sAI7kxPlM7jpuHVJM"",""Validation!A:Z""),22,0)"),"Cluster - Sachin")</f>
        <v>Cluster - Sachin</v>
      </c>
      <c r="H801" s="4" t="str">
        <f>IFERROR(__xludf.DUMMYFUNCTION("vlookup(C801,importrange(""1kw74ismGU34AsZ5x-W4x7F3Zt2xc8NSYcCVMrCJBmdQ"",""DRP for 8 products!B:C""),2,0)"),"ONIRVURX6")</f>
        <v>ONIRVURX6</v>
      </c>
      <c r="I801" s="7">
        <f>IFERROR(__xludf.DUMMYFUNCTION("vlookup(C801,importrange(""1kw74ismGU34AsZ5x-W4x7F3Zt2xc8NSYcCVMrCJBmdQ"",""DRP for 8 products!B:E""),4,0)"),34.0)</f>
        <v>34</v>
      </c>
      <c r="J801" s="8" t="str">
        <f t="shared" si="1"/>
        <v>Tier 3</v>
      </c>
      <c r="K801" s="9" t="str">
        <f t="shared" si="2"/>
        <v>Active</v>
      </c>
      <c r="L801" s="4" t="str">
        <f>IFERROR(__xludf.DUMMYFUNCTION("vlookup(C801,importrange(""1kw74ismGU34AsZ5x-W4x7F3Zt2xc8NSYcCVMrCJBmdQ"",""DRP for 8 products!B:H""),6,0)"),"BigQuery")</f>
        <v>BigQuery</v>
      </c>
      <c r="M801" s="10" t="str">
        <f t="shared" si="3"/>
        <v>Yes</v>
      </c>
    </row>
    <row r="802">
      <c r="A802" s="4" t="str">
        <f>IFERROR(__xludf.DUMMYFUNCTION("vlookup(C802,IMPORTRANGE(""1Kgoo8qyo6zMtf_5B03ksZz228jg0XpZ4_KXsdHQ4Vks"",""14 Sept!A:B""),2,0)"),"DME3332")</f>
        <v>DME3332</v>
      </c>
      <c r="B802" s="5" t="str">
        <f>IFERROR(__xludf.DUMMYFUNCTION("""COMPUTED_VALUE"""),"Afaf Athar")</f>
        <v>Afaf Athar</v>
      </c>
      <c r="C802" s="5" t="str">
        <f>IFERROR(__xludf.DUMMYFUNCTION("""COMPUTED_VALUE"""),"afaf.athar@onixnet.com")</f>
        <v>afaf.athar@onixnet.com</v>
      </c>
      <c r="D802" s="4" t="s">
        <v>11</v>
      </c>
      <c r="E802" s="6" t="str">
        <f>IFERROR(__xludf.DUMMYFUNCTION("vlookup($A802,importrange(""1fyGnaViAX9kns28pvsfPvI9925sAI7kxPlM7jpuHVJM"",""Validation!A:Z""),11,0)"),"Delivery Services")</f>
        <v>Delivery Services</v>
      </c>
      <c r="F802" s="6" t="str">
        <f>IFERROR(__xludf.DUMMYFUNCTION("vlookup($A802,importrange(""1fyGnaViAX9kns28pvsfPvI9925sAI7kxPlM7jpuHVJM"",""Validation!A:Z""),23,0)"),"Devayani Girish Pillai")</f>
        <v>Devayani Girish Pillai</v>
      </c>
      <c r="G802" s="6" t="str">
        <f>IFERROR(__xludf.DUMMYFUNCTION("vlookup(A802,importrange(""1fyGnaViAX9kns28pvsfPvI9925sAI7kxPlM7jpuHVJM"",""Validation!A:Z""),22,0)"),"Cluster - Devayani")</f>
        <v>Cluster - Devayani</v>
      </c>
      <c r="H802" s="4" t="str">
        <f>IFERROR(__xludf.DUMMYFUNCTION("vlookup(C802,importrange(""1kw74ismGU34AsZ5x-W4x7F3Zt2xc8NSYcCVMrCJBmdQ"",""DRP for 8 products!B:C""),2,0)"),"ONIAABZY5")</f>
        <v>ONIAABZY5</v>
      </c>
      <c r="I802" s="7">
        <f>IFERROR(__xludf.DUMMYFUNCTION("vlookup(C802,importrange(""1kw74ismGU34AsZ5x-W4x7F3Zt2xc8NSYcCVMrCJBmdQ"",""DRP for 8 products!B:E""),4,0)"),9.0)</f>
        <v>9</v>
      </c>
      <c r="J802" s="8" t="str">
        <f t="shared" si="1"/>
        <v>Tier 4</v>
      </c>
      <c r="K802" s="9" t="str">
        <f t="shared" si="2"/>
        <v>Active</v>
      </c>
      <c r="L802" s="4" t="str">
        <f>IFERROR(__xludf.DUMMYFUNCTION("vlookup(C802,importrange(""1kw74ismGU34AsZ5x-W4x7F3Zt2xc8NSYcCVMrCJBmdQ"",""DRP for 8 products!B:H""),6,0)"),"BigQuery")</f>
        <v>BigQuery</v>
      </c>
      <c r="M802" s="10" t="str">
        <f t="shared" si="3"/>
        <v>Yes</v>
      </c>
    </row>
    <row r="803">
      <c r="A803" s="4" t="str">
        <f>IFERROR(__xludf.DUMMYFUNCTION("vlookup(C803,IMPORTRANGE(""1Kgoo8qyo6zMtf_5B03ksZz228jg0XpZ4_KXsdHQ4Vks"",""14 Sept!A:B""),2,0)"),"DME3129")</f>
        <v>DME3129</v>
      </c>
      <c r="B803" s="5" t="str">
        <f>IFERROR(__xludf.DUMMYFUNCTION("""COMPUTED_VALUE"""),"Omkar Satpute")</f>
        <v>Omkar Satpute</v>
      </c>
      <c r="C803" s="5" t="str">
        <f>IFERROR(__xludf.DUMMYFUNCTION("""COMPUTED_VALUE"""),"omkar.satpute@onixnet.com")</f>
        <v>omkar.satpute@onixnet.com</v>
      </c>
      <c r="D803" s="4" t="s">
        <v>11</v>
      </c>
      <c r="E803" s="6" t="str">
        <f>IFERROR(__xludf.DUMMYFUNCTION("vlookup($A803,importrange(""1fyGnaViAX9kns28pvsfPvI9925sAI7kxPlM7jpuHVJM"",""Validation!A:Z""),11,0)"),"Delivery Services")</f>
        <v>Delivery Services</v>
      </c>
      <c r="F803" s="6" t="str">
        <f>IFERROR(__xludf.DUMMYFUNCTION("vlookup($A803,importrange(""1fyGnaViAX9kns28pvsfPvI9925sAI7kxPlM7jpuHVJM"",""Validation!A:Z""),23,0)"),"Manoj Patil")</f>
        <v>Manoj Patil</v>
      </c>
      <c r="G803" s="6" t="str">
        <f>IFERROR(__xludf.DUMMYFUNCTION("vlookup(A803,importrange(""1fyGnaViAX9kns28pvsfPvI9925sAI7kxPlM7jpuHVJM"",""Validation!A:Z""),22,0)"),"Cluster - Shreepad")</f>
        <v>Cluster - Shreepad</v>
      </c>
      <c r="H803" s="4" t="str">
        <f>IFERROR(__xludf.DUMMYFUNCTION("vlookup(C803,importrange(""1kw74ismGU34AsZ5x-W4x7F3Zt2xc8NSYcCVMrCJBmdQ"",""DRP for 8 products!B:C""),2,0)"),"ONIOSPEL5")</f>
        <v>ONIOSPEL5</v>
      </c>
      <c r="I803" s="7">
        <f>IFERROR(__xludf.DUMMYFUNCTION("vlookup(C803,importrange(""1kw74ismGU34AsZ5x-W4x7F3Zt2xc8NSYcCVMrCJBmdQ"",""DRP for 8 products!B:E""),4,0)"),19.0)</f>
        <v>19</v>
      </c>
      <c r="J803" s="8" t="str">
        <f t="shared" si="1"/>
        <v>Tier 4</v>
      </c>
      <c r="K803" s="9" t="str">
        <f t="shared" si="2"/>
        <v>Active</v>
      </c>
      <c r="L803" s="4" t="str">
        <f>IFERROR(__xludf.DUMMYFUNCTION("vlookup(C803,importrange(""1kw74ismGU34AsZ5x-W4x7F3Zt2xc8NSYcCVMrCJBmdQ"",""DRP for 8 products!B:H""),6,0)"),"BigQuery")</f>
        <v>BigQuery</v>
      </c>
      <c r="M803" s="10" t="str">
        <f t="shared" si="3"/>
        <v>Yes</v>
      </c>
    </row>
    <row r="804">
      <c r="A804" s="4" t="str">
        <f>IFERROR(__xludf.DUMMYFUNCTION("vlookup(C804,IMPORTRANGE(""1Kgoo8qyo6zMtf_5B03ksZz228jg0XpZ4_KXsdHQ4Vks"",""14 Sept!A:B""),2,0)"),"DME3364")</f>
        <v>DME3364</v>
      </c>
      <c r="B804" s="5" t="str">
        <f>IFERROR(__xludf.DUMMYFUNCTION("""COMPUTED_VALUE"""),"Soham Kulkarni")</f>
        <v>Soham Kulkarni</v>
      </c>
      <c r="C804" s="5" t="str">
        <f>IFERROR(__xludf.DUMMYFUNCTION("""COMPUTED_VALUE"""),"soham.kulkarni1@onixnet.com")</f>
        <v>soham.kulkarni1@onixnet.com</v>
      </c>
      <c r="D804" s="4" t="s">
        <v>11</v>
      </c>
      <c r="E804" s="6" t="str">
        <f>IFERROR(__xludf.DUMMYFUNCTION("vlookup($A804,importrange(""1fyGnaViAX9kns28pvsfPvI9925sAI7kxPlM7jpuHVJM"",""Validation!A:Z""),11,0)"),"Delivery Services")</f>
        <v>Delivery Services</v>
      </c>
      <c r="F804" s="6" t="str">
        <f>IFERROR(__xludf.DUMMYFUNCTION("vlookup($A804,importrange(""1fyGnaViAX9kns28pvsfPvI9925sAI7kxPlM7jpuHVJM"",""Validation!A:Z""),23,0)"),"Aditya Kumar Agarwal")</f>
        <v>Aditya Kumar Agarwal</v>
      </c>
      <c r="G804" s="6" t="str">
        <f>IFERROR(__xludf.DUMMYFUNCTION("vlookup(A804,importrange(""1fyGnaViAX9kns28pvsfPvI9925sAI7kxPlM7jpuHVJM"",""Validation!A:Z""),22,0)"),"Cluster - Sagar")</f>
        <v>Cluster - Sagar</v>
      </c>
      <c r="H804" s="4" t="str">
        <f>IFERROR(__xludf.DUMMYFUNCTION("vlookup(C804,importrange(""1kw74ismGU34AsZ5x-W4x7F3Zt2xc8NSYcCVMrCJBmdQ"",""DRP for 8 products!B:C""),2,0)"),"ONISKFUW2")</f>
        <v>ONISKFUW2</v>
      </c>
      <c r="I804" s="7">
        <f>IFERROR(__xludf.DUMMYFUNCTION("vlookup(C804,importrange(""1kw74ismGU34AsZ5x-W4x7F3Zt2xc8NSYcCVMrCJBmdQ"",""DRP for 8 products!B:E""),4,0)"),6.0)</f>
        <v>6</v>
      </c>
      <c r="J804" s="8" t="str">
        <f t="shared" si="1"/>
        <v>Tier 4</v>
      </c>
      <c r="K804" s="9" t="str">
        <f t="shared" si="2"/>
        <v>Active</v>
      </c>
      <c r="L804" s="4" t="str">
        <f>IFERROR(__xludf.DUMMYFUNCTION("vlookup(C804,importrange(""1kw74ismGU34AsZ5x-W4x7F3Zt2xc8NSYcCVMrCJBmdQ"",""DRP for 8 products!B:H""),6,0)"),"BigQuery")</f>
        <v>BigQuery</v>
      </c>
      <c r="M804" s="10" t="str">
        <f t="shared" si="3"/>
        <v>Yes</v>
      </c>
    </row>
    <row r="805">
      <c r="A805" s="4" t="str">
        <f>IFERROR(__xludf.DUMMYFUNCTION("vlookup(C805,IMPORTRANGE(""1Kgoo8qyo6zMtf_5B03ksZz228jg0XpZ4_KXsdHQ4Vks"",""14 Sept!A:B""),2,0)"),"DME2969")</f>
        <v>DME2969</v>
      </c>
      <c r="B805" s="5" t="str">
        <f>IFERROR(__xludf.DUMMYFUNCTION("""COMPUTED_VALUE"""),"Prasad Wandhekar")</f>
        <v>Prasad Wandhekar</v>
      </c>
      <c r="C805" s="5" t="str">
        <f>IFERROR(__xludf.DUMMYFUNCTION("""COMPUTED_VALUE"""),"prasad.wandhekar@onixnet.com")</f>
        <v>prasad.wandhekar@onixnet.com</v>
      </c>
      <c r="D805" s="4" t="s">
        <v>11</v>
      </c>
      <c r="E805" s="6" t="str">
        <f>IFERROR(__xludf.DUMMYFUNCTION("vlookup($A805,importrange(""1fyGnaViAX9kns28pvsfPvI9925sAI7kxPlM7jpuHVJM"",""Validation!A:Z""),11,0)"),"Delivery Services")</f>
        <v>Delivery Services</v>
      </c>
      <c r="F805" s="6" t="str">
        <f>IFERROR(__xludf.DUMMYFUNCTION("vlookup($A805,importrange(""1fyGnaViAX9kns28pvsfPvI9925sAI7kxPlM7jpuHVJM"",""Validation!A:Z""),23,0)"),"Vishal Khare")</f>
        <v>Vishal Khare</v>
      </c>
      <c r="G805" s="6" t="str">
        <f>IFERROR(__xludf.DUMMYFUNCTION("vlookup(A805,importrange(""1fyGnaViAX9kns28pvsfPvI9925sAI7kxPlM7jpuHVJM"",""Validation!A:Z""),22,0)"),"Cluster - Sagar")</f>
        <v>Cluster - Sagar</v>
      </c>
      <c r="H805" s="4" t="str">
        <f>IFERROR(__xludf.DUMMYFUNCTION("vlookup(C805,importrange(""1kw74ismGU34AsZ5x-W4x7F3Zt2xc8NSYcCVMrCJBmdQ"",""DRP for 8 products!B:C""),2,0)"),"ONIPWBDL9")</f>
        <v>ONIPWBDL9</v>
      </c>
      <c r="I805" s="7">
        <f>IFERROR(__xludf.DUMMYFUNCTION("vlookup(C805,importrange(""1kw74ismGU34AsZ5x-W4x7F3Zt2xc8NSYcCVMrCJBmdQ"",""DRP for 8 products!B:E""),4,0)"),11.0)</f>
        <v>11</v>
      </c>
      <c r="J805" s="8" t="str">
        <f t="shared" si="1"/>
        <v>Tier 4</v>
      </c>
      <c r="K805" s="9" t="str">
        <f t="shared" si="2"/>
        <v>Active</v>
      </c>
      <c r="L805" s="4" t="str">
        <f>IFERROR(__xludf.DUMMYFUNCTION("vlookup(C805,importrange(""1kw74ismGU34AsZ5x-W4x7F3Zt2xc8NSYcCVMrCJBmdQ"",""DRP for 8 products!B:H""),6,0)"),"BigQuery")</f>
        <v>BigQuery</v>
      </c>
      <c r="M805" s="10" t="str">
        <f t="shared" si="3"/>
        <v>Yes</v>
      </c>
    </row>
    <row r="806">
      <c r="A806" s="4" t="str">
        <f>IFERROR(__xludf.DUMMYFUNCTION("vlookup(C806,IMPORTRANGE(""1Kgoo8qyo6zMtf_5B03ksZz228jg0XpZ4_KXsdHQ4Vks"",""14 Sept!A:B""),2,0)"),"DME2387")</f>
        <v>DME2387</v>
      </c>
      <c r="B806" s="5" t="str">
        <f>IFERROR(__xludf.DUMMYFUNCTION("""COMPUTED_VALUE"""),"Saurabh Naikwadi")</f>
        <v>Saurabh Naikwadi</v>
      </c>
      <c r="C806" s="5" t="str">
        <f>IFERROR(__xludf.DUMMYFUNCTION("""COMPUTED_VALUE"""),"saurabh.naikwadi@onixnet.com")</f>
        <v>saurabh.naikwadi@onixnet.com</v>
      </c>
      <c r="D806" s="4" t="s">
        <v>11</v>
      </c>
      <c r="E806" s="6" t="str">
        <f>IFERROR(__xludf.DUMMYFUNCTION("vlookup($A806,importrange(""1fyGnaViAX9kns28pvsfPvI9925sAI7kxPlM7jpuHVJM"",""Validation!A:Z""),11,0)"),"Delivery Services")</f>
        <v>Delivery Services</v>
      </c>
      <c r="F806" s="6" t="str">
        <f>IFERROR(__xludf.DUMMYFUNCTION("vlookup($A806,importrange(""1fyGnaViAX9kns28pvsfPvI9925sAI7kxPlM7jpuHVJM"",""Validation!A:Z""),23,0)"),"Vishal Khare")</f>
        <v>Vishal Khare</v>
      </c>
      <c r="G806" s="6" t="str">
        <f>IFERROR(__xludf.DUMMYFUNCTION("vlookup(A806,importrange(""1fyGnaViAX9kns28pvsfPvI9925sAI7kxPlM7jpuHVJM"",""Validation!A:Z""),22,0)"),"Cluster - Sagar")</f>
        <v>Cluster - Sagar</v>
      </c>
      <c r="H806" s="4" t="str">
        <f>IFERROR(__xludf.DUMMYFUNCTION("vlookup(C806,importrange(""1kw74ismGU34AsZ5x-W4x7F3Zt2xc8NSYcCVMrCJBmdQ"",""DRP for 8 products!B:C""),2,0)"),"ONISNGBB6")</f>
        <v>ONISNGBB6</v>
      </c>
      <c r="I806" s="7">
        <f>IFERROR(__xludf.DUMMYFUNCTION("vlookup(C806,importrange(""1kw74ismGU34AsZ5x-W4x7F3Zt2xc8NSYcCVMrCJBmdQ"",""DRP for 8 products!B:E""),4,0)"),33.0)</f>
        <v>33</v>
      </c>
      <c r="J806" s="8" t="str">
        <f t="shared" si="1"/>
        <v>Tier 3</v>
      </c>
      <c r="K806" s="9" t="str">
        <f t="shared" si="2"/>
        <v>Active</v>
      </c>
      <c r="L806" s="4" t="str">
        <f>IFERROR(__xludf.DUMMYFUNCTION("vlookup(C806,importrange(""1kw74ismGU34AsZ5x-W4x7F3Zt2xc8NSYcCVMrCJBmdQ"",""DRP for 8 products!B:H""),6,0)"),"BigQuery")</f>
        <v>BigQuery</v>
      </c>
      <c r="M806" s="10" t="str">
        <f t="shared" si="3"/>
        <v>Yes</v>
      </c>
    </row>
    <row r="807">
      <c r="A807" s="4" t="str">
        <f>IFERROR(__xludf.DUMMYFUNCTION("vlookup(C807,IMPORTRANGE(""1Kgoo8qyo6zMtf_5B03ksZz228jg0XpZ4_KXsdHQ4Vks"",""14 Sept!A:B""),2,0)"),"DME1359")</f>
        <v>DME1359</v>
      </c>
      <c r="B807" s="5" t="str">
        <f>IFERROR(__xludf.DUMMYFUNCTION("""COMPUTED_VALUE"""),"Trupti Pawar")</f>
        <v>Trupti Pawar</v>
      </c>
      <c r="C807" s="5" t="str">
        <f>IFERROR(__xludf.DUMMYFUNCTION("""COMPUTED_VALUE"""),"trupti.pawar@onixnet.com")</f>
        <v>trupti.pawar@onixnet.com</v>
      </c>
      <c r="D807" s="4" t="s">
        <v>11</v>
      </c>
      <c r="E807" s="6" t="str">
        <f>IFERROR(__xludf.DUMMYFUNCTION("vlookup($A807,importrange(""1fyGnaViAX9kns28pvsfPvI9925sAI7kxPlM7jpuHVJM"",""Validation!A:Z""),11,0)"),"Delivery Services")</f>
        <v>Delivery Services</v>
      </c>
      <c r="F807" s="6" t="str">
        <f>IFERROR(__xludf.DUMMYFUNCTION("vlookup($A807,importrange(""1fyGnaViAX9kns28pvsfPvI9925sAI7kxPlM7jpuHVJM"",""Validation!A:Z""),23,0)"),"Shreyas Meshram")</f>
        <v>Shreyas Meshram</v>
      </c>
      <c r="G807" s="6" t="str">
        <f>IFERROR(__xludf.DUMMYFUNCTION("vlookup(A807,importrange(""1fyGnaViAX9kns28pvsfPvI9925sAI7kxPlM7jpuHVJM"",""Validation!A:Z""),22,0)"),"Cluster - Gaurav")</f>
        <v>Cluster - Gaurav</v>
      </c>
      <c r="H807" s="4" t="str">
        <f>IFERROR(__xludf.DUMMYFUNCTION("vlookup(C807,importrange(""1kw74ismGU34AsZ5x-W4x7F3Zt2xc8NSYcCVMrCJBmdQ"",""DRP for 8 products!B:C""),2,0)"),"ONITPNPY7")</f>
        <v>ONITPNPY7</v>
      </c>
      <c r="I807" s="7">
        <f>IFERROR(__xludf.DUMMYFUNCTION("vlookup(C807,importrange(""1kw74ismGU34AsZ5x-W4x7F3Zt2xc8NSYcCVMrCJBmdQ"",""DRP for 8 products!B:E""),4,0)"),15.0)</f>
        <v>15</v>
      </c>
      <c r="J807" s="8" t="str">
        <f t="shared" si="1"/>
        <v>Tier 4</v>
      </c>
      <c r="K807" s="9" t="str">
        <f t="shared" si="2"/>
        <v>Active</v>
      </c>
      <c r="L807" s="4" t="str">
        <f>IFERROR(__xludf.DUMMYFUNCTION("vlookup(C807,importrange(""1kw74ismGU34AsZ5x-W4x7F3Zt2xc8NSYcCVMrCJBmdQ"",""DRP for 8 products!B:H""),6,0)"),"BigQuery")</f>
        <v>BigQuery</v>
      </c>
      <c r="M807" s="10" t="str">
        <f t="shared" si="3"/>
        <v>Yes</v>
      </c>
    </row>
    <row r="808">
      <c r="B808" s="11" t="str">
        <f>IFERROR(__xludf.DUMMYFUNCTION("""COMPUTED_VALUE"""),"Pranita Gadekar")</f>
        <v>Pranita Gadekar</v>
      </c>
      <c r="C808" s="11" t="str">
        <f>IFERROR(__xludf.DUMMYFUNCTION("""COMPUTED_VALUE"""),"pranita.gadekar@onixnet.com")</f>
        <v>pranita.gadekar@onixnet.com</v>
      </c>
      <c r="I808" s="12"/>
    </row>
    <row r="809">
      <c r="B809" s="11" t="str">
        <f>IFERROR(__xludf.DUMMYFUNCTION("""COMPUTED_VALUE"""),"Pooja Kore")</f>
        <v>Pooja Kore</v>
      </c>
      <c r="C809" s="11" t="str">
        <f>IFERROR(__xludf.DUMMYFUNCTION("""COMPUTED_VALUE"""),"pooja.kore@onixnet.com")</f>
        <v>pooja.kore@onixnet.com</v>
      </c>
      <c r="I809" s="12"/>
    </row>
    <row r="810">
      <c r="B810" s="11" t="str">
        <f>IFERROR(__xludf.DUMMYFUNCTION("""COMPUTED_VALUE"""),"Shivangi Safai")</f>
        <v>Shivangi Safai</v>
      </c>
      <c r="C810" s="11" t="str">
        <f>IFERROR(__xludf.DUMMYFUNCTION("""COMPUTED_VALUE"""),"shivangi.safai@onixnet.com")</f>
        <v>shivangi.safai@onixnet.com</v>
      </c>
      <c r="I810" s="12"/>
    </row>
    <row r="811">
      <c r="B811" s="11" t="str">
        <f>IFERROR(__xludf.DUMMYFUNCTION("""COMPUTED_VALUE"""),"Bhanu Siva Prasad Porapu")</f>
        <v>Bhanu Siva Prasad Porapu</v>
      </c>
      <c r="C811" s="11" t="str">
        <f>IFERROR(__xludf.DUMMYFUNCTION("""COMPUTED_VALUE"""),"bhanu.porapu@onixnet.com")</f>
        <v>bhanu.porapu@onixnet.com</v>
      </c>
      <c r="I811" s="12"/>
    </row>
    <row r="812">
      <c r="B812" s="11" t="str">
        <f>IFERROR(__xludf.DUMMYFUNCTION("""COMPUTED_VALUE"""),"Ashok Kumar Sadupati")</f>
        <v>Ashok Kumar Sadupati</v>
      </c>
      <c r="C812" s="11" t="str">
        <f>IFERROR(__xludf.DUMMYFUNCTION("""COMPUTED_VALUE"""),"ashok.sadupati@onixnet.com")</f>
        <v>ashok.sadupati@onixnet.com</v>
      </c>
      <c r="I812" s="12"/>
    </row>
    <row r="813">
      <c r="B813" s="11" t="str">
        <f>IFERROR(__xludf.DUMMYFUNCTION("""COMPUTED_VALUE"""),"Venkata Rami Reddy Gangasani")</f>
        <v>Venkata Rami Reddy Gangasani</v>
      </c>
      <c r="C813" s="11" t="str">
        <f>IFERROR(__xludf.DUMMYFUNCTION("""COMPUTED_VALUE"""),"venkatarami.gangasani@onixnet.com")</f>
        <v>venkatarami.gangasani@onixnet.com</v>
      </c>
      <c r="I813" s="12"/>
    </row>
    <row r="814">
      <c r="B814" s="11" t="str">
        <f>IFERROR(__xludf.DUMMYFUNCTION("""COMPUTED_VALUE"""),"Arpana Shetty")</f>
        <v>Arpana Shetty</v>
      </c>
      <c r="C814" s="11" t="str">
        <f>IFERROR(__xludf.DUMMYFUNCTION("""COMPUTED_VALUE"""),"arpana.shetty@onixnet.com")</f>
        <v>arpana.shetty@onixnet.com</v>
      </c>
      <c r="I814" s="12"/>
    </row>
    <row r="815">
      <c r="B815" s="11" t="str">
        <f>IFERROR(__xludf.DUMMYFUNCTION("""COMPUTED_VALUE"""),"Karunakara GS")</f>
        <v>Karunakara GS</v>
      </c>
      <c r="C815" s="11" t="str">
        <f>IFERROR(__xludf.DUMMYFUNCTION("""COMPUTED_VALUE"""),"karunakara.gs@onixnet.com")</f>
        <v>karunakara.gs@onixnet.com</v>
      </c>
      <c r="I815" s="12"/>
    </row>
    <row r="816">
      <c r="B816" s="11" t="str">
        <f>IFERROR(__xludf.DUMMYFUNCTION("""COMPUTED_VALUE"""),"Omkar Aher")</f>
        <v>Omkar Aher</v>
      </c>
      <c r="C816" s="11" t="str">
        <f>IFERROR(__xludf.DUMMYFUNCTION("""COMPUTED_VALUE"""),"omkar.aher@onixnet.com")</f>
        <v>omkar.aher@onixnet.com</v>
      </c>
      <c r="I816" s="12"/>
    </row>
    <row r="817">
      <c r="B817" s="11" t="str">
        <f>IFERROR(__xludf.DUMMYFUNCTION("""COMPUTED_VALUE"""),"Vinay Mishra")</f>
        <v>Vinay Mishra</v>
      </c>
      <c r="C817" s="11" t="str">
        <f>IFERROR(__xludf.DUMMYFUNCTION("""COMPUTED_VALUE"""),"vinay.mishra@onixnet.com")</f>
        <v>vinay.mishra@onixnet.com</v>
      </c>
      <c r="I817" s="12"/>
    </row>
    <row r="818">
      <c r="B818" s="11" t="str">
        <f>IFERROR(__xludf.DUMMYFUNCTION("""COMPUTED_VALUE"""),"Bassam Khan")</f>
        <v>Bassam Khan</v>
      </c>
      <c r="C818" s="11" t="str">
        <f>IFERROR(__xludf.DUMMYFUNCTION("""COMPUTED_VALUE"""),"bassam.khan@onixnet.com")</f>
        <v>bassam.khan@onixnet.com</v>
      </c>
      <c r="I818" s="12"/>
    </row>
    <row r="819">
      <c r="B819" s="11" t="str">
        <f>IFERROR(__xludf.DUMMYFUNCTION("""COMPUTED_VALUE"""),"Haroon Azeem")</f>
        <v>Haroon Azeem</v>
      </c>
      <c r="C819" s="11" t="str">
        <f>IFERROR(__xludf.DUMMYFUNCTION("""COMPUTED_VALUE"""),"haroon.azeem@onixnet.com")</f>
        <v>haroon.azeem@onixnet.com</v>
      </c>
      <c r="I819" s="12"/>
    </row>
    <row r="820">
      <c r="B820" s="11" t="str">
        <f>IFERROR(__xludf.DUMMYFUNCTION("""COMPUTED_VALUE"""),"Dilip Pawar")</f>
        <v>Dilip Pawar</v>
      </c>
      <c r="C820" s="11" t="str">
        <f>IFERROR(__xludf.DUMMYFUNCTION("""COMPUTED_VALUE"""),"dilip.pawar@onixnet.com")</f>
        <v>dilip.pawar@onixnet.com</v>
      </c>
      <c r="I820" s="12"/>
    </row>
    <row r="821">
      <c r="B821" s="11" t="str">
        <f>IFERROR(__xludf.DUMMYFUNCTION("""COMPUTED_VALUE"""),"Dhanraj Dmade")</f>
        <v>Dhanraj Dmade</v>
      </c>
      <c r="C821" s="11" t="str">
        <f>IFERROR(__xludf.DUMMYFUNCTION("""COMPUTED_VALUE"""),"dhanraj.dmade@onixnet.com")</f>
        <v>dhanraj.dmade@onixnet.com</v>
      </c>
      <c r="I821" s="12"/>
    </row>
    <row r="822">
      <c r="B822" s="11" t="str">
        <f>IFERROR(__xludf.DUMMYFUNCTION("""COMPUTED_VALUE"""),"Anagha Kulkarni")</f>
        <v>Anagha Kulkarni</v>
      </c>
      <c r="C822" s="11" t="str">
        <f>IFERROR(__xludf.DUMMYFUNCTION("""COMPUTED_VALUE"""),"anagha.kulkarni@onixnet.com")</f>
        <v>anagha.kulkarni@onixnet.com</v>
      </c>
      <c r="I822" s="12"/>
    </row>
    <row r="823">
      <c r="B823" s="11" t="str">
        <f>IFERROR(__xludf.DUMMYFUNCTION("""COMPUTED_VALUE"""),"Rahul Singh")</f>
        <v>Rahul Singh</v>
      </c>
      <c r="C823" s="11" t="str">
        <f>IFERROR(__xludf.DUMMYFUNCTION("""COMPUTED_VALUE"""),"rahul.singh@onixnet.com")</f>
        <v>rahul.singh@onixnet.com</v>
      </c>
      <c r="I823" s="12"/>
    </row>
    <row r="824">
      <c r="B824" s="11" t="str">
        <f>IFERROR(__xludf.DUMMYFUNCTION("""COMPUTED_VALUE"""),"Shatakshi Nawale")</f>
        <v>Shatakshi Nawale</v>
      </c>
      <c r="C824" s="11" t="str">
        <f>IFERROR(__xludf.DUMMYFUNCTION("""COMPUTED_VALUE"""),"shatakshi.nawale@onixnet.com")</f>
        <v>shatakshi.nawale@onixnet.com</v>
      </c>
      <c r="I824" s="12"/>
    </row>
    <row r="825">
      <c r="B825" s="11" t="str">
        <f>IFERROR(__xludf.DUMMYFUNCTION("""COMPUTED_VALUE"""),"VENKATA SIVA GANESH YADAV KORRAYI")</f>
        <v>VENKATA SIVA GANESH YADAV KORRAYI</v>
      </c>
      <c r="C825" s="11" t="str">
        <f>IFERROR(__xludf.DUMMYFUNCTION("""COMPUTED_VALUE"""),"ganesh.korrayi@onixnet.com")</f>
        <v>ganesh.korrayi@onixnet.com</v>
      </c>
      <c r="I825" s="12"/>
    </row>
    <row r="826">
      <c r="B826" s="11" t="str">
        <f>IFERROR(__xludf.DUMMYFUNCTION("""COMPUTED_VALUE"""),"Aditya Rathore")</f>
        <v>Aditya Rathore</v>
      </c>
      <c r="C826" s="11" t="str">
        <f>IFERROR(__xludf.DUMMYFUNCTION("""COMPUTED_VALUE"""),"aditya.rathore@onixnet.com")</f>
        <v>aditya.rathore@onixnet.com</v>
      </c>
      <c r="I826" s="12"/>
    </row>
    <row r="827">
      <c r="B827" s="11" t="str">
        <f>IFERROR(__xludf.DUMMYFUNCTION("""COMPUTED_VALUE"""),"Amish Ojha")</f>
        <v>Amish Ojha</v>
      </c>
      <c r="C827" s="11" t="str">
        <f>IFERROR(__xludf.DUMMYFUNCTION("""COMPUTED_VALUE"""),"amish.ojha@onixnet.com")</f>
        <v>amish.ojha@onixnet.com</v>
      </c>
      <c r="I827" s="12"/>
    </row>
    <row r="828">
      <c r="B828" s="11" t="str">
        <f>IFERROR(__xludf.DUMMYFUNCTION("""COMPUTED_VALUE"""),"Bhushan Dharamkar")</f>
        <v>Bhushan Dharamkar</v>
      </c>
      <c r="C828" s="11" t="str">
        <f>IFERROR(__xludf.DUMMYFUNCTION("""COMPUTED_VALUE"""),"bhushan.d@onixnet.com")</f>
        <v>bhushan.d@onixnet.com</v>
      </c>
      <c r="I828" s="12"/>
    </row>
    <row r="829">
      <c r="B829" s="11" t="str">
        <f>IFERROR(__xludf.DUMMYFUNCTION("""COMPUTED_VALUE"""),"Sri snigdha chandra Yamala")</f>
        <v>Sri snigdha chandra Yamala</v>
      </c>
      <c r="C829" s="11" t="str">
        <f>IFERROR(__xludf.DUMMYFUNCTION("""COMPUTED_VALUE"""),"snigdha.chandra@onixnet.com")</f>
        <v>snigdha.chandra@onixnet.com</v>
      </c>
      <c r="I829" s="12"/>
    </row>
    <row r="830">
      <c r="B830" s="11" t="str">
        <f>IFERROR(__xludf.DUMMYFUNCTION("""COMPUTED_VALUE"""),"Ashish Kadam")</f>
        <v>Ashish Kadam</v>
      </c>
      <c r="C830" s="11" t="str">
        <f>IFERROR(__xludf.DUMMYFUNCTION("""COMPUTED_VALUE"""),"ashish.kadam@onixnet.com")</f>
        <v>ashish.kadam@onixnet.com</v>
      </c>
      <c r="I830" s="12"/>
    </row>
    <row r="831">
      <c r="B831" s="11" t="str">
        <f>IFERROR(__xludf.DUMMYFUNCTION("""COMPUTED_VALUE"""),"Himanshu tripathi")</f>
        <v>Himanshu tripathi</v>
      </c>
      <c r="C831" s="11" t="str">
        <f>IFERROR(__xludf.DUMMYFUNCTION("""COMPUTED_VALUE"""),"himanshu.tripathi@onixnet.com")</f>
        <v>himanshu.tripathi@onixnet.com</v>
      </c>
      <c r="I831" s="12"/>
    </row>
    <row r="832">
      <c r="B832" s="11" t="str">
        <f>IFERROR(__xludf.DUMMYFUNCTION("""COMPUTED_VALUE"""),"Sachin Pokharia")</f>
        <v>Sachin Pokharia</v>
      </c>
      <c r="C832" s="11" t="str">
        <f>IFERROR(__xludf.DUMMYFUNCTION("""COMPUTED_VALUE"""),"sachin.pokharia@onixnet.com")</f>
        <v>sachin.pokharia@onixnet.com</v>
      </c>
      <c r="I832" s="12"/>
    </row>
    <row r="833">
      <c r="B833" s="11" t="str">
        <f>IFERROR(__xludf.DUMMYFUNCTION("""COMPUTED_VALUE"""),"Vaishnavi Sakhare")</f>
        <v>Vaishnavi Sakhare</v>
      </c>
      <c r="C833" s="11" t="str">
        <f>IFERROR(__xludf.DUMMYFUNCTION("""COMPUTED_VALUE"""),"vaishnavi.sakhare@onixnet.com")</f>
        <v>vaishnavi.sakhare@onixnet.com</v>
      </c>
      <c r="I833" s="12"/>
    </row>
    <row r="834">
      <c r="B834" s="11" t="str">
        <f>IFERROR(__xludf.DUMMYFUNCTION("""COMPUTED_VALUE"""),"Anitha Kumari M S")</f>
        <v>Anitha Kumari M S</v>
      </c>
      <c r="C834" s="11" t="str">
        <f>IFERROR(__xludf.DUMMYFUNCTION("""COMPUTED_VALUE"""),"anitha.ms@onixnet.com")</f>
        <v>anitha.ms@onixnet.com</v>
      </c>
      <c r="I834" s="12"/>
    </row>
    <row r="835">
      <c r="I835" s="12"/>
    </row>
    <row r="836">
      <c r="I836" s="12"/>
    </row>
    <row r="837">
      <c r="I837" s="12"/>
    </row>
    <row r="838">
      <c r="I838" s="12"/>
    </row>
    <row r="839">
      <c r="I839" s="12"/>
    </row>
    <row r="840">
      <c r="I840" s="12"/>
    </row>
    <row r="841">
      <c r="I841" s="12"/>
    </row>
    <row r="842">
      <c r="I842" s="12"/>
    </row>
    <row r="843">
      <c r="I843" s="12"/>
    </row>
    <row r="844">
      <c r="I844" s="12"/>
    </row>
    <row r="845">
      <c r="I845" s="12"/>
    </row>
    <row r="846">
      <c r="I846" s="12"/>
    </row>
    <row r="847">
      <c r="I847" s="12"/>
    </row>
    <row r="848">
      <c r="I848" s="12"/>
    </row>
    <row r="849">
      <c r="I849" s="12"/>
    </row>
    <row r="850">
      <c r="I850" s="12"/>
    </row>
    <row r="851">
      <c r="I851" s="12"/>
    </row>
    <row r="852">
      <c r="I852" s="12"/>
    </row>
    <row r="853">
      <c r="I853" s="12"/>
    </row>
    <row r="854">
      <c r="I854" s="12"/>
    </row>
    <row r="855">
      <c r="I855" s="12"/>
    </row>
    <row r="856">
      <c r="I856" s="12"/>
    </row>
    <row r="857">
      <c r="I857" s="12"/>
    </row>
    <row r="858">
      <c r="I858" s="12"/>
    </row>
    <row r="859">
      <c r="I859" s="12"/>
    </row>
    <row r="860">
      <c r="I860" s="12"/>
    </row>
    <row r="861">
      <c r="I861" s="12"/>
    </row>
    <row r="862">
      <c r="I862" s="12"/>
    </row>
    <row r="863">
      <c r="I863" s="12"/>
    </row>
    <row r="864">
      <c r="I864" s="12"/>
    </row>
    <row r="865">
      <c r="I865" s="12"/>
    </row>
    <row r="866">
      <c r="I866" s="12"/>
    </row>
    <row r="867">
      <c r="I867" s="12"/>
    </row>
    <row r="868">
      <c r="I868" s="12"/>
    </row>
    <row r="869">
      <c r="I869" s="12"/>
    </row>
    <row r="870">
      <c r="I870" s="12"/>
    </row>
    <row r="871">
      <c r="I871" s="12"/>
    </row>
    <row r="872">
      <c r="I872" s="12"/>
    </row>
    <row r="873">
      <c r="I873" s="12"/>
    </row>
    <row r="874">
      <c r="I874" s="12"/>
    </row>
    <row r="875">
      <c r="I875" s="12"/>
    </row>
    <row r="876">
      <c r="I876" s="12"/>
    </row>
    <row r="877">
      <c r="I877" s="12"/>
    </row>
    <row r="878">
      <c r="I878" s="12"/>
    </row>
    <row r="879">
      <c r="I879" s="12"/>
    </row>
    <row r="880">
      <c r="I880" s="12"/>
    </row>
    <row r="881">
      <c r="I881" s="12"/>
    </row>
    <row r="882">
      <c r="I882" s="12"/>
    </row>
    <row r="883">
      <c r="I883" s="12"/>
    </row>
    <row r="884">
      <c r="I884" s="12"/>
    </row>
    <row r="885">
      <c r="I885" s="12"/>
    </row>
    <row r="886">
      <c r="I886" s="12"/>
    </row>
    <row r="887">
      <c r="I887" s="12"/>
    </row>
    <row r="888">
      <c r="I888" s="12"/>
    </row>
    <row r="889">
      <c r="I889" s="12"/>
    </row>
    <row r="890">
      <c r="I890" s="12"/>
    </row>
    <row r="891">
      <c r="I891" s="12"/>
    </row>
    <row r="892">
      <c r="I892" s="12"/>
    </row>
    <row r="893">
      <c r="I893" s="12"/>
    </row>
    <row r="894">
      <c r="I894" s="12"/>
    </row>
    <row r="895">
      <c r="I895" s="12"/>
    </row>
    <row r="896">
      <c r="I896" s="12"/>
    </row>
    <row r="897">
      <c r="I897" s="12"/>
    </row>
    <row r="898">
      <c r="I898" s="12"/>
    </row>
    <row r="899">
      <c r="I899" s="12"/>
    </row>
    <row r="900">
      <c r="I900" s="12"/>
    </row>
    <row r="901">
      <c r="I901" s="12"/>
    </row>
    <row r="902">
      <c r="I902" s="12"/>
    </row>
    <row r="903">
      <c r="I903" s="12"/>
    </row>
    <row r="904">
      <c r="I904" s="12"/>
    </row>
    <row r="905">
      <c r="I905" s="12"/>
    </row>
    <row r="906">
      <c r="I906" s="12"/>
    </row>
    <row r="907">
      <c r="I907" s="12"/>
    </row>
    <row r="908">
      <c r="I908" s="12"/>
    </row>
    <row r="909">
      <c r="I909" s="12"/>
    </row>
    <row r="910">
      <c r="I910" s="12"/>
    </row>
    <row r="911">
      <c r="I911" s="12"/>
    </row>
    <row r="912">
      <c r="I912" s="12"/>
    </row>
    <row r="913">
      <c r="I913" s="12"/>
    </row>
    <row r="914">
      <c r="I914" s="12"/>
    </row>
    <row r="915">
      <c r="I915" s="12"/>
    </row>
    <row r="916">
      <c r="I916" s="12"/>
    </row>
    <row r="917">
      <c r="I917" s="12"/>
    </row>
    <row r="918">
      <c r="I918" s="12"/>
    </row>
    <row r="919">
      <c r="I919" s="12"/>
    </row>
    <row r="920">
      <c r="I920" s="12"/>
    </row>
    <row r="921">
      <c r="I921" s="12"/>
    </row>
    <row r="922">
      <c r="I922" s="12"/>
    </row>
    <row r="923">
      <c r="I923" s="12"/>
    </row>
    <row r="924">
      <c r="I924" s="12"/>
    </row>
    <row r="925">
      <c r="I925" s="12"/>
    </row>
    <row r="926">
      <c r="I926" s="12"/>
    </row>
    <row r="927">
      <c r="I927" s="12"/>
    </row>
    <row r="928">
      <c r="I928" s="12"/>
    </row>
    <row r="929">
      <c r="I929" s="12"/>
    </row>
    <row r="930">
      <c r="I930" s="12"/>
    </row>
    <row r="931">
      <c r="I931" s="12"/>
    </row>
    <row r="932">
      <c r="I932" s="12"/>
    </row>
    <row r="933">
      <c r="I933" s="12"/>
    </row>
    <row r="934">
      <c r="I934" s="12"/>
    </row>
    <row r="935">
      <c r="I935" s="12"/>
    </row>
    <row r="936">
      <c r="I936" s="12"/>
    </row>
    <row r="937">
      <c r="I937" s="12"/>
    </row>
    <row r="938">
      <c r="I938" s="12"/>
    </row>
    <row r="939">
      <c r="I939" s="12"/>
    </row>
    <row r="940">
      <c r="I940" s="12"/>
    </row>
    <row r="941">
      <c r="I941" s="12"/>
    </row>
    <row r="942">
      <c r="I942" s="12"/>
    </row>
    <row r="943">
      <c r="I943" s="12"/>
    </row>
    <row r="944">
      <c r="I944" s="12"/>
    </row>
    <row r="945">
      <c r="I945" s="12"/>
    </row>
    <row r="946">
      <c r="I946" s="12"/>
    </row>
    <row r="947">
      <c r="I947" s="12"/>
    </row>
    <row r="948">
      <c r="I948" s="12"/>
    </row>
    <row r="949">
      <c r="I949" s="12"/>
    </row>
    <row r="950">
      <c r="I950" s="12"/>
    </row>
    <row r="951">
      <c r="I951" s="12"/>
    </row>
    <row r="952">
      <c r="I952" s="12"/>
    </row>
    <row r="953">
      <c r="I953" s="12"/>
    </row>
    <row r="954">
      <c r="I954" s="12"/>
    </row>
    <row r="955">
      <c r="I955" s="12"/>
    </row>
    <row r="956">
      <c r="I956" s="12"/>
    </row>
    <row r="957">
      <c r="I957" s="12"/>
    </row>
    <row r="958">
      <c r="I958" s="12"/>
    </row>
    <row r="959">
      <c r="I959" s="12"/>
    </row>
    <row r="960">
      <c r="I960" s="12"/>
    </row>
    <row r="961">
      <c r="I961" s="12"/>
    </row>
    <row r="962">
      <c r="I962" s="12"/>
    </row>
    <row r="963">
      <c r="I963" s="12"/>
    </row>
    <row r="964">
      <c r="I964" s="12"/>
    </row>
    <row r="965">
      <c r="I965" s="12"/>
    </row>
    <row r="966">
      <c r="I966" s="12"/>
    </row>
    <row r="967">
      <c r="I967" s="12"/>
    </row>
    <row r="968">
      <c r="I968" s="12"/>
    </row>
    <row r="969">
      <c r="I969" s="12"/>
    </row>
    <row r="970">
      <c r="I970" s="12"/>
    </row>
    <row r="971">
      <c r="I971" s="12"/>
    </row>
    <row r="972">
      <c r="I972" s="12"/>
    </row>
    <row r="973">
      <c r="I973" s="12"/>
    </row>
    <row r="974">
      <c r="I974" s="12"/>
    </row>
    <row r="975">
      <c r="I975" s="12"/>
    </row>
    <row r="976">
      <c r="I976" s="12"/>
    </row>
    <row r="977">
      <c r="I977" s="12"/>
    </row>
    <row r="978">
      <c r="I978" s="12"/>
    </row>
    <row r="979">
      <c r="I979" s="12"/>
    </row>
    <row r="980">
      <c r="I980" s="12"/>
    </row>
    <row r="981">
      <c r="I981" s="12"/>
    </row>
    <row r="982">
      <c r="I982" s="12"/>
    </row>
    <row r="983">
      <c r="I983" s="12"/>
    </row>
    <row r="984">
      <c r="I984" s="12"/>
    </row>
    <row r="985">
      <c r="I985" s="12"/>
    </row>
    <row r="986">
      <c r="I986" s="12"/>
    </row>
    <row r="987">
      <c r="I987" s="12"/>
    </row>
    <row r="988">
      <c r="I988" s="12"/>
    </row>
    <row r="989">
      <c r="I989" s="12"/>
    </row>
    <row r="990">
      <c r="I990" s="12"/>
    </row>
    <row r="991">
      <c r="I991" s="12"/>
    </row>
    <row r="992">
      <c r="I992" s="12"/>
    </row>
    <row r="993">
      <c r="I993" s="12"/>
    </row>
    <row r="994">
      <c r="I994" s="12"/>
    </row>
    <row r="995">
      <c r="I995" s="12"/>
    </row>
    <row r="996">
      <c r="I996" s="12"/>
    </row>
    <row r="997">
      <c r="I997" s="12"/>
    </row>
    <row r="998">
      <c r="I998" s="12"/>
    </row>
    <row r="999">
      <c r="I999" s="12"/>
    </row>
    <row r="1000">
      <c r="I1000" s="12"/>
    </row>
    <row r="1001">
      <c r="I1001" s="12"/>
    </row>
    <row r="1002">
      <c r="I1002" s="12"/>
    </row>
    <row r="1003">
      <c r="I1003" s="12"/>
    </row>
    <row r="1004">
      <c r="I1004" s="12"/>
    </row>
    <row r="1005">
      <c r="I1005" s="12"/>
    </row>
    <row r="1006">
      <c r="I1006" s="12"/>
    </row>
    <row r="1007">
      <c r="I1007" s="12"/>
    </row>
    <row r="1008">
      <c r="I1008" s="12"/>
    </row>
    <row r="1009">
      <c r="I1009" s="12"/>
    </row>
    <row r="1010">
      <c r="I1010" s="12"/>
    </row>
    <row r="1011">
      <c r="I1011" s="12"/>
    </row>
    <row r="1012">
      <c r="I1012" s="12"/>
    </row>
    <row r="1013">
      <c r="I1013" s="12"/>
    </row>
    <row r="1014">
      <c r="I1014" s="12"/>
    </row>
    <row r="1015">
      <c r="I1015" s="12"/>
    </row>
    <row r="1016">
      <c r="I1016" s="12"/>
    </row>
    <row r="1017">
      <c r="I1017" s="12"/>
    </row>
    <row r="1018">
      <c r="I1018" s="12"/>
    </row>
    <row r="1019">
      <c r="I1019" s="12"/>
    </row>
    <row r="1020">
      <c r="I1020" s="12"/>
    </row>
    <row r="1021">
      <c r="I1021" s="12"/>
    </row>
    <row r="1022">
      <c r="I1022" s="12"/>
    </row>
    <row r="1023">
      <c r="I1023" s="12"/>
    </row>
    <row r="1024">
      <c r="I1024" s="12"/>
    </row>
    <row r="1025">
      <c r="I1025" s="12"/>
    </row>
    <row r="1026">
      <c r="I1026" s="12"/>
    </row>
    <row r="1027">
      <c r="I1027" s="12"/>
    </row>
    <row r="1028">
      <c r="I1028" s="12"/>
    </row>
    <row r="1029">
      <c r="I1029" s="12"/>
    </row>
    <row r="1030">
      <c r="I1030" s="12"/>
    </row>
    <row r="1031">
      <c r="I1031" s="12"/>
    </row>
    <row r="1032">
      <c r="I1032" s="12"/>
    </row>
    <row r="1033">
      <c r="I1033" s="12"/>
    </row>
    <row r="1034">
      <c r="I1034" s="12"/>
    </row>
    <row r="1035">
      <c r="I1035" s="12"/>
    </row>
    <row r="1036">
      <c r="I1036" s="12"/>
    </row>
    <row r="1037">
      <c r="I1037" s="12"/>
    </row>
    <row r="1038">
      <c r="I1038" s="12"/>
    </row>
    <row r="1039">
      <c r="I1039" s="12"/>
    </row>
    <row r="1040">
      <c r="I1040" s="12"/>
    </row>
    <row r="1041">
      <c r="I1041" s="12"/>
    </row>
    <row r="1042">
      <c r="I1042" s="12"/>
    </row>
    <row r="1043">
      <c r="I1043" s="12"/>
    </row>
    <row r="1044">
      <c r="I1044" s="12"/>
    </row>
    <row r="1045">
      <c r="I1045" s="12"/>
    </row>
    <row r="1046">
      <c r="I1046" s="12"/>
    </row>
    <row r="1047">
      <c r="I1047" s="12"/>
    </row>
    <row r="1048">
      <c r="I1048" s="12"/>
    </row>
    <row r="1049">
      <c r="I1049" s="12"/>
    </row>
    <row r="1050">
      <c r="I1050" s="12"/>
    </row>
    <row r="1051">
      <c r="I1051" s="12"/>
    </row>
    <row r="1052">
      <c r="I1052" s="12"/>
    </row>
    <row r="1053">
      <c r="I1053" s="12"/>
    </row>
    <row r="1054">
      <c r="I1054" s="12"/>
    </row>
    <row r="1055">
      <c r="I1055" s="12"/>
    </row>
    <row r="1056">
      <c r="I1056" s="12"/>
    </row>
    <row r="1057">
      <c r="I1057" s="12"/>
    </row>
    <row r="1058">
      <c r="I1058" s="12"/>
    </row>
    <row r="1059">
      <c r="I1059" s="12"/>
    </row>
    <row r="1060">
      <c r="I1060" s="12"/>
    </row>
    <row r="1061">
      <c r="I1061" s="12"/>
    </row>
    <row r="1062">
      <c r="I1062" s="12"/>
    </row>
    <row r="1063">
      <c r="I1063" s="12"/>
    </row>
    <row r="1064">
      <c r="I1064" s="12"/>
    </row>
    <row r="1065">
      <c r="I1065" s="12"/>
    </row>
    <row r="1066">
      <c r="I1066" s="12"/>
    </row>
    <row r="1067">
      <c r="I1067" s="12"/>
    </row>
    <row r="1068">
      <c r="I1068" s="12"/>
    </row>
    <row r="1069">
      <c r="I1069" s="12"/>
    </row>
    <row r="1070">
      <c r="I1070" s="12"/>
    </row>
    <row r="1071">
      <c r="I1071" s="12"/>
    </row>
    <row r="1072">
      <c r="I1072" s="12"/>
    </row>
    <row r="1073">
      <c r="I1073" s="12"/>
    </row>
    <row r="1074">
      <c r="I1074" s="12"/>
    </row>
    <row r="1075">
      <c r="I1075" s="12"/>
    </row>
    <row r="1076">
      <c r="I1076" s="12"/>
    </row>
    <row r="1077">
      <c r="I1077" s="12"/>
    </row>
    <row r="1078">
      <c r="I1078" s="12"/>
    </row>
    <row r="1079">
      <c r="I1079" s="12"/>
    </row>
    <row r="1080">
      <c r="I1080" s="12"/>
    </row>
    <row r="1081">
      <c r="I1081" s="12"/>
    </row>
    <row r="1082">
      <c r="I1082" s="12"/>
    </row>
    <row r="1083">
      <c r="I1083" s="12"/>
    </row>
    <row r="1084">
      <c r="I1084" s="12"/>
    </row>
    <row r="1085">
      <c r="I1085" s="12"/>
    </row>
    <row r="1086">
      <c r="I1086" s="12"/>
    </row>
    <row r="1087">
      <c r="I1087" s="12"/>
    </row>
    <row r="1088">
      <c r="I1088" s="12"/>
    </row>
    <row r="1089">
      <c r="I1089" s="12"/>
    </row>
    <row r="1090">
      <c r="I1090" s="12"/>
    </row>
    <row r="1091">
      <c r="I1091" s="12"/>
    </row>
    <row r="1092">
      <c r="I1092" s="12"/>
    </row>
    <row r="1093">
      <c r="I1093" s="12"/>
    </row>
    <row r="1094">
      <c r="I1094" s="12"/>
    </row>
    <row r="1095">
      <c r="I1095" s="12"/>
    </row>
    <row r="1096">
      <c r="I1096" s="12"/>
    </row>
    <row r="1097">
      <c r="I1097" s="12"/>
    </row>
    <row r="1098">
      <c r="I1098" s="12"/>
    </row>
    <row r="1099">
      <c r="I1099" s="12"/>
    </row>
    <row r="1100">
      <c r="I1100" s="12"/>
    </row>
    <row r="1101">
      <c r="I1101" s="12"/>
    </row>
    <row r="1102">
      <c r="I1102" s="12"/>
    </row>
    <row r="1103">
      <c r="I1103" s="12"/>
    </row>
    <row r="1104">
      <c r="I1104" s="12"/>
    </row>
    <row r="1105">
      <c r="I1105" s="12"/>
    </row>
    <row r="1106">
      <c r="I1106" s="12"/>
    </row>
    <row r="1107">
      <c r="I1107" s="12"/>
    </row>
    <row r="1108">
      <c r="I1108" s="12"/>
    </row>
    <row r="1109">
      <c r="I1109" s="12"/>
    </row>
    <row r="1110">
      <c r="I1110" s="12"/>
    </row>
    <row r="1111">
      <c r="I1111" s="12"/>
    </row>
    <row r="1112">
      <c r="I1112" s="12"/>
    </row>
    <row r="1113">
      <c r="I1113" s="12"/>
    </row>
    <row r="1114">
      <c r="I1114" s="12"/>
    </row>
    <row r="1115">
      <c r="I1115" s="12"/>
    </row>
    <row r="1116">
      <c r="I1116" s="12"/>
    </row>
    <row r="1117">
      <c r="I1117" s="12"/>
    </row>
    <row r="1118">
      <c r="I1118" s="12"/>
    </row>
    <row r="1119">
      <c r="I1119" s="12"/>
    </row>
    <row r="1120">
      <c r="I1120" s="12"/>
    </row>
    <row r="1121">
      <c r="I1121" s="12"/>
    </row>
    <row r="1122">
      <c r="I1122" s="12"/>
    </row>
    <row r="1123">
      <c r="I1123" s="12"/>
    </row>
    <row r="1124">
      <c r="I1124" s="12"/>
    </row>
    <row r="1125">
      <c r="I1125" s="12"/>
    </row>
    <row r="1126">
      <c r="I1126" s="12"/>
    </row>
    <row r="1127">
      <c r="I1127" s="12"/>
    </row>
    <row r="1128">
      <c r="I1128" s="12"/>
    </row>
    <row r="1129">
      <c r="I1129" s="12"/>
    </row>
    <row r="1130">
      <c r="I1130" s="12"/>
    </row>
    <row r="1131">
      <c r="I1131" s="12"/>
    </row>
    <row r="1132">
      <c r="I1132" s="12"/>
    </row>
    <row r="1133">
      <c r="I1133" s="12"/>
    </row>
    <row r="1134">
      <c r="I1134" s="12"/>
    </row>
    <row r="1135">
      <c r="I1135" s="12"/>
    </row>
    <row r="1136">
      <c r="I1136" s="12"/>
    </row>
    <row r="1137">
      <c r="I1137" s="12"/>
    </row>
    <row r="1138">
      <c r="I1138" s="12"/>
    </row>
    <row r="1139">
      <c r="I1139" s="12"/>
    </row>
    <row r="1140">
      <c r="I1140" s="12"/>
    </row>
    <row r="1141">
      <c r="I1141" s="12"/>
    </row>
    <row r="1142">
      <c r="I1142" s="12"/>
    </row>
    <row r="1143">
      <c r="I1143" s="12"/>
    </row>
    <row r="1144">
      <c r="I1144" s="12"/>
    </row>
    <row r="1145">
      <c r="I1145" s="12"/>
    </row>
    <row r="1146">
      <c r="I1146" s="12"/>
    </row>
    <row r="1147">
      <c r="I1147" s="12"/>
    </row>
    <row r="1148">
      <c r="I1148" s="12"/>
    </row>
    <row r="1149">
      <c r="I1149" s="12"/>
    </row>
    <row r="1150">
      <c r="I1150" s="12"/>
    </row>
    <row r="1151">
      <c r="I1151" s="12"/>
    </row>
    <row r="1152">
      <c r="I1152" s="12"/>
    </row>
    <row r="1153">
      <c r="I1153" s="12"/>
    </row>
    <row r="1154">
      <c r="I1154" s="12"/>
    </row>
    <row r="1155">
      <c r="I1155" s="12"/>
    </row>
    <row r="1156">
      <c r="I1156" s="12"/>
    </row>
    <row r="1157">
      <c r="I1157" s="12"/>
    </row>
    <row r="1158">
      <c r="I1158" s="12"/>
    </row>
    <row r="1159">
      <c r="I1159" s="12"/>
    </row>
    <row r="1160">
      <c r="I1160" s="12"/>
    </row>
    <row r="1161">
      <c r="I1161" s="12"/>
    </row>
    <row r="1162">
      <c r="I1162" s="12"/>
    </row>
    <row r="1163">
      <c r="I1163" s="12"/>
    </row>
    <row r="1164">
      <c r="I1164" s="12"/>
    </row>
    <row r="1165">
      <c r="I1165" s="12"/>
    </row>
    <row r="1166">
      <c r="I1166" s="12"/>
    </row>
    <row r="1167">
      <c r="I1167" s="12"/>
    </row>
    <row r="1168">
      <c r="I1168" s="12"/>
    </row>
    <row r="1169">
      <c r="I1169" s="12"/>
    </row>
    <row r="1170">
      <c r="I1170" s="12"/>
    </row>
    <row r="1171">
      <c r="I1171" s="12"/>
    </row>
    <row r="1172">
      <c r="I1172" s="12"/>
    </row>
    <row r="1173">
      <c r="I1173" s="12"/>
    </row>
    <row r="1174">
      <c r="I1174" s="12"/>
    </row>
    <row r="1175">
      <c r="I1175" s="12"/>
    </row>
    <row r="1176">
      <c r="I1176" s="12"/>
    </row>
    <row r="1177">
      <c r="I1177" s="12"/>
    </row>
    <row r="1178">
      <c r="I1178" s="12"/>
    </row>
    <row r="1179">
      <c r="I1179" s="12"/>
    </row>
    <row r="1180">
      <c r="I1180" s="12"/>
    </row>
    <row r="1181">
      <c r="I1181" s="12"/>
    </row>
    <row r="1182">
      <c r="I1182" s="12"/>
    </row>
    <row r="1183">
      <c r="I1183" s="12"/>
    </row>
    <row r="1184">
      <c r="I1184" s="12"/>
    </row>
    <row r="1185">
      <c r="I1185" s="12"/>
    </row>
    <row r="1186">
      <c r="I1186" s="12"/>
    </row>
    <row r="1187">
      <c r="I1187" s="12"/>
    </row>
    <row r="1188">
      <c r="I1188" s="12"/>
    </row>
    <row r="1189">
      <c r="I1189" s="12"/>
    </row>
    <row r="1190">
      <c r="I1190" s="12"/>
    </row>
    <row r="1191">
      <c r="I1191" s="12"/>
    </row>
    <row r="1192">
      <c r="I1192" s="12"/>
    </row>
    <row r="1193">
      <c r="I1193" s="12"/>
    </row>
    <row r="1194">
      <c r="I1194" s="12"/>
    </row>
    <row r="1195">
      <c r="I1195" s="12"/>
    </row>
    <row r="1196">
      <c r="I1196" s="12"/>
    </row>
    <row r="1197">
      <c r="I1197" s="12"/>
    </row>
    <row r="1198">
      <c r="I1198" s="12"/>
    </row>
    <row r="1199">
      <c r="I1199" s="12"/>
    </row>
    <row r="1200">
      <c r="I1200" s="12"/>
    </row>
    <row r="1201">
      <c r="I1201" s="12"/>
    </row>
    <row r="1202">
      <c r="I1202" s="12"/>
    </row>
    <row r="1203">
      <c r="I1203" s="12"/>
    </row>
    <row r="1204">
      <c r="I1204" s="12"/>
    </row>
    <row r="1205">
      <c r="I1205" s="12"/>
    </row>
    <row r="1206">
      <c r="I1206" s="12"/>
    </row>
    <row r="1207">
      <c r="I1207" s="12"/>
    </row>
    <row r="1208">
      <c r="I1208" s="12"/>
    </row>
    <row r="1209">
      <c r="I1209" s="12"/>
    </row>
    <row r="1210">
      <c r="I1210" s="12"/>
    </row>
    <row r="1211">
      <c r="I1211" s="12"/>
    </row>
    <row r="1212">
      <c r="I1212" s="12"/>
    </row>
    <row r="1213">
      <c r="I1213" s="12"/>
    </row>
    <row r="1214">
      <c r="I1214" s="12"/>
    </row>
    <row r="1215">
      <c r="I1215" s="12"/>
    </row>
    <row r="1216">
      <c r="I1216" s="12"/>
    </row>
    <row r="1217">
      <c r="I1217" s="12"/>
    </row>
    <row r="1218">
      <c r="I1218" s="12"/>
    </row>
    <row r="1219">
      <c r="I1219" s="12"/>
    </row>
    <row r="1220">
      <c r="I1220" s="12"/>
    </row>
    <row r="1221">
      <c r="I1221" s="12"/>
    </row>
    <row r="1222">
      <c r="I1222" s="12"/>
    </row>
    <row r="1223">
      <c r="I1223" s="12"/>
    </row>
    <row r="1224">
      <c r="I1224" s="12"/>
    </row>
    <row r="1225">
      <c r="I1225" s="12"/>
    </row>
    <row r="1226">
      <c r="I1226" s="12"/>
    </row>
    <row r="1227">
      <c r="I1227" s="12"/>
    </row>
    <row r="1228">
      <c r="I1228" s="12"/>
    </row>
    <row r="1229">
      <c r="I1229" s="12"/>
    </row>
    <row r="1230">
      <c r="I1230" s="12"/>
    </row>
    <row r="1231">
      <c r="I1231" s="12"/>
    </row>
    <row r="1232">
      <c r="I1232" s="12"/>
    </row>
    <row r="1233">
      <c r="I1233" s="12"/>
    </row>
    <row r="1234">
      <c r="I1234" s="12"/>
    </row>
    <row r="1235">
      <c r="I1235" s="12"/>
    </row>
    <row r="1236">
      <c r="I1236" s="12"/>
    </row>
    <row r="1237">
      <c r="I1237" s="12"/>
    </row>
    <row r="1238">
      <c r="I1238" s="12"/>
    </row>
    <row r="1239">
      <c r="I1239" s="12"/>
    </row>
    <row r="1240">
      <c r="I1240" s="12"/>
    </row>
    <row r="1241">
      <c r="I1241" s="12"/>
    </row>
    <row r="1242">
      <c r="I1242" s="12"/>
    </row>
    <row r="1243">
      <c r="I1243" s="12"/>
    </row>
    <row r="1244">
      <c r="I1244" s="12"/>
    </row>
    <row r="1245">
      <c r="I1245" s="12"/>
    </row>
    <row r="1246">
      <c r="I1246" s="12"/>
    </row>
    <row r="1247">
      <c r="I1247" s="12"/>
    </row>
    <row r="1248">
      <c r="I1248" s="12"/>
    </row>
    <row r="1249">
      <c r="I1249" s="12"/>
    </row>
    <row r="1250">
      <c r="I1250" s="12"/>
    </row>
    <row r="1251">
      <c r="I1251" s="12"/>
    </row>
    <row r="1252">
      <c r="I1252" s="12"/>
    </row>
    <row r="1253">
      <c r="I1253" s="12"/>
    </row>
    <row r="1254">
      <c r="I1254" s="12"/>
    </row>
    <row r="1255">
      <c r="I1255" s="12"/>
    </row>
    <row r="1256">
      <c r="I1256" s="12"/>
    </row>
    <row r="1257">
      <c r="I1257" s="12"/>
    </row>
    <row r="1258">
      <c r="I1258" s="12"/>
    </row>
    <row r="1259">
      <c r="I1259" s="12"/>
    </row>
    <row r="1260">
      <c r="I1260" s="12"/>
    </row>
    <row r="1261">
      <c r="I1261" s="12"/>
    </row>
    <row r="1262">
      <c r="I1262" s="12"/>
    </row>
    <row r="1263">
      <c r="I1263" s="12"/>
    </row>
    <row r="1264">
      <c r="I1264" s="12"/>
    </row>
    <row r="1265">
      <c r="I1265" s="12"/>
    </row>
    <row r="1266">
      <c r="I1266" s="12"/>
    </row>
    <row r="1267">
      <c r="I1267" s="12"/>
    </row>
    <row r="1268">
      <c r="I1268" s="12"/>
    </row>
    <row r="1269">
      <c r="I1269" s="12"/>
    </row>
    <row r="1270">
      <c r="I1270" s="12"/>
    </row>
    <row r="1271">
      <c r="I1271" s="12"/>
    </row>
    <row r="1272">
      <c r="I1272" s="12"/>
    </row>
    <row r="1273">
      <c r="I1273" s="12"/>
    </row>
    <row r="1274">
      <c r="I1274" s="12"/>
    </row>
    <row r="1275">
      <c r="I1275" s="12"/>
    </row>
    <row r="1276">
      <c r="I1276" s="12"/>
    </row>
    <row r="1277">
      <c r="I1277" s="12"/>
    </row>
    <row r="1278">
      <c r="I1278" s="12"/>
    </row>
    <row r="1279">
      <c r="I1279" s="12"/>
    </row>
    <row r="1280">
      <c r="I1280" s="12"/>
    </row>
    <row r="1281">
      <c r="I1281" s="12"/>
    </row>
    <row r="1282">
      <c r="I1282" s="12"/>
    </row>
    <row r="1283">
      <c r="I1283" s="12"/>
    </row>
    <row r="1284">
      <c r="I1284" s="12"/>
    </row>
    <row r="1285">
      <c r="I1285" s="12"/>
    </row>
    <row r="1286">
      <c r="I1286" s="12"/>
    </row>
    <row r="1287">
      <c r="I1287" s="12"/>
    </row>
    <row r="1288">
      <c r="I1288" s="12"/>
    </row>
    <row r="1289">
      <c r="I1289" s="12"/>
    </row>
    <row r="1290">
      <c r="I1290" s="12"/>
    </row>
    <row r="1291">
      <c r="I1291" s="12"/>
    </row>
    <row r="1292">
      <c r="I1292" s="12"/>
    </row>
    <row r="1293">
      <c r="I1293" s="12"/>
    </row>
    <row r="1294">
      <c r="I1294" s="12"/>
    </row>
    <row r="1295">
      <c r="I1295" s="12"/>
    </row>
    <row r="1296">
      <c r="I1296" s="12"/>
    </row>
    <row r="1297">
      <c r="I1297" s="12"/>
    </row>
    <row r="1298">
      <c r="I1298" s="12"/>
    </row>
    <row r="1299">
      <c r="I1299" s="12"/>
    </row>
    <row r="1300">
      <c r="I1300" s="12"/>
    </row>
    <row r="1301">
      <c r="I1301" s="12"/>
    </row>
    <row r="1302">
      <c r="I1302" s="12"/>
    </row>
    <row r="1303">
      <c r="I1303" s="12"/>
    </row>
    <row r="1304">
      <c r="I1304" s="12"/>
    </row>
    <row r="1305">
      <c r="I1305" s="12"/>
    </row>
    <row r="1306">
      <c r="I1306" s="12"/>
    </row>
    <row r="1307">
      <c r="I1307" s="12"/>
    </row>
    <row r="1308">
      <c r="I1308" s="12"/>
    </row>
    <row r="1309">
      <c r="I1309" s="12"/>
    </row>
    <row r="1310">
      <c r="I1310" s="12"/>
    </row>
    <row r="1311">
      <c r="I1311" s="12"/>
    </row>
    <row r="1312">
      <c r="I1312" s="12"/>
    </row>
    <row r="1313">
      <c r="I1313" s="12"/>
    </row>
    <row r="1314">
      <c r="I1314" s="12"/>
    </row>
    <row r="1315">
      <c r="I1315" s="12"/>
    </row>
    <row r="1316">
      <c r="I1316" s="12"/>
    </row>
    <row r="1317">
      <c r="I1317" s="12"/>
    </row>
    <row r="1318">
      <c r="I1318" s="12"/>
    </row>
    <row r="1319">
      <c r="I1319" s="12"/>
    </row>
    <row r="1320">
      <c r="I1320" s="12"/>
    </row>
    <row r="1321">
      <c r="I1321" s="12"/>
    </row>
    <row r="1322">
      <c r="I1322" s="12"/>
    </row>
    <row r="1323">
      <c r="I1323" s="12"/>
    </row>
    <row r="1324">
      <c r="I1324" s="12"/>
    </row>
    <row r="1325">
      <c r="I1325" s="12"/>
    </row>
    <row r="1326">
      <c r="I1326" s="12"/>
    </row>
    <row r="1327">
      <c r="I1327" s="12"/>
    </row>
    <row r="1328">
      <c r="I1328" s="12"/>
    </row>
    <row r="1329">
      <c r="I1329" s="12"/>
    </row>
    <row r="1330">
      <c r="I1330" s="12"/>
    </row>
    <row r="1331">
      <c r="I1331" s="12"/>
    </row>
    <row r="1332">
      <c r="I1332" s="12"/>
    </row>
    <row r="1333">
      <c r="I1333" s="12"/>
    </row>
    <row r="1334">
      <c r="I1334" s="12"/>
    </row>
    <row r="1335">
      <c r="I1335" s="12"/>
    </row>
    <row r="1336">
      <c r="I1336" s="12"/>
    </row>
    <row r="1337">
      <c r="I1337" s="12"/>
    </row>
    <row r="1338">
      <c r="I1338" s="12"/>
    </row>
    <row r="1339">
      <c r="I1339" s="12"/>
    </row>
    <row r="1340">
      <c r="I1340" s="12"/>
    </row>
    <row r="1341">
      <c r="I1341" s="12"/>
    </row>
    <row r="1342">
      <c r="I1342" s="12"/>
    </row>
    <row r="1343">
      <c r="I1343" s="12"/>
    </row>
    <row r="1344">
      <c r="I1344" s="12"/>
    </row>
    <row r="1345">
      <c r="I1345" s="12"/>
    </row>
    <row r="1346">
      <c r="I1346" s="12"/>
    </row>
    <row r="1347">
      <c r="I1347" s="12"/>
    </row>
    <row r="1348">
      <c r="I1348" s="12"/>
    </row>
    <row r="1349">
      <c r="I1349" s="12"/>
    </row>
    <row r="1350">
      <c r="I1350" s="12"/>
    </row>
    <row r="1351">
      <c r="I1351" s="12"/>
    </row>
    <row r="1352">
      <c r="I1352" s="12"/>
    </row>
    <row r="1353">
      <c r="I1353" s="12"/>
    </row>
    <row r="1354">
      <c r="I1354" s="12"/>
    </row>
    <row r="1355">
      <c r="I1355" s="12"/>
    </row>
    <row r="1356">
      <c r="I1356" s="12"/>
    </row>
    <row r="1357">
      <c r="I1357" s="12"/>
    </row>
    <row r="1358">
      <c r="I1358" s="12"/>
    </row>
    <row r="1359">
      <c r="I1359" s="12"/>
    </row>
    <row r="1360">
      <c r="I1360" s="12"/>
    </row>
    <row r="1361">
      <c r="I1361" s="12"/>
    </row>
    <row r="1362">
      <c r="I1362" s="12"/>
    </row>
    <row r="1363">
      <c r="I1363" s="12"/>
    </row>
    <row r="1364">
      <c r="I1364" s="12"/>
    </row>
    <row r="1365">
      <c r="I1365" s="12"/>
    </row>
    <row r="1366">
      <c r="I1366" s="12"/>
    </row>
    <row r="1367">
      <c r="I1367" s="12"/>
    </row>
    <row r="1368">
      <c r="I1368" s="12"/>
    </row>
    <row r="1369">
      <c r="I1369" s="12"/>
    </row>
    <row r="1370">
      <c r="I1370" s="12"/>
    </row>
    <row r="1371">
      <c r="I1371" s="12"/>
    </row>
    <row r="1372">
      <c r="I1372" s="12"/>
    </row>
    <row r="1373">
      <c r="I1373" s="12"/>
    </row>
    <row r="1374">
      <c r="I1374" s="12"/>
    </row>
    <row r="1375">
      <c r="I1375" s="12"/>
    </row>
    <row r="1376">
      <c r="I1376" s="12"/>
    </row>
    <row r="1377">
      <c r="I1377" s="12"/>
    </row>
    <row r="1378">
      <c r="I1378" s="12"/>
    </row>
    <row r="1379">
      <c r="I1379" s="12"/>
    </row>
    <row r="1380">
      <c r="I1380" s="12"/>
    </row>
    <row r="1381">
      <c r="I1381" s="12"/>
    </row>
    <row r="1382">
      <c r="I1382" s="12"/>
    </row>
    <row r="1383">
      <c r="I1383" s="12"/>
    </row>
    <row r="1384">
      <c r="I1384" s="12"/>
    </row>
    <row r="1385">
      <c r="I1385" s="12"/>
    </row>
    <row r="1386">
      <c r="I1386" s="12"/>
    </row>
    <row r="1387">
      <c r="I1387" s="12"/>
    </row>
    <row r="1388">
      <c r="I1388" s="12"/>
    </row>
    <row r="1389">
      <c r="I1389" s="12"/>
    </row>
    <row r="1390">
      <c r="I1390" s="12"/>
    </row>
    <row r="1391">
      <c r="I1391" s="12"/>
    </row>
    <row r="1392">
      <c r="I1392" s="12"/>
    </row>
    <row r="1393">
      <c r="I1393" s="12"/>
    </row>
    <row r="1394">
      <c r="I1394" s="12"/>
    </row>
    <row r="1395">
      <c r="I1395" s="12"/>
    </row>
    <row r="1396">
      <c r="I1396" s="12"/>
    </row>
    <row r="1397">
      <c r="I1397" s="12"/>
    </row>
    <row r="1398">
      <c r="I1398" s="12"/>
    </row>
    <row r="1399">
      <c r="I1399" s="12"/>
    </row>
    <row r="1400">
      <c r="I1400" s="12"/>
    </row>
    <row r="1401">
      <c r="I1401" s="12"/>
    </row>
    <row r="1402">
      <c r="I1402" s="12"/>
    </row>
    <row r="1403">
      <c r="I1403" s="12"/>
    </row>
    <row r="1404">
      <c r="I1404" s="12"/>
    </row>
    <row r="1405">
      <c r="I1405" s="12"/>
    </row>
    <row r="1406">
      <c r="I1406" s="12"/>
    </row>
    <row r="1407">
      <c r="I1407" s="12"/>
    </row>
    <row r="1408">
      <c r="I1408" s="12"/>
    </row>
    <row r="1409">
      <c r="I1409" s="12"/>
    </row>
    <row r="1410">
      <c r="I1410" s="12"/>
    </row>
    <row r="1411">
      <c r="I1411" s="12"/>
    </row>
    <row r="1412">
      <c r="I1412" s="12"/>
    </row>
    <row r="1413">
      <c r="I1413" s="12"/>
    </row>
    <row r="1414">
      <c r="I1414" s="12"/>
    </row>
    <row r="1415">
      <c r="I1415" s="12"/>
    </row>
    <row r="1416">
      <c r="I1416" s="12"/>
    </row>
    <row r="1417">
      <c r="I1417" s="12"/>
    </row>
    <row r="1418">
      <c r="I1418" s="12"/>
    </row>
    <row r="1419">
      <c r="I1419" s="12"/>
    </row>
    <row r="1420">
      <c r="I1420" s="12"/>
    </row>
    <row r="1421">
      <c r="I1421" s="12"/>
    </row>
    <row r="1422">
      <c r="I1422" s="12"/>
    </row>
    <row r="1423">
      <c r="I1423" s="12"/>
    </row>
    <row r="1424">
      <c r="I1424" s="12"/>
    </row>
    <row r="1425">
      <c r="I1425" s="12"/>
    </row>
    <row r="1426">
      <c r="I1426" s="12"/>
    </row>
    <row r="1427">
      <c r="I1427" s="12"/>
    </row>
    <row r="1428">
      <c r="I1428" s="12"/>
    </row>
    <row r="1429">
      <c r="I1429" s="12"/>
    </row>
    <row r="1430">
      <c r="I1430" s="12"/>
    </row>
    <row r="1431">
      <c r="I1431" s="12"/>
    </row>
    <row r="1432">
      <c r="I1432" s="12"/>
    </row>
    <row r="1433">
      <c r="I1433" s="12"/>
    </row>
    <row r="1434">
      <c r="I1434" s="12"/>
    </row>
    <row r="1435">
      <c r="I1435" s="12"/>
    </row>
    <row r="1436">
      <c r="I1436" s="12"/>
    </row>
    <row r="1437">
      <c r="I1437" s="12"/>
    </row>
    <row r="1438">
      <c r="I1438" s="12"/>
    </row>
    <row r="1439">
      <c r="I1439" s="12"/>
    </row>
    <row r="1440">
      <c r="I1440" s="12"/>
    </row>
    <row r="1441">
      <c r="I1441" s="12"/>
    </row>
    <row r="1442">
      <c r="I1442" s="12"/>
    </row>
    <row r="1443">
      <c r="I1443" s="12"/>
    </row>
    <row r="1444">
      <c r="I1444" s="12"/>
    </row>
    <row r="1445">
      <c r="I1445" s="12"/>
    </row>
    <row r="1446">
      <c r="I1446" s="12"/>
    </row>
    <row r="1447">
      <c r="I1447" s="12"/>
    </row>
    <row r="1448">
      <c r="I1448" s="12"/>
    </row>
    <row r="1449">
      <c r="I1449" s="12"/>
    </row>
    <row r="1450">
      <c r="I1450" s="12"/>
    </row>
    <row r="1451">
      <c r="I1451" s="12"/>
    </row>
    <row r="1452">
      <c r="I1452" s="12"/>
    </row>
    <row r="1453">
      <c r="I1453" s="12"/>
    </row>
    <row r="1454">
      <c r="I1454" s="12"/>
    </row>
    <row r="1455">
      <c r="I1455" s="12"/>
    </row>
    <row r="1456">
      <c r="I1456" s="12"/>
    </row>
    <row r="1457">
      <c r="I1457" s="12"/>
    </row>
    <row r="1458">
      <c r="I1458" s="12"/>
    </row>
    <row r="1459">
      <c r="I1459" s="12"/>
    </row>
    <row r="1460">
      <c r="I1460" s="12"/>
    </row>
    <row r="1461">
      <c r="I1461" s="12"/>
    </row>
    <row r="1462">
      <c r="I1462" s="12"/>
    </row>
    <row r="1463">
      <c r="I1463" s="12"/>
    </row>
    <row r="1464">
      <c r="I1464" s="12"/>
    </row>
    <row r="1465">
      <c r="I1465" s="12"/>
    </row>
    <row r="1466">
      <c r="I1466" s="12"/>
    </row>
    <row r="1467">
      <c r="I1467" s="12"/>
    </row>
    <row r="1468">
      <c r="I1468" s="12"/>
    </row>
    <row r="1469">
      <c r="I1469" s="12"/>
    </row>
    <row r="1470">
      <c r="I1470" s="12"/>
    </row>
    <row r="1471">
      <c r="I1471" s="12"/>
    </row>
    <row r="1472">
      <c r="I1472" s="12"/>
    </row>
    <row r="1473">
      <c r="I1473" s="12"/>
    </row>
    <row r="1474">
      <c r="I1474" s="12"/>
    </row>
    <row r="1475">
      <c r="I1475" s="12"/>
    </row>
    <row r="1476">
      <c r="I1476" s="12"/>
    </row>
    <row r="1477">
      <c r="I1477" s="12"/>
    </row>
    <row r="1478">
      <c r="I1478" s="12"/>
    </row>
    <row r="1479">
      <c r="I1479" s="12"/>
    </row>
    <row r="1480">
      <c r="I1480" s="12"/>
    </row>
    <row r="1481">
      <c r="I1481" s="12"/>
    </row>
    <row r="1482">
      <c r="I1482" s="12"/>
    </row>
    <row r="1483">
      <c r="I1483" s="12"/>
    </row>
    <row r="1484">
      <c r="I1484" s="12"/>
    </row>
    <row r="1485">
      <c r="I1485" s="12"/>
    </row>
    <row r="1486">
      <c r="I1486" s="12"/>
    </row>
    <row r="1487">
      <c r="I1487" s="12"/>
    </row>
    <row r="1488">
      <c r="I1488" s="12"/>
    </row>
    <row r="1489">
      <c r="I1489" s="12"/>
    </row>
    <row r="1490">
      <c r="I1490" s="12"/>
    </row>
    <row r="1491">
      <c r="I1491" s="12"/>
    </row>
    <row r="1492">
      <c r="I1492" s="12"/>
    </row>
    <row r="1493">
      <c r="I1493" s="12"/>
    </row>
    <row r="1494">
      <c r="I1494" s="12"/>
    </row>
    <row r="1495">
      <c r="I1495" s="12"/>
    </row>
    <row r="1496">
      <c r="I1496" s="12"/>
    </row>
    <row r="1497">
      <c r="I1497" s="12"/>
    </row>
    <row r="1498">
      <c r="I1498" s="12"/>
    </row>
    <row r="1499">
      <c r="I1499" s="12"/>
    </row>
    <row r="1500">
      <c r="I1500" s="12"/>
    </row>
    <row r="1501">
      <c r="I1501" s="12"/>
    </row>
    <row r="1502">
      <c r="I1502" s="12"/>
    </row>
    <row r="1503">
      <c r="I1503" s="12"/>
    </row>
    <row r="1504">
      <c r="I1504" s="12"/>
    </row>
    <row r="1505">
      <c r="I1505" s="12"/>
    </row>
    <row r="1506">
      <c r="I1506" s="12"/>
    </row>
    <row r="1507">
      <c r="I1507" s="12"/>
    </row>
    <row r="1508">
      <c r="I1508" s="12"/>
    </row>
    <row r="1509">
      <c r="I1509" s="12"/>
    </row>
    <row r="1510">
      <c r="I1510" s="12"/>
    </row>
  </sheetData>
  <drawing r:id="rId1"/>
</worksheet>
</file>