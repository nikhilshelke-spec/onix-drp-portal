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0.0"/>
      <color theme="1"/>
      <name val="Plus Jakarta Sans"/>
    </font>
    <font>
      <b/>
      <color theme="1"/>
      <name val="Arial"/>
      <scheme val="minor"/>
    </font>
    <font>
      <sz val="10.0"/>
      <color theme="1"/>
      <name val="Plus Jakarta Sans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0" xfId="0" applyAlignment="1" applyBorder="1" applyFont="1">
      <alignment horizontal="center"/>
    </xf>
    <xf borderId="0" fillId="0" fontId="2" numFmtId="0" xfId="0" applyFont="1"/>
    <xf borderId="1" fillId="0" fontId="3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horizontal="left" readingOrder="0" vertic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0"/>
    <col customWidth="1" min="2" max="2" width="21.63"/>
    <col customWidth="1" min="3" max="3" width="26.25"/>
    <col customWidth="1" min="4" max="4" width="6.25"/>
    <col customWidth="1" min="5" max="5" width="18.75"/>
    <col customWidth="1" min="6" max="6" width="19.5"/>
    <col customWidth="1" min="7" max="7" width="17.13"/>
    <col customWidth="1" min="8" max="8" width="12.13"/>
    <col customWidth="1" min="9" max="9" width="9.5"/>
    <col customWidth="1" min="10" max="10" width="6.0"/>
    <col customWidth="1" min="11" max="11" width="19.5"/>
    <col customWidth="1" min="12" max="12" width="27.13"/>
    <col customWidth="1" min="13" max="13" width="22.5"/>
  </cols>
  <sheetData>
    <row r="1">
      <c r="A1" s="1" t="str">
        <f>IFERROR(__xludf.DUMMYFUNCTION("QUERY(IMPORTRANGE(""1kw74ismGU34AsZ5x-W4x7F3Zt2xc8NSYcCVMrCJBmdQ"",""Active Associates!A:L""), ""SELECT * WHERE Col11 != 'Exempted' LABEL Col9 'DRP Score'"", 1)"),"Employee Id")</f>
        <v>Employee Id</v>
      </c>
      <c r="B1" s="1" t="str">
        <f>IFERROR(__xludf.DUMMYFUNCTION("""COMPUTED_VALUE"""),"Name")</f>
        <v>Name</v>
      </c>
      <c r="C1" s="1" t="str">
        <f>IFERROR(__xludf.DUMMYFUNCTION("""COMPUTED_VALUE"""),"Official Email Id")</f>
        <v>Official Email Id</v>
      </c>
      <c r="D1" s="1" t="str">
        <f>IFERROR(__xludf.DUMMYFUNCTION("""COMPUTED_VALUE"""),"Status")</f>
        <v>Status</v>
      </c>
      <c r="E1" s="1" t="str">
        <f>IFERROR(__xludf.DUMMYFUNCTION("""COMPUTED_VALUE"""),"Function")</f>
        <v>Function</v>
      </c>
      <c r="F1" s="1" t="str">
        <f>IFERROR(__xludf.DUMMYFUNCTION("""COMPUTED_VALUE"""),"Direct Manager Name")</f>
        <v>Direct Manager Name</v>
      </c>
      <c r="G1" s="1" t="str">
        <f>IFERROR(__xludf.DUMMYFUNCTION("""COMPUTED_VALUE"""),"Cluster/Portfolio")</f>
        <v>Cluster/Portfolio</v>
      </c>
      <c r="H1" s="1" t="str">
        <f>IFERROR(__xludf.DUMMYFUNCTION("""COMPUTED_VALUE"""),"DRP ID")</f>
        <v>DRP ID</v>
      </c>
      <c r="I1" s="2" t="str">
        <f>IFERROR(__xludf.DUMMYFUNCTION("""COMPUTED_VALUE"""),"DRP Score")</f>
        <v>DRP Score</v>
      </c>
      <c r="J1" s="1" t="str">
        <f>IFERROR(__xludf.DUMMYFUNCTION("""COMPUTED_VALUE"""),"Tier")</f>
        <v>Tier</v>
      </c>
      <c r="K1" s="1" t="str">
        <f>IFERROR(__xludf.DUMMYFUNCTION("""COMPUTED_VALUE"""),"DRP ID Status")</f>
        <v>DRP ID Status</v>
      </c>
      <c r="L1" s="1" t="str">
        <f>IFERROR(__xludf.DUMMYFUNCTION("""COMPUTED_VALUE"""),"Product")</f>
        <v>Product</v>
      </c>
      <c r="M1" s="3"/>
    </row>
    <row r="2">
      <c r="A2" s="4" t="str">
        <f>IFERROR(__xludf.DUMMYFUNCTION("""COMPUTED_VALUE"""),"DME0039")</f>
        <v>DME0039</v>
      </c>
      <c r="B2" s="4" t="str">
        <f>IFERROR(__xludf.DUMMYFUNCTION("""COMPUTED_VALUE"""),"Pooja Ameya Chawda")</f>
        <v>Pooja Ameya Chawda</v>
      </c>
      <c r="C2" s="4" t="str">
        <f>IFERROR(__xludf.DUMMYFUNCTION("""COMPUTED_VALUE"""),"pooja.chawda@onixnet.com")</f>
        <v>pooja.chawda@onixnet.com</v>
      </c>
      <c r="D2" s="4" t="str">
        <f>IFERROR(__xludf.DUMMYFUNCTION("""COMPUTED_VALUE"""),"Active")</f>
        <v>Active</v>
      </c>
      <c r="E2" s="4" t="str">
        <f>IFERROR(__xludf.DUMMYFUNCTION("""COMPUTED_VALUE"""),"Delivery Services")</f>
        <v>Delivery Services</v>
      </c>
      <c r="F2" s="4" t="str">
        <f>IFERROR(__xludf.DUMMYFUNCTION("""COMPUTED_VALUE"""),"Arabi Mohammed")</f>
        <v>Arabi Mohammed</v>
      </c>
      <c r="G2" s="4" t="str">
        <f>IFERROR(__xludf.DUMMYFUNCTION("""COMPUTED_VALUE"""),"Cluster - Sandeep")</f>
        <v>Cluster - Sandeep</v>
      </c>
      <c r="H2" s="4" t="str">
        <f>IFERROR(__xludf.DUMMYFUNCTION("""COMPUTED_VALUE"""),"ONIPCGJC2")</f>
        <v>ONIPCGJC2</v>
      </c>
      <c r="I2" s="5">
        <f>IFERROR(__xludf.DUMMYFUNCTION("""COMPUTED_VALUE"""),10.0)</f>
        <v>10</v>
      </c>
      <c r="J2" s="4" t="str">
        <f>IFERROR(__xludf.DUMMYFUNCTION("""COMPUTED_VALUE"""),"Tier 4")</f>
        <v>Tier 4</v>
      </c>
      <c r="K2" s="4" t="str">
        <f>IFERROR(__xludf.DUMMYFUNCTION("""COMPUTED_VALUE"""),"Active")</f>
        <v>Active</v>
      </c>
      <c r="L2" s="4" t="str">
        <f>IFERROR(__xludf.DUMMYFUNCTION("""COMPUTED_VALUE"""),"BigQuery")</f>
        <v>BigQuery</v>
      </c>
    </row>
    <row r="3">
      <c r="A3" s="4" t="str">
        <f>IFERROR(__xludf.DUMMYFUNCTION("""COMPUTED_VALUE"""),"DME0049")</f>
        <v>DME0049</v>
      </c>
      <c r="B3" s="4" t="str">
        <f>IFERROR(__xludf.DUMMYFUNCTION("""COMPUTED_VALUE"""),"Sonali Sitaram Rawool")</f>
        <v>Sonali Sitaram Rawool</v>
      </c>
      <c r="C3" s="4" t="str">
        <f>IFERROR(__xludf.DUMMYFUNCTION("""COMPUTED_VALUE"""),"sonali.rawool@onixnet.com")</f>
        <v>sonali.rawool@onixnet.com</v>
      </c>
      <c r="D3" s="4" t="str">
        <f>IFERROR(__xludf.DUMMYFUNCTION("""COMPUTED_VALUE"""),"Active")</f>
        <v>Active</v>
      </c>
      <c r="E3" s="4" t="str">
        <f>IFERROR(__xludf.DUMMYFUNCTION("""COMPUTED_VALUE"""),"Delivery Services")</f>
        <v>Delivery Services</v>
      </c>
      <c r="F3" s="4" t="str">
        <f>IFERROR(__xludf.DUMMYFUNCTION("""COMPUTED_VALUE"""),"Amit Argade")</f>
        <v>Amit Argade</v>
      </c>
      <c r="G3" s="4" t="str">
        <f>IFERROR(__xludf.DUMMYFUNCTION("""COMPUTED_VALUE"""),"Cluster - Sagar")</f>
        <v>Cluster - Sagar</v>
      </c>
      <c r="H3" s="4" t="str">
        <f>IFERROR(__xludf.DUMMYFUNCTION("""COMPUTED_VALUE"""),"ONISRXZP2")</f>
        <v>ONISRXZP2</v>
      </c>
      <c r="I3" s="5">
        <f>IFERROR(__xludf.DUMMYFUNCTION("""COMPUTED_VALUE"""),0.0)</f>
        <v>0</v>
      </c>
      <c r="J3" s="4" t="str">
        <f>IFERROR(__xludf.DUMMYFUNCTION("""COMPUTED_VALUE"""),"Tier 4")</f>
        <v>Tier 4</v>
      </c>
      <c r="K3" s="4" t="str">
        <f>IFERROR(__xludf.DUMMYFUNCTION("""COMPUTED_VALUE"""),"ID Created DRP score 0")</f>
        <v>ID Created DRP score 0</v>
      </c>
      <c r="L3" s="4"/>
    </row>
    <row r="4">
      <c r="A4" s="4" t="str">
        <f>IFERROR(__xludf.DUMMYFUNCTION("""COMPUTED_VALUE"""),"DME0083")</f>
        <v>DME0083</v>
      </c>
      <c r="B4" s="4" t="str">
        <f>IFERROR(__xludf.DUMMYFUNCTION("""COMPUTED_VALUE"""),"Nishant Kumar Tiwary")</f>
        <v>Nishant Kumar Tiwary</v>
      </c>
      <c r="C4" s="4" t="str">
        <f>IFERROR(__xludf.DUMMYFUNCTION("""COMPUTED_VALUE"""),"nishant.tiwary@onixnet.com")</f>
        <v>nishant.tiwary@onixnet.com</v>
      </c>
      <c r="D4" s="4" t="str">
        <f>IFERROR(__xludf.DUMMYFUNCTION("""COMPUTED_VALUE"""),"Active")</f>
        <v>Active</v>
      </c>
      <c r="E4" s="4" t="str">
        <f>IFERROR(__xludf.DUMMYFUNCTION("""COMPUTED_VALUE"""),"Product Engineering")</f>
        <v>Product Engineering</v>
      </c>
      <c r="F4" s="4" t="str">
        <f>IFERROR(__xludf.DUMMYFUNCTION("""COMPUTED_VALUE"""),"Venkat Shivkumar")</f>
        <v>Venkat Shivkumar</v>
      </c>
      <c r="G4" s="4" t="str">
        <f>IFERROR(__xludf.DUMMYFUNCTION("""COMPUTED_VALUE"""),"Cluster - Mayur")</f>
        <v>Cluster - Mayur</v>
      </c>
      <c r="H4" s="4" t="str">
        <f>IFERROR(__xludf.DUMMYFUNCTION("""COMPUTED_VALUE"""),"ONINTOLF0")</f>
        <v>ONINTOLF0</v>
      </c>
      <c r="I4" s="5">
        <f>IFERROR(__xludf.DUMMYFUNCTION("""COMPUTED_VALUE"""),10.0)</f>
        <v>10</v>
      </c>
      <c r="J4" s="4" t="str">
        <f>IFERROR(__xludf.DUMMYFUNCTION("""COMPUTED_VALUE"""),"Tier 4")</f>
        <v>Tier 4</v>
      </c>
      <c r="K4" s="4" t="str">
        <f>IFERROR(__xludf.DUMMYFUNCTION("""COMPUTED_VALUE"""),"Active")</f>
        <v>Active</v>
      </c>
      <c r="L4" s="4" t="str">
        <f>IFERROR(__xludf.DUMMYFUNCTION("""COMPUTED_VALUE"""),"Apigee API Management")</f>
        <v>Apigee API Management</v>
      </c>
    </row>
    <row r="5">
      <c r="A5" s="4" t="str">
        <f>IFERROR(__xludf.DUMMYFUNCTION("""COMPUTED_VALUE"""),"DME0082")</f>
        <v>DME0082</v>
      </c>
      <c r="B5" s="4" t="str">
        <f>IFERROR(__xludf.DUMMYFUNCTION("""COMPUTED_VALUE"""),"Vinod Ekanath Pingale")</f>
        <v>Vinod Ekanath Pingale</v>
      </c>
      <c r="C5" s="4" t="str">
        <f>IFERROR(__xludf.DUMMYFUNCTION("""COMPUTED_VALUE"""),"vinod.pingale@onixnet.com")</f>
        <v>vinod.pingale@onixnet.com</v>
      </c>
      <c r="D5" s="4" t="str">
        <f>IFERROR(__xludf.DUMMYFUNCTION("""COMPUTED_VALUE"""),"Active")</f>
        <v>Active</v>
      </c>
      <c r="E5" s="4" t="str">
        <f>IFERROR(__xludf.DUMMYFUNCTION("""COMPUTED_VALUE"""),"Product Engineering")</f>
        <v>Product Engineering</v>
      </c>
      <c r="F5" s="4" t="str">
        <f>IFERROR(__xludf.DUMMYFUNCTION("""COMPUTED_VALUE"""),"Praveen Kumar")</f>
        <v>Praveen Kumar</v>
      </c>
      <c r="G5" s="4" t="str">
        <f>IFERROR(__xludf.DUMMYFUNCTION("""COMPUTED_VALUE"""),"Cluster - Mayur")</f>
        <v>Cluster - Mayur</v>
      </c>
      <c r="H5" s="4"/>
      <c r="I5" s="5"/>
      <c r="J5" s="4"/>
      <c r="K5" s="4" t="str">
        <f>IFERROR(__xludf.DUMMYFUNCTION("""COMPUTED_VALUE"""),"ID Not Created")</f>
        <v>ID Not Created</v>
      </c>
      <c r="L5" s="4"/>
    </row>
    <row r="6">
      <c r="A6" s="4" t="str">
        <f>IFERROR(__xludf.DUMMYFUNCTION("""COMPUTED_VALUE"""),"DME0102")</f>
        <v>DME0102</v>
      </c>
      <c r="B6" s="4" t="str">
        <f>IFERROR(__xludf.DUMMYFUNCTION("""COMPUTED_VALUE"""),"Mangesh Ramesh Borade")</f>
        <v>Mangesh Ramesh Borade</v>
      </c>
      <c r="C6" s="4" t="str">
        <f>IFERROR(__xludf.DUMMYFUNCTION("""COMPUTED_VALUE"""),"mangesh.borade@onixnet.com")</f>
        <v>mangesh.borade@onixnet.com</v>
      </c>
      <c r="D6" s="4" t="str">
        <f>IFERROR(__xludf.DUMMYFUNCTION("""COMPUTED_VALUE"""),"Active")</f>
        <v>Active</v>
      </c>
      <c r="E6" s="4" t="str">
        <f>IFERROR(__xludf.DUMMYFUNCTION("""COMPUTED_VALUE"""),"Delivery Services")</f>
        <v>Delivery Services</v>
      </c>
      <c r="F6" s="4" t="str">
        <f>IFERROR(__xludf.DUMMYFUNCTION("""COMPUTED_VALUE"""),"Devayani Girish Pillai")</f>
        <v>Devayani Girish Pillai</v>
      </c>
      <c r="G6" s="4" t="str">
        <f>IFERROR(__xludf.DUMMYFUNCTION("""COMPUTED_VALUE"""),"Cluster - Devayani")</f>
        <v>Cluster - Devayani</v>
      </c>
      <c r="H6" s="4" t="str">
        <f>IFERROR(__xludf.DUMMYFUNCTION("""COMPUTED_VALUE"""),"ONIMBBIF0")</f>
        <v>ONIMBBIF0</v>
      </c>
      <c r="I6" s="5">
        <f>IFERROR(__xludf.DUMMYFUNCTION("""COMPUTED_VALUE"""),24.0)</f>
        <v>24</v>
      </c>
      <c r="J6" s="4" t="str">
        <f>IFERROR(__xludf.DUMMYFUNCTION("""COMPUTED_VALUE"""),"Tier 3")</f>
        <v>Tier 3</v>
      </c>
      <c r="K6" s="4" t="str">
        <f>IFERROR(__xludf.DUMMYFUNCTION("""COMPUTED_VALUE"""),"Active")</f>
        <v>Active</v>
      </c>
      <c r="L6" s="4" t="str">
        <f>IFERROR(__xludf.DUMMYFUNCTION("""COMPUTED_VALUE"""),"Gemini Enterprise")</f>
        <v>Gemini Enterprise</v>
      </c>
    </row>
    <row r="7">
      <c r="A7" s="4" t="str">
        <f>IFERROR(__xludf.DUMMYFUNCTION("""COMPUTED_VALUE"""),"DME0139")</f>
        <v>DME0139</v>
      </c>
      <c r="B7" s="4" t="str">
        <f>IFERROR(__xludf.DUMMYFUNCTION("""COMPUTED_VALUE"""),"Siba Prasad Mishra")</f>
        <v>Siba Prasad Mishra</v>
      </c>
      <c r="C7" s="4" t="str">
        <f>IFERROR(__xludf.DUMMYFUNCTION("""COMPUTED_VALUE"""),"siba.mishra@onixnet.com")</f>
        <v>siba.mishra@onixnet.com</v>
      </c>
      <c r="D7" s="4" t="str">
        <f>IFERROR(__xludf.DUMMYFUNCTION("""COMPUTED_VALUE"""),"Active")</f>
        <v>Active</v>
      </c>
      <c r="E7" s="4" t="str">
        <f>IFERROR(__xludf.DUMMYFUNCTION("""COMPUTED_VALUE"""),"Product Engineering")</f>
        <v>Product Engineering</v>
      </c>
      <c r="F7" s="4" t="str">
        <f>IFERROR(__xludf.DUMMYFUNCTION("""COMPUTED_VALUE"""),"Mayur Jain")</f>
        <v>Mayur Jain</v>
      </c>
      <c r="G7" s="4" t="str">
        <f>IFERROR(__xludf.DUMMYFUNCTION("""COMPUTED_VALUE"""),"Cluster - Mayur")</f>
        <v>Cluster - Mayur</v>
      </c>
      <c r="H7" s="4" t="str">
        <f>IFERROR(__xludf.DUMMYFUNCTION("""COMPUTED_VALUE"""),"ONISMGOK6")</f>
        <v>ONISMGOK6</v>
      </c>
      <c r="I7" s="5">
        <f>IFERROR(__xludf.DUMMYFUNCTION("""COMPUTED_VALUE"""),20.0)</f>
        <v>20</v>
      </c>
      <c r="J7" s="4" t="str">
        <f>IFERROR(__xludf.DUMMYFUNCTION("""COMPUTED_VALUE"""),"Tier 3")</f>
        <v>Tier 3</v>
      </c>
      <c r="K7" s="4" t="str">
        <f>IFERROR(__xludf.DUMMYFUNCTION("""COMPUTED_VALUE"""),"Active")</f>
        <v>Active</v>
      </c>
      <c r="L7" s="4" t="str">
        <f>IFERROR(__xludf.DUMMYFUNCTION("""COMPUTED_VALUE"""),"AI Applications")</f>
        <v>AI Applications</v>
      </c>
    </row>
    <row r="8">
      <c r="A8" s="4" t="str">
        <f>IFERROR(__xludf.DUMMYFUNCTION("""COMPUTED_VALUE"""),"DME0153")</f>
        <v>DME0153</v>
      </c>
      <c r="B8" s="4" t="str">
        <f>IFERROR(__xludf.DUMMYFUNCTION("""COMPUTED_VALUE"""),"Ajay Laxman Sudrik")</f>
        <v>Ajay Laxman Sudrik</v>
      </c>
      <c r="C8" s="4" t="str">
        <f>IFERROR(__xludf.DUMMYFUNCTION("""COMPUTED_VALUE"""),"ajay.sudrik@onixnet.com")</f>
        <v>ajay.sudrik@onixnet.com</v>
      </c>
      <c r="D8" s="4" t="str">
        <f>IFERROR(__xludf.DUMMYFUNCTION("""COMPUTED_VALUE"""),"Active")</f>
        <v>Active</v>
      </c>
      <c r="E8" s="4" t="str">
        <f>IFERROR(__xludf.DUMMYFUNCTION("""COMPUTED_VALUE"""),"Delivery Services")</f>
        <v>Delivery Services</v>
      </c>
      <c r="F8" s="4" t="str">
        <f>IFERROR(__xludf.DUMMYFUNCTION("""COMPUTED_VALUE"""),"Varun Katyal")</f>
        <v>Varun Katyal</v>
      </c>
      <c r="G8" s="4" t="str">
        <f>IFERROR(__xludf.DUMMYFUNCTION("""COMPUTED_VALUE"""),"Cluster - Varun")</f>
        <v>Cluster - Varun</v>
      </c>
      <c r="H8" s="4" t="str">
        <f>IFERROR(__xludf.DUMMYFUNCTION("""COMPUTED_VALUE"""),"DATASNAC8")</f>
        <v>DATASNAC8</v>
      </c>
      <c r="I8" s="5">
        <f>IFERROR(__xludf.DUMMYFUNCTION("""COMPUTED_VALUE"""),24.0)</f>
        <v>24</v>
      </c>
      <c r="J8" s="4" t="str">
        <f>IFERROR(__xludf.DUMMYFUNCTION("""COMPUTED_VALUE"""),"Tier 3")</f>
        <v>Tier 3</v>
      </c>
      <c r="K8" s="4" t="str">
        <f>IFERROR(__xludf.DUMMYFUNCTION("""COMPUTED_VALUE"""),"Active")</f>
        <v>Active</v>
      </c>
      <c r="L8" s="4" t="str">
        <f>IFERROR(__xludf.DUMMYFUNCTION("""COMPUTED_VALUE"""),"BigQuery")</f>
        <v>BigQuery</v>
      </c>
    </row>
    <row r="9">
      <c r="A9" s="4" t="str">
        <f>IFERROR(__xludf.DUMMYFUNCTION("""COMPUTED_VALUE"""),"DME0157")</f>
        <v>DME0157</v>
      </c>
      <c r="B9" s="4" t="str">
        <f>IFERROR(__xludf.DUMMYFUNCTION("""COMPUTED_VALUE"""),"Prasad Pramod Kulkarni")</f>
        <v>Prasad Pramod Kulkarni</v>
      </c>
      <c r="C9" s="4" t="str">
        <f>IFERROR(__xludf.DUMMYFUNCTION("""COMPUTED_VALUE"""),"prasad.kulkarni@onixnet.com")</f>
        <v>prasad.kulkarni@onixnet.com</v>
      </c>
      <c r="D9" s="4" t="str">
        <f>IFERROR(__xludf.DUMMYFUNCTION("""COMPUTED_VALUE"""),"Active")</f>
        <v>Active</v>
      </c>
      <c r="E9" s="4" t="str">
        <f>IFERROR(__xludf.DUMMYFUNCTION("""COMPUTED_VALUE"""),"Delivery Services")</f>
        <v>Delivery Services</v>
      </c>
      <c r="F9" s="4" t="str">
        <f>IFERROR(__xludf.DUMMYFUNCTION("""COMPUTED_VALUE"""),"Sagar Surana")</f>
        <v>Sagar Surana</v>
      </c>
      <c r="G9" s="4" t="str">
        <f>IFERROR(__xludf.DUMMYFUNCTION("""COMPUTED_VALUE"""),"Cluster - Sagar")</f>
        <v>Cluster - Sagar</v>
      </c>
      <c r="H9" s="4" t="str">
        <f>IFERROR(__xludf.DUMMYFUNCTION("""COMPUTED_VALUE"""),"ONIPKGFC1")</f>
        <v>ONIPKGFC1</v>
      </c>
      <c r="I9" s="5">
        <f>IFERROR(__xludf.DUMMYFUNCTION("""COMPUTED_VALUE"""),54.0)</f>
        <v>54</v>
      </c>
      <c r="J9" s="4" t="str">
        <f>IFERROR(__xludf.DUMMYFUNCTION("""COMPUTED_VALUE"""),"Tier 1")</f>
        <v>Tier 1</v>
      </c>
      <c r="K9" s="4" t="str">
        <f>IFERROR(__xludf.DUMMYFUNCTION("""COMPUTED_VALUE"""),"Active")</f>
        <v>Active</v>
      </c>
      <c r="L9" s="4" t="str">
        <f>IFERROR(__xludf.DUMMYFUNCTION("""COMPUTED_VALUE"""),"BigQuery")</f>
        <v>BigQuery</v>
      </c>
    </row>
    <row r="10">
      <c r="A10" s="4" t="str">
        <f>IFERROR(__xludf.DUMMYFUNCTION("""COMPUTED_VALUE"""),"DME0201")</f>
        <v>DME0201</v>
      </c>
      <c r="B10" s="4" t="str">
        <f>IFERROR(__xludf.DUMMYFUNCTION("""COMPUTED_VALUE"""),"Noorulla Shaik")</f>
        <v>Noorulla Shaik</v>
      </c>
      <c r="C10" s="6" t="str">
        <f>IFERROR(__xludf.DUMMYFUNCTION("""COMPUTED_VALUE"""),"noorulla.shaik@onixnet.com")</f>
        <v>noorulla.shaik@onixnet.com</v>
      </c>
      <c r="D10" s="4" t="str">
        <f>IFERROR(__xludf.DUMMYFUNCTION("""COMPUTED_VALUE"""),"Active")</f>
        <v>Active</v>
      </c>
      <c r="E10" s="4" t="str">
        <f>IFERROR(__xludf.DUMMYFUNCTION("""COMPUTED_VALUE"""),"Delivery Services")</f>
        <v>Delivery Services</v>
      </c>
      <c r="F10" s="4" t="str">
        <f>IFERROR(__xludf.DUMMYFUNCTION("""COMPUTED_VALUE"""),"Ashwini Kumar")</f>
        <v>Ashwini Kumar</v>
      </c>
      <c r="G10" s="4" t="str">
        <f>IFERROR(__xludf.DUMMYFUNCTION("""COMPUTED_VALUE"""),"Cluster - Kanhaiya")</f>
        <v>Cluster - Kanhaiya</v>
      </c>
      <c r="H10" s="4"/>
      <c r="I10" s="5"/>
      <c r="J10" s="4"/>
      <c r="K10" s="4" t="str">
        <f>IFERROR(__xludf.DUMMYFUNCTION("""COMPUTED_VALUE"""),"ID Not Created")</f>
        <v>ID Not Created</v>
      </c>
      <c r="L10" s="4"/>
    </row>
    <row r="11">
      <c r="A11" s="4" t="str">
        <f>IFERROR(__xludf.DUMMYFUNCTION("""COMPUTED_VALUE"""),"DME0236")</f>
        <v>DME0236</v>
      </c>
      <c r="B11" s="4" t="str">
        <f>IFERROR(__xludf.DUMMYFUNCTION("""COMPUTED_VALUE"""),"Arpana Rajaram Shetty")</f>
        <v>Arpana Rajaram Shetty</v>
      </c>
      <c r="C11" s="6" t="str">
        <f>IFERROR(__xludf.DUMMYFUNCTION("""COMPUTED_VALUE"""),"arpana.shetty@onixnet.com")</f>
        <v>arpana.shetty@onixnet.com</v>
      </c>
      <c r="D11" s="4" t="str">
        <f>IFERROR(__xludf.DUMMYFUNCTION("""COMPUTED_VALUE"""),"Active")</f>
        <v>Active</v>
      </c>
      <c r="E11" s="4" t="str">
        <f>IFERROR(__xludf.DUMMYFUNCTION("""COMPUTED_VALUE"""),"Delivery Services")</f>
        <v>Delivery Services</v>
      </c>
      <c r="F11" s="4" t="str">
        <f>IFERROR(__xludf.DUMMYFUNCTION("""COMPUTED_VALUE"""),"Rahul Gupta")</f>
        <v>Rahul Gupta</v>
      </c>
      <c r="G11" s="4" t="str">
        <f>IFERROR(__xludf.DUMMYFUNCTION("""COMPUTED_VALUE"""),"Cluster - Gaurav")</f>
        <v>Cluster - Gaurav</v>
      </c>
      <c r="H11" s="4" t="str">
        <f>IFERROR(__xludf.DUMMYFUNCTION("""COMPUTED_VALUE"""),"ONIASDCO4")</f>
        <v>ONIASDCO4</v>
      </c>
      <c r="I11" s="5">
        <f>IFERROR(__xludf.DUMMYFUNCTION("""COMPUTED_VALUE"""),0.0)</f>
        <v>0</v>
      </c>
      <c r="J11" s="4" t="str">
        <f>IFERROR(__xludf.DUMMYFUNCTION("""COMPUTED_VALUE"""),"Tier 4")</f>
        <v>Tier 4</v>
      </c>
      <c r="K11" s="4" t="str">
        <f>IFERROR(__xludf.DUMMYFUNCTION("""COMPUTED_VALUE"""),"ID Created DRP score 0")</f>
        <v>ID Created DRP score 0</v>
      </c>
      <c r="L11" s="4"/>
    </row>
    <row r="12">
      <c r="A12" s="4" t="str">
        <f>IFERROR(__xludf.DUMMYFUNCTION("""COMPUTED_VALUE"""),"DME0304")</f>
        <v>DME0304</v>
      </c>
      <c r="B12" s="4" t="str">
        <f>IFERROR(__xludf.DUMMYFUNCTION("""COMPUTED_VALUE"""),"Akash Ramesh Morey")</f>
        <v>Akash Ramesh Morey</v>
      </c>
      <c r="C12" s="6" t="str">
        <f>IFERROR(__xludf.DUMMYFUNCTION("""COMPUTED_VALUE"""),"akash.morey@onixnet.com")</f>
        <v>akash.morey@onixnet.com</v>
      </c>
      <c r="D12" s="4" t="str">
        <f>IFERROR(__xludf.DUMMYFUNCTION("""COMPUTED_VALUE"""),"Active")</f>
        <v>Active</v>
      </c>
      <c r="E12" s="4" t="str">
        <f>IFERROR(__xludf.DUMMYFUNCTION("""COMPUTED_VALUE"""),"Delivery Services")</f>
        <v>Delivery Services</v>
      </c>
      <c r="F12" s="4" t="str">
        <f>IFERROR(__xludf.DUMMYFUNCTION("""COMPUTED_VALUE"""),"Arabi Mohammed")</f>
        <v>Arabi Mohammed</v>
      </c>
      <c r="G12" s="4" t="str">
        <f>IFERROR(__xludf.DUMMYFUNCTION("""COMPUTED_VALUE"""),"Cluster - Sandeep")</f>
        <v>Cluster - Sandeep</v>
      </c>
      <c r="H12" s="4" t="str">
        <f>IFERROR(__xludf.DUMMYFUNCTION("""COMPUTED_VALUE"""),"ONIAMJJL9")</f>
        <v>ONIAMJJL9</v>
      </c>
      <c r="I12" s="5">
        <f>IFERROR(__xludf.DUMMYFUNCTION("""COMPUTED_VALUE"""),14.0)</f>
        <v>14</v>
      </c>
      <c r="J12" s="4" t="str">
        <f>IFERROR(__xludf.DUMMYFUNCTION("""COMPUTED_VALUE"""),"Tier 4")</f>
        <v>Tier 4</v>
      </c>
      <c r="K12" s="4" t="str">
        <f>IFERROR(__xludf.DUMMYFUNCTION("""COMPUTED_VALUE"""),"Active")</f>
        <v>Active</v>
      </c>
      <c r="L12" s="4" t="str">
        <f>IFERROR(__xludf.DUMMYFUNCTION("""COMPUTED_VALUE"""),"AI Applications")</f>
        <v>AI Applications</v>
      </c>
    </row>
    <row r="13">
      <c r="A13" s="4" t="str">
        <f>IFERROR(__xludf.DUMMYFUNCTION("""COMPUTED_VALUE"""),"DME0374")</f>
        <v>DME0374</v>
      </c>
      <c r="B13" s="4" t="str">
        <f>IFERROR(__xludf.DUMMYFUNCTION("""COMPUTED_VALUE"""),"Anil Kamath Aleppy")</f>
        <v>Anil Kamath Aleppy</v>
      </c>
      <c r="C13" s="6" t="str">
        <f>IFERROR(__xludf.DUMMYFUNCTION("""COMPUTED_VALUE"""),"anil.aleppy@onixnet.com")</f>
        <v>anil.aleppy@onixnet.com</v>
      </c>
      <c r="D13" s="4" t="str">
        <f>IFERROR(__xludf.DUMMYFUNCTION("""COMPUTED_VALUE"""),"Active")</f>
        <v>Active</v>
      </c>
      <c r="E13" s="4" t="str">
        <f>IFERROR(__xludf.DUMMYFUNCTION("""COMPUTED_VALUE"""),"Product Engineering")</f>
        <v>Product Engineering</v>
      </c>
      <c r="F13" s="4" t="str">
        <f>IFERROR(__xludf.DUMMYFUNCTION("""COMPUTED_VALUE"""),"Niraj Kumar")</f>
        <v>Niraj Kumar</v>
      </c>
      <c r="G13" s="4" t="str">
        <f>IFERROR(__xludf.DUMMYFUNCTION("""COMPUTED_VALUE"""),"Cluster - Niraj")</f>
        <v>Cluster - Niraj</v>
      </c>
      <c r="H13" s="4" t="str">
        <f>IFERROR(__xludf.DUMMYFUNCTION("""COMPUTED_VALUE"""),"DATAAOIT2")</f>
        <v>DATAAOIT2</v>
      </c>
      <c r="I13" s="5">
        <f>IFERROR(__xludf.DUMMYFUNCTION("""COMPUTED_VALUE"""),9.0)</f>
        <v>9</v>
      </c>
      <c r="J13" s="4" t="str">
        <f>IFERROR(__xludf.DUMMYFUNCTION("""COMPUTED_VALUE"""),"Tier 4")</f>
        <v>Tier 4</v>
      </c>
      <c r="K13" s="4" t="str">
        <f>IFERROR(__xludf.DUMMYFUNCTION("""COMPUTED_VALUE"""),"Active")</f>
        <v>Active</v>
      </c>
      <c r="L13" s="4" t="str">
        <f>IFERROR(__xludf.DUMMYFUNCTION("""COMPUTED_VALUE"""),"Google Compute Engine")</f>
        <v>Google Compute Engine</v>
      </c>
    </row>
    <row r="14">
      <c r="A14" s="4" t="str">
        <f>IFERROR(__xludf.DUMMYFUNCTION("""COMPUTED_VALUE"""),"DME0378")</f>
        <v>DME0378</v>
      </c>
      <c r="B14" s="4" t="str">
        <f>IFERROR(__xludf.DUMMYFUNCTION("""COMPUTED_VALUE"""),"Kamlesh Kumar")</f>
        <v>Kamlesh Kumar</v>
      </c>
      <c r="C14" s="6" t="str">
        <f>IFERROR(__xludf.DUMMYFUNCTION("""COMPUTED_VALUE"""),"kamlesh.kumar@onixnet.com")</f>
        <v>kamlesh.kumar@onixnet.com</v>
      </c>
      <c r="D14" s="4" t="str">
        <f>IFERROR(__xludf.DUMMYFUNCTION("""COMPUTED_VALUE"""),"Active")</f>
        <v>Active</v>
      </c>
      <c r="E14" s="4" t="str">
        <f>IFERROR(__xludf.DUMMYFUNCTION("""COMPUTED_VALUE"""),"Product Engineering")</f>
        <v>Product Engineering</v>
      </c>
      <c r="F14" s="4" t="str">
        <f>IFERROR(__xludf.DUMMYFUNCTION("""COMPUTED_VALUE"""),"Venkat Shivkumar")</f>
        <v>Venkat Shivkumar</v>
      </c>
      <c r="G14" s="4" t="str">
        <f>IFERROR(__xludf.DUMMYFUNCTION("""COMPUTED_VALUE"""),"Cluster - Mayur")</f>
        <v>Cluster - Mayur</v>
      </c>
      <c r="H14" s="4" t="str">
        <f>IFERROR(__xludf.DUMMYFUNCTION("""COMPUTED_VALUE"""),"ONIKKAVT0")</f>
        <v>ONIKKAVT0</v>
      </c>
      <c r="I14" s="5">
        <f>IFERROR(__xludf.DUMMYFUNCTION("""COMPUTED_VALUE"""),9.0)</f>
        <v>9</v>
      </c>
      <c r="J14" s="4" t="str">
        <f>IFERROR(__xludf.DUMMYFUNCTION("""COMPUTED_VALUE"""),"Tier 4")</f>
        <v>Tier 4</v>
      </c>
      <c r="K14" s="4" t="str">
        <f>IFERROR(__xludf.DUMMYFUNCTION("""COMPUTED_VALUE"""),"Active")</f>
        <v>Active</v>
      </c>
      <c r="L14" s="4" t="str">
        <f>IFERROR(__xludf.DUMMYFUNCTION("""COMPUTED_VALUE"""),"BigQuery")</f>
        <v>BigQuery</v>
      </c>
    </row>
    <row r="15">
      <c r="A15" s="4" t="str">
        <f>IFERROR(__xludf.DUMMYFUNCTION("""COMPUTED_VALUE"""),"DME0380")</f>
        <v>DME0380</v>
      </c>
      <c r="B15" s="4" t="str">
        <f>IFERROR(__xludf.DUMMYFUNCTION("""COMPUTED_VALUE"""),"Sushant Gadiwan")</f>
        <v>Sushant Gadiwan</v>
      </c>
      <c r="C15" s="6" t="str">
        <f>IFERROR(__xludf.DUMMYFUNCTION("""COMPUTED_VALUE"""),"sushant.gadiwan@onixnet.com")</f>
        <v>sushant.gadiwan@onixnet.com</v>
      </c>
      <c r="D15" s="4" t="str">
        <f>IFERROR(__xludf.DUMMYFUNCTION("""COMPUTED_VALUE"""),"Active")</f>
        <v>Active</v>
      </c>
      <c r="E15" s="4" t="str">
        <f>IFERROR(__xludf.DUMMYFUNCTION("""COMPUTED_VALUE"""),"Delivery Services")</f>
        <v>Delivery Services</v>
      </c>
      <c r="F15" s="4" t="str">
        <f>IFERROR(__xludf.DUMMYFUNCTION("""COMPUTED_VALUE"""),"Jitender Singh")</f>
        <v>Jitender Singh</v>
      </c>
      <c r="G15" s="4" t="str">
        <f>IFERROR(__xludf.DUMMYFUNCTION("""COMPUTED_VALUE"""),"Cluster - Gaurav")</f>
        <v>Cluster - Gaurav</v>
      </c>
      <c r="H15" s="4" t="str">
        <f>IFERROR(__xludf.DUMMYFUNCTION("""COMPUTED_VALUE"""),"ONISGOLS1")</f>
        <v>ONISGOLS1</v>
      </c>
      <c r="I15" s="5">
        <f>IFERROR(__xludf.DUMMYFUNCTION("""COMPUTED_VALUE"""),14.0)</f>
        <v>14</v>
      </c>
      <c r="J15" s="4" t="str">
        <f>IFERROR(__xludf.DUMMYFUNCTION("""COMPUTED_VALUE"""),"Tier 4")</f>
        <v>Tier 4</v>
      </c>
      <c r="K15" s="4" t="str">
        <f>IFERROR(__xludf.DUMMYFUNCTION("""COMPUTED_VALUE"""),"Active")</f>
        <v>Active</v>
      </c>
      <c r="L15" s="4" t="str">
        <f>IFERROR(__xludf.DUMMYFUNCTION("""COMPUTED_VALUE"""),"BigQuery")</f>
        <v>BigQuery</v>
      </c>
    </row>
    <row r="16">
      <c r="A16" s="4" t="str">
        <f>IFERROR(__xludf.DUMMYFUNCTION("""COMPUTED_VALUE"""),"DME0420")</f>
        <v>DME0420</v>
      </c>
      <c r="B16" s="4" t="str">
        <f>IFERROR(__xludf.DUMMYFUNCTION("""COMPUTED_VALUE"""),"Divyanshu Srivastava")</f>
        <v>Divyanshu Srivastava</v>
      </c>
      <c r="C16" s="6" t="str">
        <f>IFERROR(__xludf.DUMMYFUNCTION("""COMPUTED_VALUE"""),"divyanshu.s@onixnet.com")</f>
        <v>divyanshu.s@onixnet.com</v>
      </c>
      <c r="D16" s="4" t="str">
        <f>IFERROR(__xludf.DUMMYFUNCTION("""COMPUTED_VALUE"""),"Active")</f>
        <v>Active</v>
      </c>
      <c r="E16" s="4" t="str">
        <f>IFERROR(__xludf.DUMMYFUNCTION("""COMPUTED_VALUE"""),"Product Engineering")</f>
        <v>Product Engineering</v>
      </c>
      <c r="F16" s="4" t="str">
        <f>IFERROR(__xludf.DUMMYFUNCTION("""COMPUTED_VALUE"""),"Anand Sharma")</f>
        <v>Anand Sharma</v>
      </c>
      <c r="G16" s="4" t="str">
        <f>IFERROR(__xludf.DUMMYFUNCTION("""COMPUTED_VALUE"""),"Cluster - Mayur")</f>
        <v>Cluster - Mayur</v>
      </c>
      <c r="H16" s="4" t="str">
        <f>IFERROR(__xludf.DUMMYFUNCTION("""COMPUTED_VALUE"""),"ONIDSQIP3")</f>
        <v>ONIDSQIP3</v>
      </c>
      <c r="I16" s="5">
        <f>IFERROR(__xludf.DUMMYFUNCTION("""COMPUTED_VALUE"""),0.0)</f>
        <v>0</v>
      </c>
      <c r="J16" s="4" t="str">
        <f>IFERROR(__xludf.DUMMYFUNCTION("""COMPUTED_VALUE"""),"Tier 4")</f>
        <v>Tier 4</v>
      </c>
      <c r="K16" s="4" t="str">
        <f>IFERROR(__xludf.DUMMYFUNCTION("""COMPUTED_VALUE"""),"ID Created DRP score 0")</f>
        <v>ID Created DRP score 0</v>
      </c>
      <c r="L16" s="4"/>
    </row>
    <row r="17">
      <c r="A17" s="4" t="str">
        <f>IFERROR(__xludf.DUMMYFUNCTION("""COMPUTED_VALUE"""),"DME0437")</f>
        <v>DME0437</v>
      </c>
      <c r="B17" s="4" t="str">
        <f>IFERROR(__xludf.DUMMYFUNCTION("""COMPUTED_VALUE"""),"Md. Javed Ansari")</f>
        <v>Md. Javed Ansari</v>
      </c>
      <c r="C17" s="6" t="str">
        <f>IFERROR(__xludf.DUMMYFUNCTION("""COMPUTED_VALUE"""),"javed.ansari@onixnet.com")</f>
        <v>javed.ansari@onixnet.com</v>
      </c>
      <c r="D17" s="4" t="str">
        <f>IFERROR(__xludf.DUMMYFUNCTION("""COMPUTED_VALUE"""),"Active")</f>
        <v>Active</v>
      </c>
      <c r="E17" s="4" t="str">
        <f>IFERROR(__xludf.DUMMYFUNCTION("""COMPUTED_VALUE"""),"Delivery Services")</f>
        <v>Delivery Services</v>
      </c>
      <c r="F17" s="4" t="str">
        <f>IFERROR(__xludf.DUMMYFUNCTION("""COMPUTED_VALUE"""),"Lalit Sakure")</f>
        <v>Lalit Sakure</v>
      </c>
      <c r="G17" s="4" t="str">
        <f>IFERROR(__xludf.DUMMYFUNCTION("""COMPUTED_VALUE"""),"Cluster - Gaurav")</f>
        <v>Cluster - Gaurav</v>
      </c>
      <c r="H17" s="4" t="str">
        <f>IFERROR(__xludf.DUMMYFUNCTION("""COMPUTED_VALUE"""),"ONIJAJUO2")</f>
        <v>ONIJAJUO2</v>
      </c>
      <c r="I17" s="5">
        <f>IFERROR(__xludf.DUMMYFUNCTION("""COMPUTED_VALUE"""),19.0)</f>
        <v>19</v>
      </c>
      <c r="J17" s="4" t="str">
        <f>IFERROR(__xludf.DUMMYFUNCTION("""COMPUTED_VALUE"""),"Tier 4")</f>
        <v>Tier 4</v>
      </c>
      <c r="K17" s="4" t="str">
        <f>IFERROR(__xludf.DUMMYFUNCTION("""COMPUTED_VALUE"""),"Active")</f>
        <v>Active</v>
      </c>
      <c r="L17" s="4" t="str">
        <f>IFERROR(__xludf.DUMMYFUNCTION("""COMPUTED_VALUE"""),"BigQuery")</f>
        <v>BigQuery</v>
      </c>
    </row>
    <row r="18">
      <c r="A18" s="4" t="str">
        <f>IFERROR(__xludf.DUMMYFUNCTION("""COMPUTED_VALUE"""),"DME0449")</f>
        <v>DME0449</v>
      </c>
      <c r="B18" s="4" t="str">
        <f>IFERROR(__xludf.DUMMYFUNCTION("""COMPUTED_VALUE"""),"Akshay Bhargava")</f>
        <v>Akshay Bhargava</v>
      </c>
      <c r="C18" s="6" t="str">
        <f>IFERROR(__xludf.DUMMYFUNCTION("""COMPUTED_VALUE"""),"akshay.bhargava@onixnet.com")</f>
        <v>akshay.bhargava@onixnet.com</v>
      </c>
      <c r="D18" s="4" t="str">
        <f>IFERROR(__xludf.DUMMYFUNCTION("""COMPUTED_VALUE"""),"Active")</f>
        <v>Active</v>
      </c>
      <c r="E18" s="4" t="str">
        <f>IFERROR(__xludf.DUMMYFUNCTION("""COMPUTED_VALUE"""),"Delivery Services")</f>
        <v>Delivery Services</v>
      </c>
      <c r="F18" s="4" t="str">
        <f>IFERROR(__xludf.DUMMYFUNCTION("""COMPUTED_VALUE"""),"Kanhaiya Jha")</f>
        <v>Kanhaiya Jha</v>
      </c>
      <c r="G18" s="4" t="str">
        <f>IFERROR(__xludf.DUMMYFUNCTION("""COMPUTED_VALUE"""),"Cluster - Kanhaiya")</f>
        <v>Cluster - Kanhaiya</v>
      </c>
      <c r="H18" s="4" t="str">
        <f>IFERROR(__xludf.DUMMYFUNCTION("""COMPUTED_VALUE"""),"DATABAVZ7")</f>
        <v>DATABAVZ7</v>
      </c>
      <c r="I18" s="5">
        <f>IFERROR(__xludf.DUMMYFUNCTION("""COMPUTED_VALUE"""),39.0)</f>
        <v>39</v>
      </c>
      <c r="J18" s="7" t="str">
        <f>IFERROR(__xludf.DUMMYFUNCTION("""COMPUTED_VALUE"""),"Tier 2")</f>
        <v>Tier 2</v>
      </c>
      <c r="K18" s="4" t="str">
        <f>IFERROR(__xludf.DUMMYFUNCTION("""COMPUTED_VALUE"""),"Active")</f>
        <v>Active</v>
      </c>
      <c r="L18" s="4" t="str">
        <f>IFERROR(__xludf.DUMMYFUNCTION("""COMPUTED_VALUE"""),"BigQuery")</f>
        <v>BigQuery</v>
      </c>
    </row>
    <row r="19">
      <c r="A19" s="4" t="str">
        <f>IFERROR(__xludf.DUMMYFUNCTION("""COMPUTED_VALUE"""),"DME0495")</f>
        <v>DME0495</v>
      </c>
      <c r="B19" s="4" t="str">
        <f>IFERROR(__xludf.DUMMYFUNCTION("""COMPUTED_VALUE"""),"Aditya Basak")</f>
        <v>Aditya Basak</v>
      </c>
      <c r="C19" s="6" t="str">
        <f>IFERROR(__xludf.DUMMYFUNCTION("""COMPUTED_VALUE"""),"aditya.basak@onixnet.com")</f>
        <v>aditya.basak@onixnet.com</v>
      </c>
      <c r="D19" s="4" t="str">
        <f>IFERROR(__xludf.DUMMYFUNCTION("""COMPUTED_VALUE"""),"Active")</f>
        <v>Active</v>
      </c>
      <c r="E19" s="4" t="str">
        <f>IFERROR(__xludf.DUMMYFUNCTION("""COMPUTED_VALUE"""),"Product Engineering")</f>
        <v>Product Engineering</v>
      </c>
      <c r="F19" s="4" t="str">
        <f>IFERROR(__xludf.DUMMYFUNCTION("""COMPUTED_VALUE"""),"Jayesh Shukla")</f>
        <v>Jayesh Shukla</v>
      </c>
      <c r="G19" s="4" t="str">
        <f>IFERROR(__xludf.DUMMYFUNCTION("""COMPUTED_VALUE"""),"Cluster - Mayur")</f>
        <v>Cluster - Mayur</v>
      </c>
      <c r="H19" s="4"/>
      <c r="I19" s="5"/>
      <c r="J19" s="7"/>
      <c r="K19" s="4" t="str">
        <f>IFERROR(__xludf.DUMMYFUNCTION("""COMPUTED_VALUE"""),"ID Not Created")</f>
        <v>ID Not Created</v>
      </c>
      <c r="L19" s="4"/>
    </row>
    <row r="20">
      <c r="A20" s="4" t="str">
        <f>IFERROR(__xludf.DUMMYFUNCTION("""COMPUTED_VALUE"""),"DME0491")</f>
        <v>DME0491</v>
      </c>
      <c r="B20" s="4" t="str">
        <f>IFERROR(__xludf.DUMMYFUNCTION("""COMPUTED_VALUE"""),"Pranay Vinod Parmar")</f>
        <v>Pranay Vinod Parmar</v>
      </c>
      <c r="C20" s="6" t="str">
        <f>IFERROR(__xludf.DUMMYFUNCTION("""COMPUTED_VALUE"""),"pranay.parmar@onixnet.com")</f>
        <v>pranay.parmar@onixnet.com</v>
      </c>
      <c r="D20" s="4" t="str">
        <f>IFERROR(__xludf.DUMMYFUNCTION("""COMPUTED_VALUE"""),"Active")</f>
        <v>Active</v>
      </c>
      <c r="E20" s="4" t="str">
        <f>IFERROR(__xludf.DUMMYFUNCTION("""COMPUTED_VALUE"""),"Product Engineering")</f>
        <v>Product Engineering</v>
      </c>
      <c r="F20" s="4" t="str">
        <f>IFERROR(__xludf.DUMMYFUNCTION("""COMPUTED_VALUE"""),"Jayesh Shukla")</f>
        <v>Jayesh Shukla</v>
      </c>
      <c r="G20" s="4" t="str">
        <f>IFERROR(__xludf.DUMMYFUNCTION("""COMPUTED_VALUE"""),"Cluster - Mayur")</f>
        <v>Cluster - Mayur</v>
      </c>
      <c r="H20" s="4" t="str">
        <f>IFERROR(__xludf.DUMMYFUNCTION("""COMPUTED_VALUE"""),"ONIPPHFR0")</f>
        <v>ONIPPHFR0</v>
      </c>
      <c r="I20" s="5">
        <f>IFERROR(__xludf.DUMMYFUNCTION("""COMPUTED_VALUE"""),10.0)</f>
        <v>10</v>
      </c>
      <c r="J20" s="7" t="str">
        <f>IFERROR(__xludf.DUMMYFUNCTION("""COMPUTED_VALUE"""),"Tier 4")</f>
        <v>Tier 4</v>
      </c>
      <c r="K20" s="4" t="str">
        <f>IFERROR(__xludf.DUMMYFUNCTION("""COMPUTED_VALUE"""),"Active")</f>
        <v>Active</v>
      </c>
      <c r="L20" s="4" t="str">
        <f>IFERROR(__xludf.DUMMYFUNCTION("""COMPUTED_VALUE"""),"AI Applications")</f>
        <v>AI Applications</v>
      </c>
    </row>
    <row r="21">
      <c r="A21" s="4" t="str">
        <f>IFERROR(__xludf.DUMMYFUNCTION("""COMPUTED_VALUE"""),"DME0502")</f>
        <v>DME0502</v>
      </c>
      <c r="B21" s="4" t="str">
        <f>IFERROR(__xludf.DUMMYFUNCTION("""COMPUTED_VALUE"""),"Sudhir Singh")</f>
        <v>Sudhir Singh</v>
      </c>
      <c r="C21" s="6" t="str">
        <f>IFERROR(__xludf.DUMMYFUNCTION("""COMPUTED_VALUE"""),"sudhir.singh@onixnet.com")</f>
        <v>sudhir.singh@onixnet.com</v>
      </c>
      <c r="D21" s="4" t="str">
        <f>IFERROR(__xludf.DUMMYFUNCTION("""COMPUTED_VALUE"""),"Active")</f>
        <v>Active</v>
      </c>
      <c r="E21" s="4" t="str">
        <f>IFERROR(__xludf.DUMMYFUNCTION("""COMPUTED_VALUE"""),"Product Engineering")</f>
        <v>Product Engineering</v>
      </c>
      <c r="F21" s="4" t="str">
        <f>IFERROR(__xludf.DUMMYFUNCTION("""COMPUTED_VALUE"""),"Mayur Jain")</f>
        <v>Mayur Jain</v>
      </c>
      <c r="G21" s="4" t="str">
        <f>IFERROR(__xludf.DUMMYFUNCTION("""COMPUTED_VALUE"""),"Cluster - Mayur")</f>
        <v>Cluster - Mayur</v>
      </c>
      <c r="H21" s="4" t="str">
        <f>IFERROR(__xludf.DUMMYFUNCTION("""COMPUTED_VALUE"""),"ONISSRRN7")</f>
        <v>ONISSRRN7</v>
      </c>
      <c r="I21" s="5">
        <f>IFERROR(__xludf.DUMMYFUNCTION("""COMPUTED_VALUE"""),20.0)</f>
        <v>20</v>
      </c>
      <c r="J21" s="7" t="str">
        <f>IFERROR(__xludf.DUMMYFUNCTION("""COMPUTED_VALUE"""),"Tier 3")</f>
        <v>Tier 3</v>
      </c>
      <c r="K21" s="4" t="str">
        <f>IFERROR(__xludf.DUMMYFUNCTION("""COMPUTED_VALUE"""),"Active")</f>
        <v>Active</v>
      </c>
      <c r="L21" s="4" t="str">
        <f>IFERROR(__xludf.DUMMYFUNCTION("""COMPUTED_VALUE"""),"Gemini Enterprise")</f>
        <v>Gemini Enterprise</v>
      </c>
    </row>
    <row r="22">
      <c r="A22" s="4" t="str">
        <f>IFERROR(__xludf.DUMMYFUNCTION("""COMPUTED_VALUE"""),"DME0518")</f>
        <v>DME0518</v>
      </c>
      <c r="B22" s="4" t="str">
        <f>IFERROR(__xludf.DUMMYFUNCTION("""COMPUTED_VALUE"""),"Akash Ashok Choudhari")</f>
        <v>Akash Ashok Choudhari</v>
      </c>
      <c r="C22" s="6" t="str">
        <f>IFERROR(__xludf.DUMMYFUNCTION("""COMPUTED_VALUE"""),"akash.choudhari@onixnet.com")</f>
        <v>akash.choudhari@onixnet.com</v>
      </c>
      <c r="D22" s="4" t="str">
        <f>IFERROR(__xludf.DUMMYFUNCTION("""COMPUTED_VALUE"""),"Active")</f>
        <v>Active</v>
      </c>
      <c r="E22" s="4" t="str">
        <f>IFERROR(__xludf.DUMMYFUNCTION("""COMPUTED_VALUE"""),"Delivery Services")</f>
        <v>Delivery Services</v>
      </c>
      <c r="F22" s="4" t="str">
        <f>IFERROR(__xludf.DUMMYFUNCTION("""COMPUTED_VALUE"""),"Arabi Mohammed")</f>
        <v>Arabi Mohammed</v>
      </c>
      <c r="G22" s="4" t="str">
        <f>IFERROR(__xludf.DUMMYFUNCTION("""COMPUTED_VALUE"""),"Cluster - Sandeep")</f>
        <v>Cluster - Sandeep</v>
      </c>
      <c r="H22" s="4" t="str">
        <f>IFERROR(__xludf.DUMMYFUNCTION("""COMPUTED_VALUE"""),"DATACZCI3")</f>
        <v>DATACZCI3</v>
      </c>
      <c r="I22" s="5">
        <f>IFERROR(__xludf.DUMMYFUNCTION("""COMPUTED_VALUE"""),54.0)</f>
        <v>54</v>
      </c>
      <c r="J22" s="4" t="str">
        <f>IFERROR(__xludf.DUMMYFUNCTION("""COMPUTED_VALUE"""),"Tier 1")</f>
        <v>Tier 1</v>
      </c>
      <c r="K22" s="4" t="str">
        <f>IFERROR(__xludf.DUMMYFUNCTION("""COMPUTED_VALUE"""),"Active")</f>
        <v>Active</v>
      </c>
      <c r="L22" s="4" t="str">
        <f>IFERROR(__xludf.DUMMYFUNCTION("""COMPUTED_VALUE"""),"Gemini Enterprise Agent Platform")</f>
        <v>Gemini Enterprise Agent Platform</v>
      </c>
    </row>
    <row r="23">
      <c r="A23" s="4" t="str">
        <f>IFERROR(__xludf.DUMMYFUNCTION("""COMPUTED_VALUE"""),"DME0534")</f>
        <v>DME0534</v>
      </c>
      <c r="B23" s="4" t="str">
        <f>IFERROR(__xludf.DUMMYFUNCTION("""COMPUTED_VALUE"""),"Ravi Shankar")</f>
        <v>Ravi Shankar</v>
      </c>
      <c r="C23" s="6" t="str">
        <f>IFERROR(__xludf.DUMMYFUNCTION("""COMPUTED_VALUE"""),"ravi.shankar@onixnet.com")</f>
        <v>ravi.shankar@onixnet.com</v>
      </c>
      <c r="D23" s="4" t="str">
        <f>IFERROR(__xludf.DUMMYFUNCTION("""COMPUTED_VALUE"""),"Active")</f>
        <v>Active</v>
      </c>
      <c r="E23" s="4" t="str">
        <f>IFERROR(__xludf.DUMMYFUNCTION("""COMPUTED_VALUE"""),"Delivery Services")</f>
        <v>Delivery Services</v>
      </c>
      <c r="F23" s="4" t="str">
        <f>IFERROR(__xludf.DUMMYFUNCTION("""COMPUTED_VALUE"""),"Sagar Surana")</f>
        <v>Sagar Surana</v>
      </c>
      <c r="G23" s="4" t="str">
        <f>IFERROR(__xludf.DUMMYFUNCTION("""COMPUTED_VALUE"""),"Cluster - Sagar")</f>
        <v>Cluster - Sagar</v>
      </c>
      <c r="H23" s="4" t="str">
        <f>IFERROR(__xludf.DUMMYFUNCTION("""COMPUTED_VALUE"""),"ONIRSJOW2")</f>
        <v>ONIRSJOW2</v>
      </c>
      <c r="I23" s="5">
        <f>IFERROR(__xludf.DUMMYFUNCTION("""COMPUTED_VALUE"""),55.0)</f>
        <v>55</v>
      </c>
      <c r="J23" s="4" t="str">
        <f>IFERROR(__xludf.DUMMYFUNCTION("""COMPUTED_VALUE"""),"Tier 1")</f>
        <v>Tier 1</v>
      </c>
      <c r="K23" s="4" t="str">
        <f>IFERROR(__xludf.DUMMYFUNCTION("""COMPUTED_VALUE"""),"Active")</f>
        <v>Active</v>
      </c>
      <c r="L23" s="4" t="str">
        <f>IFERROR(__xludf.DUMMYFUNCTION("""COMPUTED_VALUE"""),"BigQuery")</f>
        <v>BigQuery</v>
      </c>
    </row>
    <row r="24">
      <c r="A24" s="4" t="str">
        <f>IFERROR(__xludf.DUMMYFUNCTION("""COMPUTED_VALUE"""),"DME0536")</f>
        <v>DME0536</v>
      </c>
      <c r="B24" s="4" t="str">
        <f>IFERROR(__xludf.DUMMYFUNCTION("""COMPUTED_VALUE"""),"Vikas Bisen")</f>
        <v>Vikas Bisen</v>
      </c>
      <c r="C24" s="6" t="str">
        <f>IFERROR(__xludf.DUMMYFUNCTION("""COMPUTED_VALUE"""),"vikas.bisen@onixnet.com")</f>
        <v>vikas.bisen@onixnet.com</v>
      </c>
      <c r="D24" s="4" t="str">
        <f>IFERROR(__xludf.DUMMYFUNCTION("""COMPUTED_VALUE"""),"Active")</f>
        <v>Active</v>
      </c>
      <c r="E24" s="4" t="str">
        <f>IFERROR(__xludf.DUMMYFUNCTION("""COMPUTED_VALUE"""),"Delivery Services")</f>
        <v>Delivery Services</v>
      </c>
      <c r="F24" s="4" t="str">
        <f>IFERROR(__xludf.DUMMYFUNCTION("""COMPUTED_VALUE"""),"Shubhendu Shubhendu")</f>
        <v>Shubhendu Shubhendu</v>
      </c>
      <c r="G24" s="4" t="str">
        <f>IFERROR(__xludf.DUMMYFUNCTION("""COMPUTED_VALUE"""),"Cluster - Kanhaiya")</f>
        <v>Cluster - Kanhaiya</v>
      </c>
      <c r="H24" s="4" t="str">
        <f>IFERROR(__xludf.DUMMYFUNCTION("""COMPUTED_VALUE"""),"ONIVBBJK5")</f>
        <v>ONIVBBJK5</v>
      </c>
      <c r="I24" s="5">
        <f>IFERROR(__xludf.DUMMYFUNCTION("""COMPUTED_VALUE"""),5.0)</f>
        <v>5</v>
      </c>
      <c r="J24" s="4" t="str">
        <f>IFERROR(__xludf.DUMMYFUNCTION("""COMPUTED_VALUE"""),"Tier 4")</f>
        <v>Tier 4</v>
      </c>
      <c r="K24" s="4" t="str">
        <f>IFERROR(__xludf.DUMMYFUNCTION("""COMPUTED_VALUE"""),"Active")</f>
        <v>Active</v>
      </c>
      <c r="L24" s="4" t="str">
        <f>IFERROR(__xludf.DUMMYFUNCTION("""COMPUTED_VALUE"""),"AI Applications")</f>
        <v>AI Applications</v>
      </c>
    </row>
    <row r="25">
      <c r="A25" s="4" t="str">
        <f>IFERROR(__xludf.DUMMYFUNCTION("""COMPUTED_VALUE"""),"DME0545")</f>
        <v>DME0545</v>
      </c>
      <c r="B25" s="4" t="str">
        <f>IFERROR(__xludf.DUMMYFUNCTION("""COMPUTED_VALUE"""),"Ramesh Miriyam")</f>
        <v>Ramesh Miriyam</v>
      </c>
      <c r="C25" s="6" t="str">
        <f>IFERROR(__xludf.DUMMYFUNCTION("""COMPUTED_VALUE"""),"ramesh.miriyam@onixnet.com")</f>
        <v>ramesh.miriyam@onixnet.com</v>
      </c>
      <c r="D25" s="4" t="str">
        <f>IFERROR(__xludf.DUMMYFUNCTION("""COMPUTED_VALUE"""),"Active")</f>
        <v>Active</v>
      </c>
      <c r="E25" s="4" t="str">
        <f>IFERROR(__xludf.DUMMYFUNCTION("""COMPUTED_VALUE"""),"Delivery Services")</f>
        <v>Delivery Services</v>
      </c>
      <c r="F25" s="4" t="str">
        <f>IFERROR(__xludf.DUMMYFUNCTION("""COMPUTED_VALUE"""),"Kanhaiya Jha")</f>
        <v>Kanhaiya Jha</v>
      </c>
      <c r="G25" s="4" t="str">
        <f>IFERROR(__xludf.DUMMYFUNCTION("""COMPUTED_VALUE"""),"Cluster - Kanhaiya")</f>
        <v>Cluster - Kanhaiya</v>
      </c>
      <c r="H25" s="4" t="str">
        <f>IFERROR(__xludf.DUMMYFUNCTION("""COMPUTED_VALUE"""),"ONIRMMCM0")</f>
        <v>ONIRMMCM0</v>
      </c>
      <c r="I25" s="5">
        <f>IFERROR(__xludf.DUMMYFUNCTION("""COMPUTED_VALUE"""),0.0)</f>
        <v>0</v>
      </c>
      <c r="J25" s="4" t="str">
        <f>IFERROR(__xludf.DUMMYFUNCTION("""COMPUTED_VALUE"""),"Tier 4")</f>
        <v>Tier 4</v>
      </c>
      <c r="K25" s="4" t="str">
        <f>IFERROR(__xludf.DUMMYFUNCTION("""COMPUTED_VALUE"""),"ID Created DRP score 0")</f>
        <v>ID Created DRP score 0</v>
      </c>
      <c r="L25" s="4"/>
    </row>
    <row r="26">
      <c r="A26" s="4" t="str">
        <f>IFERROR(__xludf.DUMMYFUNCTION("""COMPUTED_VALUE"""),"DME0551")</f>
        <v>DME0551</v>
      </c>
      <c r="B26" s="4" t="str">
        <f>IFERROR(__xludf.DUMMYFUNCTION("""COMPUTED_VALUE"""),"Ravindra Reddy Adapa")</f>
        <v>Ravindra Reddy Adapa</v>
      </c>
      <c r="C26" s="4" t="str">
        <f>IFERROR(__xludf.DUMMYFUNCTION("""COMPUTED_VALUE"""),"ravindra.reddy@onixnet.com")</f>
        <v>ravindra.reddy@onixnet.com</v>
      </c>
      <c r="D26" s="4" t="str">
        <f>IFERROR(__xludf.DUMMYFUNCTION("""COMPUTED_VALUE"""),"Active")</f>
        <v>Active</v>
      </c>
      <c r="E26" s="4" t="str">
        <f>IFERROR(__xludf.DUMMYFUNCTION("""COMPUTED_VALUE"""),"Delivery Services")</f>
        <v>Delivery Services</v>
      </c>
      <c r="F26" s="4" t="str">
        <f>IFERROR(__xludf.DUMMYFUNCTION("""COMPUTED_VALUE"""),"Kanhaiya Jha")</f>
        <v>Kanhaiya Jha</v>
      </c>
      <c r="G26" s="4" t="str">
        <f>IFERROR(__xludf.DUMMYFUNCTION("""COMPUTED_VALUE"""),"Cluster - Kanhaiya")</f>
        <v>Cluster - Kanhaiya</v>
      </c>
      <c r="H26" s="4" t="str">
        <f>IFERROR(__xludf.DUMMYFUNCTION("""COMPUTED_VALUE"""),"ONIRAXHA2")</f>
        <v>ONIRAXHA2</v>
      </c>
      <c r="I26" s="5">
        <f>IFERROR(__xludf.DUMMYFUNCTION("""COMPUTED_VALUE"""),5.0)</f>
        <v>5</v>
      </c>
      <c r="J26" s="4" t="str">
        <f>IFERROR(__xludf.DUMMYFUNCTION("""COMPUTED_VALUE"""),"Tier 4")</f>
        <v>Tier 4</v>
      </c>
      <c r="K26" s="4" t="str">
        <f>IFERROR(__xludf.DUMMYFUNCTION("""COMPUTED_VALUE"""),"Active")</f>
        <v>Active</v>
      </c>
      <c r="L26" s="4" t="str">
        <f>IFERROR(__xludf.DUMMYFUNCTION("""COMPUTED_VALUE"""),"BigQuery")</f>
        <v>BigQuery</v>
      </c>
    </row>
    <row r="27">
      <c r="A27" s="4" t="str">
        <f>IFERROR(__xludf.DUMMYFUNCTION("""COMPUTED_VALUE"""),"DME0554")</f>
        <v>DME0554</v>
      </c>
      <c r="B27" s="4" t="str">
        <f>IFERROR(__xludf.DUMMYFUNCTION("""COMPUTED_VALUE"""),"Kanhaiya Jha")</f>
        <v>Kanhaiya Jha</v>
      </c>
      <c r="C27" s="4" t="str">
        <f>IFERROR(__xludf.DUMMYFUNCTION("""COMPUTED_VALUE"""),"kanhaiya.jha@onixnet.com")</f>
        <v>kanhaiya.jha@onixnet.com</v>
      </c>
      <c r="D27" s="4" t="str">
        <f>IFERROR(__xludf.DUMMYFUNCTION("""COMPUTED_VALUE"""),"Active")</f>
        <v>Active</v>
      </c>
      <c r="E27" s="4" t="str">
        <f>IFERROR(__xludf.DUMMYFUNCTION("""COMPUTED_VALUE"""),"Delivery Services")</f>
        <v>Delivery Services</v>
      </c>
      <c r="F27" s="4" t="str">
        <f>IFERROR(__xludf.DUMMYFUNCTION("""COMPUTED_VALUE"""),"Gaurav Bharara")</f>
        <v>Gaurav Bharara</v>
      </c>
      <c r="G27" s="4" t="str">
        <f>IFERROR(__xludf.DUMMYFUNCTION("""COMPUTED_VALUE"""),"Cluster - Kanhaiya")</f>
        <v>Cluster - Kanhaiya</v>
      </c>
      <c r="H27" s="4" t="str">
        <f>IFERROR(__xludf.DUMMYFUNCTION("""COMPUTED_VALUE"""),"ONIKJCIM5")</f>
        <v>ONIKJCIM5</v>
      </c>
      <c r="I27" s="5">
        <f>IFERROR(__xludf.DUMMYFUNCTION("""COMPUTED_VALUE"""),19.0)</f>
        <v>19</v>
      </c>
      <c r="J27" s="4" t="str">
        <f>IFERROR(__xludf.DUMMYFUNCTION("""COMPUTED_VALUE"""),"Tier 4")</f>
        <v>Tier 4</v>
      </c>
      <c r="K27" s="4" t="str">
        <f>IFERROR(__xludf.DUMMYFUNCTION("""COMPUTED_VALUE"""),"Active")</f>
        <v>Active</v>
      </c>
      <c r="L27" s="4" t="str">
        <f>IFERROR(__xludf.DUMMYFUNCTION("""COMPUTED_VALUE"""),"BigQuery")</f>
        <v>BigQuery</v>
      </c>
    </row>
    <row r="28">
      <c r="A28" s="4" t="str">
        <f>IFERROR(__xludf.DUMMYFUNCTION("""COMPUTED_VALUE"""),"DME0555")</f>
        <v>DME0555</v>
      </c>
      <c r="B28" s="4" t="str">
        <f>IFERROR(__xludf.DUMMYFUNCTION("""COMPUTED_VALUE"""),"Venkata Sai Teja Cherukuri")</f>
        <v>Venkata Sai Teja Cherukuri</v>
      </c>
      <c r="C28" s="4" t="str">
        <f>IFERROR(__xludf.DUMMYFUNCTION("""COMPUTED_VALUE"""),"cherukuri.teja@onixnet.com")</f>
        <v>cherukuri.teja@onixnet.com</v>
      </c>
      <c r="D28" s="4" t="str">
        <f>IFERROR(__xludf.DUMMYFUNCTION("""COMPUTED_VALUE"""),"Active")</f>
        <v>Active</v>
      </c>
      <c r="E28" s="4" t="str">
        <f>IFERROR(__xludf.DUMMYFUNCTION("""COMPUTED_VALUE"""),"Delivery Services")</f>
        <v>Delivery Services</v>
      </c>
      <c r="F28" s="4" t="str">
        <f>IFERROR(__xludf.DUMMYFUNCTION("""COMPUTED_VALUE"""),"Kanhaiya Jha")</f>
        <v>Kanhaiya Jha</v>
      </c>
      <c r="G28" s="4" t="str">
        <f>IFERROR(__xludf.DUMMYFUNCTION("""COMPUTED_VALUE"""),"Cluster - Kanhaiya")</f>
        <v>Cluster - Kanhaiya</v>
      </c>
      <c r="H28" s="4" t="str">
        <f>IFERROR(__xludf.DUMMYFUNCTION("""COMPUTED_VALUE"""),"ONISCUMS4")</f>
        <v>ONISCUMS4</v>
      </c>
      <c r="I28" s="5">
        <f>IFERROR(__xludf.DUMMYFUNCTION("""COMPUTED_VALUE"""),0.0)</f>
        <v>0</v>
      </c>
      <c r="J28" s="4" t="str">
        <f>IFERROR(__xludf.DUMMYFUNCTION("""COMPUTED_VALUE"""),"Tier 4")</f>
        <v>Tier 4</v>
      </c>
      <c r="K28" s="4" t="str">
        <f>IFERROR(__xludf.DUMMYFUNCTION("""COMPUTED_VALUE"""),"ID Created DRP score 0")</f>
        <v>ID Created DRP score 0</v>
      </c>
      <c r="L28" s="4"/>
    </row>
    <row r="29">
      <c r="A29" s="4" t="str">
        <f>IFERROR(__xludf.DUMMYFUNCTION("""COMPUTED_VALUE"""),"DME0561")</f>
        <v>DME0561</v>
      </c>
      <c r="B29" s="4" t="str">
        <f>IFERROR(__xludf.DUMMYFUNCTION("""COMPUTED_VALUE"""),"Amruta Atulkumar Sikchi")</f>
        <v>Amruta Atulkumar Sikchi</v>
      </c>
      <c r="C29" s="4" t="str">
        <f>IFERROR(__xludf.DUMMYFUNCTION("""COMPUTED_VALUE"""),"amruta.sikchi@onixnet.com")</f>
        <v>amruta.sikchi@onixnet.com</v>
      </c>
      <c r="D29" s="4" t="str">
        <f>IFERROR(__xludf.DUMMYFUNCTION("""COMPUTED_VALUE"""),"Active")</f>
        <v>Active</v>
      </c>
      <c r="E29" s="4" t="str">
        <f>IFERROR(__xludf.DUMMYFUNCTION("""COMPUTED_VALUE"""),"Product Engineering")</f>
        <v>Product Engineering</v>
      </c>
      <c r="F29" s="4" t="str">
        <f>IFERROR(__xludf.DUMMYFUNCTION("""COMPUTED_VALUE"""),"Sudhir Singh")</f>
        <v>Sudhir Singh</v>
      </c>
      <c r="G29" s="4" t="str">
        <f>IFERROR(__xludf.DUMMYFUNCTION("""COMPUTED_VALUE"""),"Cluster - Mayur")</f>
        <v>Cluster - Mayur</v>
      </c>
      <c r="H29" s="4" t="str">
        <f>IFERROR(__xludf.DUMMYFUNCTION("""COMPUTED_VALUE"""),"ONIASQJV3")</f>
        <v>ONIASQJV3</v>
      </c>
      <c r="I29" s="5">
        <f>IFERROR(__xludf.DUMMYFUNCTION("""COMPUTED_VALUE"""),0.0)</f>
        <v>0</v>
      </c>
      <c r="J29" s="4" t="str">
        <f>IFERROR(__xludf.DUMMYFUNCTION("""COMPUTED_VALUE"""),"Tier 4")</f>
        <v>Tier 4</v>
      </c>
      <c r="K29" s="4" t="str">
        <f>IFERROR(__xludf.DUMMYFUNCTION("""COMPUTED_VALUE"""),"ID Created DRP score 0")</f>
        <v>ID Created DRP score 0</v>
      </c>
      <c r="L29" s="4"/>
    </row>
    <row r="30">
      <c r="A30" s="4" t="str">
        <f>IFERROR(__xludf.DUMMYFUNCTION("""COMPUTED_VALUE"""),"DME0569")</f>
        <v>DME0569</v>
      </c>
      <c r="B30" s="4" t="str">
        <f>IFERROR(__xludf.DUMMYFUNCTION("""COMPUTED_VALUE"""),"Dinesh Dattatray Jagtap")</f>
        <v>Dinesh Dattatray Jagtap</v>
      </c>
      <c r="C30" s="4" t="str">
        <f>IFERROR(__xludf.DUMMYFUNCTION("""COMPUTED_VALUE"""),"dinesh.jagtap@onixnet.com")</f>
        <v>dinesh.jagtap@onixnet.com</v>
      </c>
      <c r="D30" s="4" t="str">
        <f>IFERROR(__xludf.DUMMYFUNCTION("""COMPUTED_VALUE"""),"Active")</f>
        <v>Active</v>
      </c>
      <c r="E30" s="4" t="str">
        <f>IFERROR(__xludf.DUMMYFUNCTION("""COMPUTED_VALUE"""),"Delivery Services")</f>
        <v>Delivery Services</v>
      </c>
      <c r="F30" s="4" t="str">
        <f>IFERROR(__xludf.DUMMYFUNCTION("""COMPUTED_VALUE"""),"Kanhaiya Jha")</f>
        <v>Kanhaiya Jha</v>
      </c>
      <c r="G30" s="4" t="str">
        <f>IFERROR(__xludf.DUMMYFUNCTION("""COMPUTED_VALUE"""),"Cluster - Kanhaiya")</f>
        <v>Cluster - Kanhaiya</v>
      </c>
      <c r="H30" s="4"/>
      <c r="I30" s="5"/>
      <c r="J30" s="4"/>
      <c r="K30" s="4" t="str">
        <f>IFERROR(__xludf.DUMMYFUNCTION("""COMPUTED_VALUE"""),"ID Not Created")</f>
        <v>ID Not Created</v>
      </c>
      <c r="L30" s="4"/>
    </row>
    <row r="31">
      <c r="A31" s="4" t="str">
        <f>IFERROR(__xludf.DUMMYFUNCTION("""COMPUTED_VALUE"""),"DME0592")</f>
        <v>DME0592</v>
      </c>
      <c r="B31" s="4" t="str">
        <f>IFERROR(__xludf.DUMMYFUNCTION("""COMPUTED_VALUE"""),"Varunesh Khandelwal")</f>
        <v>Varunesh Khandelwal</v>
      </c>
      <c r="C31" s="4" t="str">
        <f>IFERROR(__xludf.DUMMYFUNCTION("""COMPUTED_VALUE"""),"varunesh.k@onixnet.com")</f>
        <v>varunesh.k@onixnet.com</v>
      </c>
      <c r="D31" s="4" t="str">
        <f>IFERROR(__xludf.DUMMYFUNCTION("""COMPUTED_VALUE"""),"Active")</f>
        <v>Active</v>
      </c>
      <c r="E31" s="4" t="str">
        <f>IFERROR(__xludf.DUMMYFUNCTION("""COMPUTED_VALUE"""),"Delivery Services")</f>
        <v>Delivery Services</v>
      </c>
      <c r="F31" s="4" t="str">
        <f>IFERROR(__xludf.DUMMYFUNCTION("""COMPUTED_VALUE"""),"Gaurav Bharara")</f>
        <v>Gaurav Bharara</v>
      </c>
      <c r="G31" s="4" t="str">
        <f>IFERROR(__xludf.DUMMYFUNCTION("""COMPUTED_VALUE"""),"Cluster - Gaurav")</f>
        <v>Cluster - Gaurav</v>
      </c>
      <c r="H31" s="4" t="str">
        <f>IFERROR(__xludf.DUMMYFUNCTION("""COMPUTED_VALUE"""),"DATVKMIJ4")</f>
        <v>DATVKMIJ4</v>
      </c>
      <c r="I31" s="5">
        <f>IFERROR(__xludf.DUMMYFUNCTION("""COMPUTED_VALUE"""),49.0)</f>
        <v>49</v>
      </c>
      <c r="J31" s="4" t="str">
        <f>IFERROR(__xludf.DUMMYFUNCTION("""COMPUTED_VALUE"""),"Tier 2")</f>
        <v>Tier 2</v>
      </c>
      <c r="K31" s="4" t="str">
        <f>IFERROR(__xludf.DUMMYFUNCTION("""COMPUTED_VALUE"""),"Active")</f>
        <v>Active</v>
      </c>
      <c r="L31" s="4" t="str">
        <f>IFERROR(__xludf.DUMMYFUNCTION("""COMPUTED_VALUE"""),"BigQuery")</f>
        <v>BigQuery</v>
      </c>
    </row>
    <row r="32">
      <c r="A32" s="4" t="str">
        <f>IFERROR(__xludf.DUMMYFUNCTION("""COMPUTED_VALUE"""),"DME0604")</f>
        <v>DME0604</v>
      </c>
      <c r="B32" s="4" t="str">
        <f>IFERROR(__xludf.DUMMYFUNCTION("""COMPUTED_VALUE"""),"Devang Anilkumar Upadhyay")</f>
        <v>Devang Anilkumar Upadhyay</v>
      </c>
      <c r="C32" s="4" t="str">
        <f>IFERROR(__xludf.DUMMYFUNCTION("""COMPUTED_VALUE"""),"devang.upadhyay@onixnet.com")</f>
        <v>devang.upadhyay@onixnet.com</v>
      </c>
      <c r="D32" s="4" t="str">
        <f>IFERROR(__xludf.DUMMYFUNCTION("""COMPUTED_VALUE"""),"Active")</f>
        <v>Active</v>
      </c>
      <c r="E32" s="4" t="str">
        <f>IFERROR(__xludf.DUMMYFUNCTION("""COMPUTED_VALUE"""),"Solutions and Pre-Sales")</f>
        <v>Solutions and Pre-Sales</v>
      </c>
      <c r="F32" s="4" t="str">
        <f>IFERROR(__xludf.DUMMYFUNCTION("""COMPUTED_VALUE"""),"Gaurav Agarwaal")</f>
        <v>Gaurav Agarwaal</v>
      </c>
      <c r="G32" s="4" t="str">
        <f>IFERROR(__xludf.DUMMYFUNCTION("""COMPUTED_VALUE"""),"Portfolio - Gaurav A (Presales)")</f>
        <v>Portfolio - Gaurav A (Presales)</v>
      </c>
      <c r="H32" s="4" t="str">
        <f>IFERROR(__xludf.DUMMYFUNCTION("""COMPUTED_VALUE"""),"ONIDUTBS1")</f>
        <v>ONIDUTBS1</v>
      </c>
      <c r="I32" s="5">
        <f>IFERROR(__xludf.DUMMYFUNCTION("""COMPUTED_VALUE"""),0.0)</f>
        <v>0</v>
      </c>
      <c r="J32" s="4" t="str">
        <f>IFERROR(__xludf.DUMMYFUNCTION("""COMPUTED_VALUE"""),"Tier 4")</f>
        <v>Tier 4</v>
      </c>
      <c r="K32" s="4" t="str">
        <f>IFERROR(__xludf.DUMMYFUNCTION("""COMPUTED_VALUE"""),"ID Created DRP score 0")</f>
        <v>ID Created DRP score 0</v>
      </c>
      <c r="L32" s="4"/>
    </row>
    <row r="33">
      <c r="A33" s="4" t="str">
        <f>IFERROR(__xludf.DUMMYFUNCTION("""COMPUTED_VALUE"""),"DME0614")</f>
        <v>DME0614</v>
      </c>
      <c r="B33" s="4" t="str">
        <f>IFERROR(__xludf.DUMMYFUNCTION("""COMPUTED_VALUE"""),"Siddesh Sanjay Mayekar")</f>
        <v>Siddesh Sanjay Mayekar</v>
      </c>
      <c r="C33" s="4" t="str">
        <f>IFERROR(__xludf.DUMMYFUNCTION("""COMPUTED_VALUE"""),"siddesh.mayekar@onixnet.com")</f>
        <v>siddesh.mayekar@onixnet.com</v>
      </c>
      <c r="D33" s="4" t="str">
        <f>IFERROR(__xludf.DUMMYFUNCTION("""COMPUTED_VALUE"""),"Active")</f>
        <v>Active</v>
      </c>
      <c r="E33" s="4" t="str">
        <f>IFERROR(__xludf.DUMMYFUNCTION("""COMPUTED_VALUE"""),"Delivery Services")</f>
        <v>Delivery Services</v>
      </c>
      <c r="F33" s="4" t="str">
        <f>IFERROR(__xludf.DUMMYFUNCTION("""COMPUTED_VALUE"""),"Anubhav Sharma")</f>
        <v>Anubhav Sharma</v>
      </c>
      <c r="G33" s="4" t="str">
        <f>IFERROR(__xludf.DUMMYFUNCTION("""COMPUTED_VALUE"""),"Cluster - Varun")</f>
        <v>Cluster - Varun</v>
      </c>
      <c r="H33" s="4" t="str">
        <f>IFERROR(__xludf.DUMMYFUNCTION("""COMPUTED_VALUE"""),"DATSMXCW2")</f>
        <v>DATSMXCW2</v>
      </c>
      <c r="I33" s="5">
        <f>IFERROR(__xludf.DUMMYFUNCTION("""COMPUTED_VALUE"""),14.0)</f>
        <v>14</v>
      </c>
      <c r="J33" s="4" t="str">
        <f>IFERROR(__xludf.DUMMYFUNCTION("""COMPUTED_VALUE"""),"Tier 4")</f>
        <v>Tier 4</v>
      </c>
      <c r="K33" s="4" t="str">
        <f>IFERROR(__xludf.DUMMYFUNCTION("""COMPUTED_VALUE"""),"Active")</f>
        <v>Active</v>
      </c>
      <c r="L33" s="4" t="str">
        <f>IFERROR(__xludf.DUMMYFUNCTION("""COMPUTED_VALUE"""),"Google Compute Engine")</f>
        <v>Google Compute Engine</v>
      </c>
    </row>
    <row r="34">
      <c r="A34" s="4" t="str">
        <f>IFERROR(__xludf.DUMMYFUNCTION("""COMPUTED_VALUE"""),"DME0609")</f>
        <v>DME0609</v>
      </c>
      <c r="B34" s="4" t="str">
        <f>IFERROR(__xludf.DUMMYFUNCTION("""COMPUTED_VALUE"""),"Ravi Kapoor")</f>
        <v>Ravi Kapoor</v>
      </c>
      <c r="C34" s="4" t="str">
        <f>IFERROR(__xludf.DUMMYFUNCTION("""COMPUTED_VALUE"""),"ravi.kapoor@onixnet.com")</f>
        <v>ravi.kapoor@onixnet.com</v>
      </c>
      <c r="D34" s="4" t="str">
        <f>IFERROR(__xludf.DUMMYFUNCTION("""COMPUTED_VALUE"""),"Active")</f>
        <v>Active</v>
      </c>
      <c r="E34" s="4" t="str">
        <f>IFERROR(__xludf.DUMMYFUNCTION("""COMPUTED_VALUE"""),"Product Engineering")</f>
        <v>Product Engineering</v>
      </c>
      <c r="F34" s="4" t="str">
        <f>IFERROR(__xludf.DUMMYFUNCTION("""COMPUTED_VALUE"""),"Mayur Jain")</f>
        <v>Mayur Jain</v>
      </c>
      <c r="G34" s="4" t="str">
        <f>IFERROR(__xludf.DUMMYFUNCTION("""COMPUTED_VALUE"""),"Cluster - Mayur")</f>
        <v>Cluster - Mayur</v>
      </c>
      <c r="H34" s="4"/>
      <c r="I34" s="5"/>
      <c r="J34" s="4"/>
      <c r="K34" s="4" t="str">
        <f>IFERROR(__xludf.DUMMYFUNCTION("""COMPUTED_VALUE"""),"ID Not Created")</f>
        <v>ID Not Created</v>
      </c>
      <c r="L34" s="4"/>
    </row>
    <row r="35">
      <c r="A35" s="4" t="str">
        <f>IFERROR(__xludf.DUMMYFUNCTION("""COMPUTED_VALUE"""),"DME0650")</f>
        <v>DME0650</v>
      </c>
      <c r="B35" s="4" t="str">
        <f>IFERROR(__xludf.DUMMYFUNCTION("""COMPUTED_VALUE"""),"Dilip Babusing Pawar")</f>
        <v>Dilip Babusing Pawar</v>
      </c>
      <c r="C35" s="4" t="str">
        <f>IFERROR(__xludf.DUMMYFUNCTION("""COMPUTED_VALUE"""),"dilip.pawar@onixnet.com")</f>
        <v>dilip.pawar@onixnet.com</v>
      </c>
      <c r="D35" s="4" t="str">
        <f>IFERROR(__xludf.DUMMYFUNCTION("""COMPUTED_VALUE"""),"Active")</f>
        <v>Active</v>
      </c>
      <c r="E35" s="4" t="str">
        <f>IFERROR(__xludf.DUMMYFUNCTION("""COMPUTED_VALUE"""),"Delivery Services")</f>
        <v>Delivery Services</v>
      </c>
      <c r="F35" s="4" t="str">
        <f>IFERROR(__xludf.DUMMYFUNCTION("""COMPUTED_VALUE"""),"Shubham Agnihotri")</f>
        <v>Shubham Agnihotri</v>
      </c>
      <c r="G35" s="4" t="str">
        <f>IFERROR(__xludf.DUMMYFUNCTION("""COMPUTED_VALUE"""),"Cluster - Gaurav")</f>
        <v>Cluster - Gaurav</v>
      </c>
      <c r="H35" s="4" t="str">
        <f>IFERROR(__xludf.DUMMYFUNCTION("""COMPUTED_VALUE"""),"ONIDPAXN9")</f>
        <v>ONIDPAXN9</v>
      </c>
      <c r="I35" s="5">
        <f>IFERROR(__xludf.DUMMYFUNCTION("""COMPUTED_VALUE"""),5.0)</f>
        <v>5</v>
      </c>
      <c r="J35" s="4" t="str">
        <f>IFERROR(__xludf.DUMMYFUNCTION("""COMPUTED_VALUE"""),"Tier 4")</f>
        <v>Tier 4</v>
      </c>
      <c r="K35" s="4" t="str">
        <f>IFERROR(__xludf.DUMMYFUNCTION("""COMPUTED_VALUE"""),"Active")</f>
        <v>Active</v>
      </c>
      <c r="L35" s="4" t="str">
        <f>IFERROR(__xludf.DUMMYFUNCTION("""COMPUTED_VALUE"""),"Gemini Enterprise Agent Platform")</f>
        <v>Gemini Enterprise Agent Platform</v>
      </c>
    </row>
    <row r="36">
      <c r="A36" s="4" t="str">
        <f>IFERROR(__xludf.DUMMYFUNCTION("""COMPUTED_VALUE"""),"DME0654")</f>
        <v>DME0654</v>
      </c>
      <c r="B36" s="4" t="str">
        <f>IFERROR(__xludf.DUMMYFUNCTION("""COMPUTED_VALUE"""),"Chandni Hasmukhlal Thakkar")</f>
        <v>Chandni Hasmukhlal Thakkar</v>
      </c>
      <c r="C36" s="4" t="str">
        <f>IFERROR(__xludf.DUMMYFUNCTION("""COMPUTED_VALUE"""),"chandni.thakkar@onixnet.com")</f>
        <v>chandni.thakkar@onixnet.com</v>
      </c>
      <c r="D36" s="4" t="str">
        <f>IFERROR(__xludf.DUMMYFUNCTION("""COMPUTED_VALUE"""),"Active")</f>
        <v>Active</v>
      </c>
      <c r="E36" s="4" t="str">
        <f>IFERROR(__xludf.DUMMYFUNCTION("""COMPUTED_VALUE"""),"Product Engineering")</f>
        <v>Product Engineering</v>
      </c>
      <c r="F36" s="4" t="str">
        <f>IFERROR(__xludf.DUMMYFUNCTION("""COMPUTED_VALUE"""),"Anand Sharma")</f>
        <v>Anand Sharma</v>
      </c>
      <c r="G36" s="4" t="str">
        <f>IFERROR(__xludf.DUMMYFUNCTION("""COMPUTED_VALUE"""),"Cluster - Mayur")</f>
        <v>Cluster - Mayur</v>
      </c>
      <c r="H36" s="4" t="str">
        <f>IFERROR(__xludf.DUMMYFUNCTION("""COMPUTED_VALUE"""),"ONICTWJA1")</f>
        <v>ONICTWJA1</v>
      </c>
      <c r="I36" s="5">
        <f>IFERROR(__xludf.DUMMYFUNCTION("""COMPUTED_VALUE"""),20.0)</f>
        <v>20</v>
      </c>
      <c r="J36" s="4" t="str">
        <f>IFERROR(__xludf.DUMMYFUNCTION("""COMPUTED_VALUE"""),"Tier 3")</f>
        <v>Tier 3</v>
      </c>
      <c r="K36" s="4" t="str">
        <f>IFERROR(__xludf.DUMMYFUNCTION("""COMPUTED_VALUE"""),"Active")</f>
        <v>Active</v>
      </c>
      <c r="L36" s="4" t="str">
        <f>IFERROR(__xludf.DUMMYFUNCTION("""COMPUTED_VALUE"""),"AI Applications")</f>
        <v>AI Applications</v>
      </c>
    </row>
    <row r="37">
      <c r="A37" s="4" t="str">
        <f>IFERROR(__xludf.DUMMYFUNCTION("""COMPUTED_VALUE"""),"DME0649")</f>
        <v>DME0649</v>
      </c>
      <c r="B37" s="4" t="str">
        <f>IFERROR(__xludf.DUMMYFUNCTION("""COMPUTED_VALUE"""),"Praveen Kumar")</f>
        <v>Praveen Kumar</v>
      </c>
      <c r="C37" s="4" t="str">
        <f>IFERROR(__xludf.DUMMYFUNCTION("""COMPUTED_VALUE"""),"praveen.kumar@onixnet.com")</f>
        <v>praveen.kumar@onixnet.com</v>
      </c>
      <c r="D37" s="4" t="str">
        <f>IFERROR(__xludf.DUMMYFUNCTION("""COMPUTED_VALUE"""),"Active")</f>
        <v>Active</v>
      </c>
      <c r="E37" s="4" t="str">
        <f>IFERROR(__xludf.DUMMYFUNCTION("""COMPUTED_VALUE"""),"Product Engineering")</f>
        <v>Product Engineering</v>
      </c>
      <c r="F37" s="4" t="str">
        <f>IFERROR(__xludf.DUMMYFUNCTION("""COMPUTED_VALUE"""),"Mayur Jain")</f>
        <v>Mayur Jain</v>
      </c>
      <c r="G37" s="4" t="str">
        <f>IFERROR(__xludf.DUMMYFUNCTION("""COMPUTED_VALUE"""),"Cluster - Mayur")</f>
        <v>Cluster - Mayur</v>
      </c>
      <c r="H37" s="4" t="str">
        <f>IFERROR(__xludf.DUMMYFUNCTION("""COMPUTED_VALUE"""),"ONIPKMPH9")</f>
        <v>ONIPKMPH9</v>
      </c>
      <c r="I37" s="5">
        <f>IFERROR(__xludf.DUMMYFUNCTION("""COMPUTED_VALUE"""),40.0)</f>
        <v>40</v>
      </c>
      <c r="J37" s="4" t="str">
        <f>IFERROR(__xludf.DUMMYFUNCTION("""COMPUTED_VALUE"""),"Tier 2")</f>
        <v>Tier 2</v>
      </c>
      <c r="K37" s="4" t="str">
        <f>IFERROR(__xludf.DUMMYFUNCTION("""COMPUTED_VALUE"""),"Active")</f>
        <v>Active</v>
      </c>
      <c r="L37" s="4" t="str">
        <f>IFERROR(__xludf.DUMMYFUNCTION("""COMPUTED_VALUE"""),"Gemini Enterprise Agent Platform")</f>
        <v>Gemini Enterprise Agent Platform</v>
      </c>
    </row>
    <row r="38">
      <c r="A38" s="4" t="str">
        <f>IFERROR(__xludf.DUMMYFUNCTION("""COMPUTED_VALUE"""),"DME0663")</f>
        <v>DME0663</v>
      </c>
      <c r="B38" s="4" t="str">
        <f>IFERROR(__xludf.DUMMYFUNCTION("""COMPUTED_VALUE"""),"Priya Ranjan")</f>
        <v>Priya Ranjan</v>
      </c>
      <c r="C38" s="4" t="str">
        <f>IFERROR(__xludf.DUMMYFUNCTION("""COMPUTED_VALUE"""),"priya.ranjan@onixnet.com")</f>
        <v>priya.ranjan@onixnet.com</v>
      </c>
      <c r="D38" s="4" t="str">
        <f>IFERROR(__xludf.DUMMYFUNCTION("""COMPUTED_VALUE"""),"Active")</f>
        <v>Active</v>
      </c>
      <c r="E38" s="4" t="str">
        <f>IFERROR(__xludf.DUMMYFUNCTION("""COMPUTED_VALUE"""),"Solutions and Pre-Sales")</f>
        <v>Solutions and Pre-Sales</v>
      </c>
      <c r="F38" s="4" t="str">
        <f>IFERROR(__xludf.DUMMYFUNCTION("""COMPUTED_VALUE"""),"Gaurav Agarwaal")</f>
        <v>Gaurav Agarwaal</v>
      </c>
      <c r="G38" s="4" t="str">
        <f>IFERROR(__xludf.DUMMYFUNCTION("""COMPUTED_VALUE"""),"Portfolio - Gaurav A (Presales)")</f>
        <v>Portfolio - Gaurav A (Presales)</v>
      </c>
      <c r="H38" s="4" t="str">
        <f>IFERROR(__xludf.DUMMYFUNCTION("""COMPUTED_VALUE"""),"ONIPRSKY5")</f>
        <v>ONIPRSKY5</v>
      </c>
      <c r="I38" s="5">
        <f>IFERROR(__xludf.DUMMYFUNCTION("""COMPUTED_VALUE"""),0.0)</f>
        <v>0</v>
      </c>
      <c r="J38" s="4" t="str">
        <f>IFERROR(__xludf.DUMMYFUNCTION("""COMPUTED_VALUE"""),"Tier 4")</f>
        <v>Tier 4</v>
      </c>
      <c r="K38" s="4" t="str">
        <f>IFERROR(__xludf.DUMMYFUNCTION("""COMPUTED_VALUE"""),"ID Created DRP score 0")</f>
        <v>ID Created DRP score 0</v>
      </c>
      <c r="L38" s="4"/>
    </row>
    <row r="39">
      <c r="A39" s="4" t="str">
        <f>IFERROR(__xludf.DUMMYFUNCTION("""COMPUTED_VALUE"""),"DME0675")</f>
        <v>DME0675</v>
      </c>
      <c r="B39" s="4" t="str">
        <f>IFERROR(__xludf.DUMMYFUNCTION("""COMPUTED_VALUE"""),"Dhananjay Ashokrao Sanap")</f>
        <v>Dhananjay Ashokrao Sanap</v>
      </c>
      <c r="C39" s="4" t="str">
        <f>IFERROR(__xludf.DUMMYFUNCTION("""COMPUTED_VALUE"""),"dhananjay.sanap@onixnet.com")</f>
        <v>dhananjay.sanap@onixnet.com</v>
      </c>
      <c r="D39" s="4" t="str">
        <f>IFERROR(__xludf.DUMMYFUNCTION("""COMPUTED_VALUE"""),"Active")</f>
        <v>Active</v>
      </c>
      <c r="E39" s="4" t="str">
        <f>IFERROR(__xludf.DUMMYFUNCTION("""COMPUTED_VALUE"""),"Delivery Services")</f>
        <v>Delivery Services</v>
      </c>
      <c r="F39" s="4" t="str">
        <f>IFERROR(__xludf.DUMMYFUNCTION("""COMPUTED_VALUE"""),"Shubhendu Shubhendu")</f>
        <v>Shubhendu Shubhendu</v>
      </c>
      <c r="G39" s="4" t="str">
        <f>IFERROR(__xludf.DUMMYFUNCTION("""COMPUTED_VALUE"""),"Cluster - Kanhaiya")</f>
        <v>Cluster - Kanhaiya</v>
      </c>
      <c r="H39" s="4" t="str">
        <f>IFERROR(__xludf.DUMMYFUNCTION("""COMPUTED_VALUE"""),"ONIDSOMN4")</f>
        <v>ONIDSOMN4</v>
      </c>
      <c r="I39" s="5">
        <f>IFERROR(__xludf.DUMMYFUNCTION("""COMPUTED_VALUE"""),19.0)</f>
        <v>19</v>
      </c>
      <c r="J39" s="4" t="str">
        <f>IFERROR(__xludf.DUMMYFUNCTION("""COMPUTED_VALUE"""),"Tier 4")</f>
        <v>Tier 4</v>
      </c>
      <c r="K39" s="4" t="str">
        <f>IFERROR(__xludf.DUMMYFUNCTION("""COMPUTED_VALUE"""),"Active")</f>
        <v>Active</v>
      </c>
      <c r="L39" s="4" t="str">
        <f>IFERROR(__xludf.DUMMYFUNCTION("""COMPUTED_VALUE"""),"BigQuery")</f>
        <v>BigQuery</v>
      </c>
    </row>
    <row r="40">
      <c r="A40" s="4" t="str">
        <f>IFERROR(__xludf.DUMMYFUNCTION("""COMPUTED_VALUE"""),"DME0686")</f>
        <v>DME0686</v>
      </c>
      <c r="B40" s="4" t="str">
        <f>IFERROR(__xludf.DUMMYFUNCTION("""COMPUTED_VALUE"""),"Smita Rajendra Dhus")</f>
        <v>Smita Rajendra Dhus</v>
      </c>
      <c r="C40" s="4" t="str">
        <f>IFERROR(__xludf.DUMMYFUNCTION("""COMPUTED_VALUE"""),"smita.dhus@onixnet.com")</f>
        <v>smita.dhus@onixnet.com</v>
      </c>
      <c r="D40" s="4" t="str">
        <f>IFERROR(__xludf.DUMMYFUNCTION("""COMPUTED_VALUE"""),"Active")</f>
        <v>Active</v>
      </c>
      <c r="E40" s="4" t="str">
        <f>IFERROR(__xludf.DUMMYFUNCTION("""COMPUTED_VALUE"""),"Delivery Services")</f>
        <v>Delivery Services</v>
      </c>
      <c r="F40" s="4" t="str">
        <f>IFERROR(__xludf.DUMMYFUNCTION("""COMPUTED_VALUE"""),"Jitender Singh")</f>
        <v>Jitender Singh</v>
      </c>
      <c r="G40" s="4" t="str">
        <f>IFERROR(__xludf.DUMMYFUNCTION("""COMPUTED_VALUE"""),"Cluster - Gaurav")</f>
        <v>Cluster - Gaurav</v>
      </c>
      <c r="H40" s="4" t="str">
        <f>IFERROR(__xludf.DUMMYFUNCTION("""COMPUTED_VALUE"""),"ONISDWGQ0")</f>
        <v>ONISDWGQ0</v>
      </c>
      <c r="I40" s="5">
        <f>IFERROR(__xludf.DUMMYFUNCTION("""COMPUTED_VALUE"""),19.0)</f>
        <v>19</v>
      </c>
      <c r="J40" s="4" t="str">
        <f>IFERROR(__xludf.DUMMYFUNCTION("""COMPUTED_VALUE"""),"Tier 4")</f>
        <v>Tier 4</v>
      </c>
      <c r="K40" s="4" t="str">
        <f>IFERROR(__xludf.DUMMYFUNCTION("""COMPUTED_VALUE"""),"Active")</f>
        <v>Active</v>
      </c>
      <c r="L40" s="4" t="str">
        <f>IFERROR(__xludf.DUMMYFUNCTION("""COMPUTED_VALUE"""),"BigQuery")</f>
        <v>BigQuery</v>
      </c>
    </row>
    <row r="41">
      <c r="A41" s="4" t="str">
        <f>IFERROR(__xludf.DUMMYFUNCTION("""COMPUTED_VALUE"""),"DME0697")</f>
        <v>DME0697</v>
      </c>
      <c r="B41" s="4" t="str">
        <f>IFERROR(__xludf.DUMMYFUNCTION("""COMPUTED_VALUE"""),"Vivek Kumar Dhagat")</f>
        <v>Vivek Kumar Dhagat</v>
      </c>
      <c r="C41" s="4" t="str">
        <f>IFERROR(__xludf.DUMMYFUNCTION("""COMPUTED_VALUE"""),"vivek.dhagat@onixnet.com")</f>
        <v>vivek.dhagat@onixnet.com</v>
      </c>
      <c r="D41" s="4" t="str">
        <f>IFERROR(__xludf.DUMMYFUNCTION("""COMPUTED_VALUE"""),"Active")</f>
        <v>Active</v>
      </c>
      <c r="E41" s="4" t="str">
        <f>IFERROR(__xludf.DUMMYFUNCTION("""COMPUTED_VALUE"""),"Product Engineering")</f>
        <v>Product Engineering</v>
      </c>
      <c r="F41" s="4" t="str">
        <f>IFERROR(__xludf.DUMMYFUNCTION("""COMPUTED_VALUE"""),"Niraj Kumar")</f>
        <v>Niraj Kumar</v>
      </c>
      <c r="G41" s="4" t="str">
        <f>IFERROR(__xludf.DUMMYFUNCTION("""COMPUTED_VALUE"""),"Cluster - Mayur")</f>
        <v>Cluster - Mayur</v>
      </c>
      <c r="H41" s="4" t="str">
        <f>IFERROR(__xludf.DUMMYFUNCTION("""COMPUTED_VALUE"""),"ONIVDRPO6")</f>
        <v>ONIVDRPO6</v>
      </c>
      <c r="I41" s="5">
        <f>IFERROR(__xludf.DUMMYFUNCTION("""COMPUTED_VALUE"""),0.0)</f>
        <v>0</v>
      </c>
      <c r="J41" s="4" t="str">
        <f>IFERROR(__xludf.DUMMYFUNCTION("""COMPUTED_VALUE"""),"Tier 4")</f>
        <v>Tier 4</v>
      </c>
      <c r="K41" s="4" t="str">
        <f>IFERROR(__xludf.DUMMYFUNCTION("""COMPUTED_VALUE"""),"ID Created DRP score 0")</f>
        <v>ID Created DRP score 0</v>
      </c>
      <c r="L41" s="4"/>
    </row>
    <row r="42">
      <c r="A42" s="4" t="str">
        <f>IFERROR(__xludf.DUMMYFUNCTION("""COMPUTED_VALUE"""),"DME0742")</f>
        <v>DME0742</v>
      </c>
      <c r="B42" s="4" t="str">
        <f>IFERROR(__xludf.DUMMYFUNCTION("""COMPUTED_VALUE"""),"Praval Sharma")</f>
        <v>Praval Sharma</v>
      </c>
      <c r="C42" s="4" t="str">
        <f>IFERROR(__xludf.DUMMYFUNCTION("""COMPUTED_VALUE"""),"praval.sharma@onixnet.com")</f>
        <v>praval.sharma@onixnet.com</v>
      </c>
      <c r="D42" s="4" t="str">
        <f>IFERROR(__xludf.DUMMYFUNCTION("""COMPUTED_VALUE"""),"Active")</f>
        <v>Active</v>
      </c>
      <c r="E42" s="4" t="str">
        <f>IFERROR(__xludf.DUMMYFUNCTION("""COMPUTED_VALUE"""),"Product Engineering")</f>
        <v>Product Engineering</v>
      </c>
      <c r="F42" s="4" t="str">
        <f>IFERROR(__xludf.DUMMYFUNCTION("""COMPUTED_VALUE"""),"Yogendra Singh")</f>
        <v>Yogendra Singh</v>
      </c>
      <c r="G42" s="4" t="str">
        <f>IFERROR(__xludf.DUMMYFUNCTION("""COMPUTED_VALUE"""),"Cluster - Mayur")</f>
        <v>Cluster - Mayur</v>
      </c>
      <c r="H42" s="4" t="str">
        <f>IFERROR(__xludf.DUMMYFUNCTION("""COMPUTED_VALUE"""),"ONIPSUMC5")</f>
        <v>ONIPSUMC5</v>
      </c>
      <c r="I42" s="5">
        <f>IFERROR(__xludf.DUMMYFUNCTION("""COMPUTED_VALUE"""),0.0)</f>
        <v>0</v>
      </c>
      <c r="J42" s="4" t="str">
        <f>IFERROR(__xludf.DUMMYFUNCTION("""COMPUTED_VALUE"""),"Tier 4")</f>
        <v>Tier 4</v>
      </c>
      <c r="K42" s="4" t="str">
        <f>IFERROR(__xludf.DUMMYFUNCTION("""COMPUTED_VALUE"""),"ID Created DRP score 0")</f>
        <v>ID Created DRP score 0</v>
      </c>
      <c r="L42" s="4"/>
    </row>
    <row r="43">
      <c r="A43" s="4" t="str">
        <f>IFERROR(__xludf.DUMMYFUNCTION("""COMPUTED_VALUE"""),"DME0765")</f>
        <v>DME0765</v>
      </c>
      <c r="B43" s="4" t="str">
        <f>IFERROR(__xludf.DUMMYFUNCTION("""COMPUTED_VALUE"""),"Nosheen Sheikh")</f>
        <v>Nosheen Sheikh</v>
      </c>
      <c r="C43" s="4" t="str">
        <f>IFERROR(__xludf.DUMMYFUNCTION("""COMPUTED_VALUE"""),"nosheen.sheikh@onixnet.com")</f>
        <v>nosheen.sheikh@onixnet.com</v>
      </c>
      <c r="D43" s="4" t="str">
        <f>IFERROR(__xludf.DUMMYFUNCTION("""COMPUTED_VALUE"""),"Active")</f>
        <v>Active</v>
      </c>
      <c r="E43" s="4" t="str">
        <f>IFERROR(__xludf.DUMMYFUNCTION("""COMPUTED_VALUE"""),"Product Engineering")</f>
        <v>Product Engineering</v>
      </c>
      <c r="F43" s="4" t="str">
        <f>IFERROR(__xludf.DUMMYFUNCTION("""COMPUTED_VALUE"""),"Anurag Saxena")</f>
        <v>Anurag Saxena</v>
      </c>
      <c r="G43" s="4" t="str">
        <f>IFERROR(__xludf.DUMMYFUNCTION("""COMPUTED_VALUE"""),"Cluster - Mayur")</f>
        <v>Cluster - Mayur</v>
      </c>
      <c r="H43" s="4" t="str">
        <f>IFERROR(__xludf.DUMMYFUNCTION("""COMPUTED_VALUE"""),"ONINSTYZ2")</f>
        <v>ONINSTYZ2</v>
      </c>
      <c r="I43" s="5">
        <f>IFERROR(__xludf.DUMMYFUNCTION("""COMPUTED_VALUE"""),0.0)</f>
        <v>0</v>
      </c>
      <c r="J43" s="4" t="str">
        <f>IFERROR(__xludf.DUMMYFUNCTION("""COMPUTED_VALUE"""),"Tier 4")</f>
        <v>Tier 4</v>
      </c>
      <c r="K43" s="4" t="str">
        <f>IFERROR(__xludf.DUMMYFUNCTION("""COMPUTED_VALUE"""),"ID Created DRP score 0")</f>
        <v>ID Created DRP score 0</v>
      </c>
      <c r="L43" s="4"/>
    </row>
    <row r="44">
      <c r="A44" s="4" t="str">
        <f>IFERROR(__xludf.DUMMYFUNCTION("""COMPUTED_VALUE"""),"DME0771")</f>
        <v>DME0771</v>
      </c>
      <c r="B44" s="4" t="str">
        <f>IFERROR(__xludf.DUMMYFUNCTION("""COMPUTED_VALUE"""),"Punit Manohar Gujar")</f>
        <v>Punit Manohar Gujar</v>
      </c>
      <c r="C44" s="4" t="str">
        <f>IFERROR(__xludf.DUMMYFUNCTION("""COMPUTED_VALUE"""),"punit.gujar@onixnet.com")</f>
        <v>punit.gujar@onixnet.com</v>
      </c>
      <c r="D44" s="4" t="str">
        <f>IFERROR(__xludf.DUMMYFUNCTION("""COMPUTED_VALUE"""),"Active")</f>
        <v>Active</v>
      </c>
      <c r="E44" s="4" t="str">
        <f>IFERROR(__xludf.DUMMYFUNCTION("""COMPUTED_VALUE"""),"Delivery Services")</f>
        <v>Delivery Services</v>
      </c>
      <c r="F44" s="4" t="str">
        <f>IFERROR(__xludf.DUMMYFUNCTION("""COMPUTED_VALUE"""),"Noorulla Shaik")</f>
        <v>Noorulla Shaik</v>
      </c>
      <c r="G44" s="4" t="str">
        <f>IFERROR(__xludf.DUMMYFUNCTION("""COMPUTED_VALUE"""),"Cluster - Kanhaiya")</f>
        <v>Cluster - Kanhaiya</v>
      </c>
      <c r="H44" s="4" t="str">
        <f>IFERROR(__xludf.DUMMYFUNCTION("""COMPUTED_VALUE"""),"ONIPGSUA7")</f>
        <v>ONIPGSUA7</v>
      </c>
      <c r="I44" s="5">
        <f>IFERROR(__xludf.DUMMYFUNCTION("""COMPUTED_VALUE"""),9.0)</f>
        <v>9</v>
      </c>
      <c r="J44" s="4" t="str">
        <f>IFERROR(__xludf.DUMMYFUNCTION("""COMPUTED_VALUE"""),"Tier 4")</f>
        <v>Tier 4</v>
      </c>
      <c r="K44" s="4" t="str">
        <f>IFERROR(__xludf.DUMMYFUNCTION("""COMPUTED_VALUE"""),"Active")</f>
        <v>Active</v>
      </c>
      <c r="L44" s="4" t="str">
        <f>IFERROR(__xludf.DUMMYFUNCTION("""COMPUTED_VALUE"""),"BigQuery")</f>
        <v>BigQuery</v>
      </c>
    </row>
    <row r="45">
      <c r="A45" s="4" t="str">
        <f>IFERROR(__xludf.DUMMYFUNCTION("""COMPUTED_VALUE"""),"DME0782")</f>
        <v>DME0782</v>
      </c>
      <c r="B45" s="4" t="str">
        <f>IFERROR(__xludf.DUMMYFUNCTION("""COMPUTED_VALUE"""),"Cyrin Sam")</f>
        <v>Cyrin Sam</v>
      </c>
      <c r="C45" s="4" t="str">
        <f>IFERROR(__xludf.DUMMYFUNCTION("""COMPUTED_VALUE"""),"cyrin.sam@onixnet.com")</f>
        <v>cyrin.sam@onixnet.com</v>
      </c>
      <c r="D45" s="4" t="str">
        <f>IFERROR(__xludf.DUMMYFUNCTION("""COMPUTED_VALUE"""),"Active")</f>
        <v>Active</v>
      </c>
      <c r="E45" s="4" t="str">
        <f>IFERROR(__xludf.DUMMYFUNCTION("""COMPUTED_VALUE"""),"Product Engineering")</f>
        <v>Product Engineering</v>
      </c>
      <c r="F45" s="4" t="str">
        <f>IFERROR(__xludf.DUMMYFUNCTION("""COMPUTED_VALUE"""),"Vivek Dhagat")</f>
        <v>Vivek Dhagat</v>
      </c>
      <c r="G45" s="4" t="str">
        <f>IFERROR(__xludf.DUMMYFUNCTION("""COMPUTED_VALUE"""),"Cluster - Mayur")</f>
        <v>Cluster - Mayur</v>
      </c>
      <c r="H45" s="4"/>
      <c r="I45" s="5"/>
      <c r="J45" s="4"/>
      <c r="K45" s="4" t="str">
        <f>IFERROR(__xludf.DUMMYFUNCTION("""COMPUTED_VALUE"""),"ID Not Created")</f>
        <v>ID Not Created</v>
      </c>
      <c r="L45" s="4"/>
    </row>
    <row r="46">
      <c r="A46" s="4" t="str">
        <f>IFERROR(__xludf.DUMMYFUNCTION("""COMPUTED_VALUE"""),"DME0783")</f>
        <v>DME0783</v>
      </c>
      <c r="B46" s="4" t="str">
        <f>IFERROR(__xludf.DUMMYFUNCTION("""COMPUTED_VALUE"""),"Ritu Garg")</f>
        <v>Ritu Garg</v>
      </c>
      <c r="C46" s="4" t="str">
        <f>IFERROR(__xludf.DUMMYFUNCTION("""COMPUTED_VALUE"""),"ritu.garg@onixnet.com")</f>
        <v>ritu.garg@onixnet.com</v>
      </c>
      <c r="D46" s="4" t="str">
        <f>IFERROR(__xludf.DUMMYFUNCTION("""COMPUTED_VALUE"""),"Active")</f>
        <v>Active</v>
      </c>
      <c r="E46" s="4" t="str">
        <f>IFERROR(__xludf.DUMMYFUNCTION("""COMPUTED_VALUE"""),"Professional Services")</f>
        <v>Professional Services</v>
      </c>
      <c r="F46" s="4" t="str">
        <f>IFERROR(__xludf.DUMMYFUNCTION("""COMPUTED_VALUE"""),"Rohit Kolhekar")</f>
        <v>Rohit Kolhekar</v>
      </c>
      <c r="G46" s="4" t="str">
        <f>IFERROR(__xludf.DUMMYFUNCTION("""COMPUTED_VALUE"""),"Cluster - Kalpa")</f>
        <v>Cluster - Kalpa</v>
      </c>
      <c r="H46" s="4" t="str">
        <f>IFERROR(__xludf.DUMMYFUNCTION("""COMPUTED_VALUE"""),"ONIRGYSQ3")</f>
        <v>ONIRGYSQ3</v>
      </c>
      <c r="I46" s="5">
        <f>IFERROR(__xludf.DUMMYFUNCTION("""COMPUTED_VALUE"""),34.0)</f>
        <v>34</v>
      </c>
      <c r="J46" s="4" t="str">
        <f>IFERROR(__xludf.DUMMYFUNCTION("""COMPUTED_VALUE"""),"Tier 3")</f>
        <v>Tier 3</v>
      </c>
      <c r="K46" s="4" t="str">
        <f>IFERROR(__xludf.DUMMYFUNCTION("""COMPUTED_VALUE"""),"Active")</f>
        <v>Active</v>
      </c>
      <c r="L46" s="4" t="str">
        <f>IFERROR(__xludf.DUMMYFUNCTION("""COMPUTED_VALUE"""),"BigQuery")</f>
        <v>BigQuery</v>
      </c>
    </row>
    <row r="47">
      <c r="A47" s="4" t="str">
        <f>IFERROR(__xludf.DUMMYFUNCTION("""COMPUTED_VALUE"""),"DME0787")</f>
        <v>DME0787</v>
      </c>
      <c r="B47" s="4" t="str">
        <f>IFERROR(__xludf.DUMMYFUNCTION("""COMPUTED_VALUE"""),"Kamal Kishore Amrutham")</f>
        <v>Kamal Kishore Amrutham</v>
      </c>
      <c r="C47" s="4" t="str">
        <f>IFERROR(__xludf.DUMMYFUNCTION("""COMPUTED_VALUE"""),"kamal.amrutham@onixnet.com")</f>
        <v>kamal.amrutham@onixnet.com</v>
      </c>
      <c r="D47" s="4" t="str">
        <f>IFERROR(__xludf.DUMMYFUNCTION("""COMPUTED_VALUE"""),"Active")</f>
        <v>Active</v>
      </c>
      <c r="E47" s="4" t="str">
        <f>IFERROR(__xludf.DUMMYFUNCTION("""COMPUTED_VALUE"""),"Delivery Services")</f>
        <v>Delivery Services</v>
      </c>
      <c r="F47" s="4" t="str">
        <f>IFERROR(__xludf.DUMMYFUNCTION("""COMPUTED_VALUE"""),"Dinesh Bhamare")</f>
        <v>Dinesh Bhamare</v>
      </c>
      <c r="G47" s="4" t="str">
        <f>IFERROR(__xludf.DUMMYFUNCTION("""COMPUTED_VALUE"""),"Cluster - Shreepad")</f>
        <v>Cluster - Shreepad</v>
      </c>
      <c r="H47" s="4" t="str">
        <f>IFERROR(__xludf.DUMMYFUNCTION("""COMPUTED_VALUE"""),"ONIKASRD4")</f>
        <v>ONIKASRD4</v>
      </c>
      <c r="I47" s="5">
        <f>IFERROR(__xludf.DUMMYFUNCTION("""COMPUTED_VALUE"""),5.0)</f>
        <v>5</v>
      </c>
      <c r="J47" s="4" t="str">
        <f>IFERROR(__xludf.DUMMYFUNCTION("""COMPUTED_VALUE"""),"Tier 4")</f>
        <v>Tier 4</v>
      </c>
      <c r="K47" s="4" t="str">
        <f>IFERROR(__xludf.DUMMYFUNCTION("""COMPUTED_VALUE"""),"Active")</f>
        <v>Active</v>
      </c>
      <c r="L47" s="4" t="str">
        <f>IFERROR(__xludf.DUMMYFUNCTION("""COMPUTED_VALUE"""),"BigQuery")</f>
        <v>BigQuery</v>
      </c>
    </row>
    <row r="48">
      <c r="A48" s="4" t="str">
        <f>IFERROR(__xludf.DUMMYFUNCTION("""COMPUTED_VALUE"""),"DME0786")</f>
        <v>DME0786</v>
      </c>
      <c r="B48" s="4" t="str">
        <f>IFERROR(__xludf.DUMMYFUNCTION("""COMPUTED_VALUE"""),"Shailesh Kumbhar")</f>
        <v>Shailesh Kumbhar</v>
      </c>
      <c r="C48" s="4" t="str">
        <f>IFERROR(__xludf.DUMMYFUNCTION("""COMPUTED_VALUE"""),"shailesh.kumbhar@onixnet.com")</f>
        <v>shailesh.kumbhar@onixnet.com</v>
      </c>
      <c r="D48" s="4" t="str">
        <f>IFERROR(__xludf.DUMMYFUNCTION("""COMPUTED_VALUE"""),"Active")</f>
        <v>Active</v>
      </c>
      <c r="E48" s="4" t="str">
        <f>IFERROR(__xludf.DUMMYFUNCTION("""COMPUTED_VALUE"""),"Product Engineering")</f>
        <v>Product Engineering</v>
      </c>
      <c r="F48" s="4" t="str">
        <f>IFERROR(__xludf.DUMMYFUNCTION("""COMPUTED_VALUE"""),"Amruta Sikchi")</f>
        <v>Amruta Sikchi</v>
      </c>
      <c r="G48" s="4" t="str">
        <f>IFERROR(__xludf.DUMMYFUNCTION("""COMPUTED_VALUE"""),"Cluster - Mayur")</f>
        <v>Cluster - Mayur</v>
      </c>
      <c r="H48" s="4" t="str">
        <f>IFERROR(__xludf.DUMMYFUNCTION("""COMPUTED_VALUE"""),"ONISKGDH1")</f>
        <v>ONISKGDH1</v>
      </c>
      <c r="I48" s="5">
        <f>IFERROR(__xludf.DUMMYFUNCTION("""COMPUTED_VALUE"""),0.0)</f>
        <v>0</v>
      </c>
      <c r="J48" s="4" t="str">
        <f>IFERROR(__xludf.DUMMYFUNCTION("""COMPUTED_VALUE"""),"Tier 4")</f>
        <v>Tier 4</v>
      </c>
      <c r="K48" s="4" t="str">
        <f>IFERROR(__xludf.DUMMYFUNCTION("""COMPUTED_VALUE"""),"ID Created DRP score 0")</f>
        <v>ID Created DRP score 0</v>
      </c>
      <c r="L48" s="4"/>
    </row>
    <row r="49">
      <c r="A49" s="4" t="str">
        <f>IFERROR(__xludf.DUMMYFUNCTION("""COMPUTED_VALUE"""),"DME0793")</f>
        <v>DME0793</v>
      </c>
      <c r="B49" s="4" t="str">
        <f>IFERROR(__xludf.DUMMYFUNCTION("""COMPUTED_VALUE"""),"Akshay Sarap")</f>
        <v>Akshay Sarap</v>
      </c>
      <c r="C49" s="4" t="str">
        <f>IFERROR(__xludf.DUMMYFUNCTION("""COMPUTED_VALUE"""),"akshay.sarap@onixnet.com")</f>
        <v>akshay.sarap@onixnet.com</v>
      </c>
      <c r="D49" s="4" t="str">
        <f>IFERROR(__xludf.DUMMYFUNCTION("""COMPUTED_VALUE"""),"Active")</f>
        <v>Active</v>
      </c>
      <c r="E49" s="4" t="str">
        <f>IFERROR(__xludf.DUMMYFUNCTION("""COMPUTED_VALUE"""),"Professional Services")</f>
        <v>Professional Services</v>
      </c>
      <c r="F49" s="4" t="str">
        <f>IFERROR(__xludf.DUMMYFUNCTION("""COMPUTED_VALUE"""),"Ritu Garg")</f>
        <v>Ritu Garg</v>
      </c>
      <c r="G49" s="4" t="str">
        <f>IFERROR(__xludf.DUMMYFUNCTION("""COMPUTED_VALUE"""),"Cluster - Kalpa")</f>
        <v>Cluster - Kalpa</v>
      </c>
      <c r="H49" s="4" t="str">
        <f>IFERROR(__xludf.DUMMYFUNCTION("""COMPUTED_VALUE"""),"DATASBCT9")</f>
        <v>DATASBCT9</v>
      </c>
      <c r="I49" s="5">
        <f>IFERROR(__xludf.DUMMYFUNCTION("""COMPUTED_VALUE"""),27.0)</f>
        <v>27</v>
      </c>
      <c r="J49" s="4" t="str">
        <f>IFERROR(__xludf.DUMMYFUNCTION("""COMPUTED_VALUE"""),"Tier 3")</f>
        <v>Tier 3</v>
      </c>
      <c r="K49" s="4" t="str">
        <f>IFERROR(__xludf.DUMMYFUNCTION("""COMPUTED_VALUE"""),"Active")</f>
        <v>Active</v>
      </c>
      <c r="L49" s="4" t="str">
        <f>IFERROR(__xludf.DUMMYFUNCTION("""COMPUTED_VALUE"""),"AI Applications")</f>
        <v>AI Applications</v>
      </c>
    </row>
    <row r="50">
      <c r="A50" s="4" t="str">
        <f>IFERROR(__xludf.DUMMYFUNCTION("""COMPUTED_VALUE"""),"DME0801")</f>
        <v>DME0801</v>
      </c>
      <c r="B50" s="4" t="str">
        <f>IFERROR(__xludf.DUMMYFUNCTION("""COMPUTED_VALUE"""),"Vinay Kumar Ujee")</f>
        <v>Vinay Kumar Ujee</v>
      </c>
      <c r="C50" s="4" t="str">
        <f>IFERROR(__xludf.DUMMYFUNCTION("""COMPUTED_VALUE"""),"vinay.ujee@onixnet.com")</f>
        <v>vinay.ujee@onixnet.com</v>
      </c>
      <c r="D50" s="4" t="str">
        <f>IFERROR(__xludf.DUMMYFUNCTION("""COMPUTED_VALUE"""),"Active")</f>
        <v>Active</v>
      </c>
      <c r="E50" s="4" t="str">
        <f>IFERROR(__xludf.DUMMYFUNCTION("""COMPUTED_VALUE"""),"Product Engineering")</f>
        <v>Product Engineering</v>
      </c>
      <c r="F50" s="4" t="str">
        <f>IFERROR(__xludf.DUMMYFUNCTION("""COMPUTED_VALUE"""),"Anurag Saxena")</f>
        <v>Anurag Saxena</v>
      </c>
      <c r="G50" s="4" t="str">
        <f>IFERROR(__xludf.DUMMYFUNCTION("""COMPUTED_VALUE"""),"Cluster - Mayur")</f>
        <v>Cluster - Mayur</v>
      </c>
      <c r="H50" s="4"/>
      <c r="I50" s="5"/>
      <c r="J50" s="4"/>
      <c r="K50" s="4" t="str">
        <f>IFERROR(__xludf.DUMMYFUNCTION("""COMPUTED_VALUE"""),"ID Not Created")</f>
        <v>ID Not Created</v>
      </c>
      <c r="L50" s="4"/>
    </row>
    <row r="51">
      <c r="A51" s="4" t="str">
        <f>IFERROR(__xludf.DUMMYFUNCTION("""COMPUTED_VALUE"""),"DME0818")</f>
        <v>DME0818</v>
      </c>
      <c r="B51" s="4" t="str">
        <f>IFERROR(__xludf.DUMMYFUNCTION("""COMPUTED_VALUE"""),"Priyanka Buwe")</f>
        <v>Priyanka Buwe</v>
      </c>
      <c r="C51" s="4" t="str">
        <f>IFERROR(__xludf.DUMMYFUNCTION("""COMPUTED_VALUE"""),"priyanka.buwe@onixnet.com")</f>
        <v>priyanka.buwe@onixnet.com</v>
      </c>
      <c r="D51" s="4" t="str">
        <f>IFERROR(__xludf.DUMMYFUNCTION("""COMPUTED_VALUE"""),"Active")</f>
        <v>Active</v>
      </c>
      <c r="E51" s="4" t="str">
        <f>IFERROR(__xludf.DUMMYFUNCTION("""COMPUTED_VALUE"""),"Solutions and Pre-Sales")</f>
        <v>Solutions and Pre-Sales</v>
      </c>
      <c r="F51" s="4" t="str">
        <f>IFERROR(__xludf.DUMMYFUNCTION("""COMPUTED_VALUE"""),"Gaurav Agarwaal")</f>
        <v>Gaurav Agarwaal</v>
      </c>
      <c r="G51" s="4" t="str">
        <f>IFERROR(__xludf.DUMMYFUNCTION("""COMPUTED_VALUE"""),"Portfolio - Gaurav A (Presales)")</f>
        <v>Portfolio - Gaurav A (Presales)</v>
      </c>
      <c r="H51" s="4" t="str">
        <f>IFERROR(__xludf.DUMMYFUNCTION("""COMPUTED_VALUE"""),"ONIPBXBP3")</f>
        <v>ONIPBXBP3</v>
      </c>
      <c r="I51" s="5">
        <f>IFERROR(__xludf.DUMMYFUNCTION("""COMPUTED_VALUE"""),0.0)</f>
        <v>0</v>
      </c>
      <c r="J51" s="4" t="str">
        <f>IFERROR(__xludf.DUMMYFUNCTION("""COMPUTED_VALUE"""),"Tier 4")</f>
        <v>Tier 4</v>
      </c>
      <c r="K51" s="4" t="str">
        <f>IFERROR(__xludf.DUMMYFUNCTION("""COMPUTED_VALUE"""),"ID Created DRP score 0")</f>
        <v>ID Created DRP score 0</v>
      </c>
      <c r="L51" s="4"/>
    </row>
    <row r="52">
      <c r="A52" s="4" t="str">
        <f>IFERROR(__xludf.DUMMYFUNCTION("""COMPUTED_VALUE"""),"DME0821")</f>
        <v>DME0821</v>
      </c>
      <c r="B52" s="4" t="str">
        <f>IFERROR(__xludf.DUMMYFUNCTION("""COMPUTED_VALUE"""),"Imtiyaz Ali Khan Pathan")</f>
        <v>Imtiyaz Ali Khan Pathan</v>
      </c>
      <c r="C52" s="4" t="str">
        <f>IFERROR(__xludf.DUMMYFUNCTION("""COMPUTED_VALUE"""),"imtiyaz.pathan@onixnet.com")</f>
        <v>imtiyaz.pathan@onixnet.com</v>
      </c>
      <c r="D52" s="4" t="str">
        <f>IFERROR(__xludf.DUMMYFUNCTION("""COMPUTED_VALUE"""),"Active")</f>
        <v>Active</v>
      </c>
      <c r="E52" s="4" t="str">
        <f>IFERROR(__xludf.DUMMYFUNCTION("""COMPUTED_VALUE"""),"Product Engineering")</f>
        <v>Product Engineering</v>
      </c>
      <c r="F52" s="4" t="str">
        <f>IFERROR(__xludf.DUMMYFUNCTION("""COMPUTED_VALUE"""),"Dhiraj Kumar")</f>
        <v>Dhiraj Kumar</v>
      </c>
      <c r="G52" s="4" t="str">
        <f>IFERROR(__xludf.DUMMYFUNCTION("""COMPUTED_VALUE"""),"Cluster - Mayur")</f>
        <v>Cluster - Mayur</v>
      </c>
      <c r="H52" s="4" t="str">
        <f>IFERROR(__xludf.DUMMYFUNCTION("""COMPUTED_VALUE"""),"ONIIPTJU8")</f>
        <v>ONIIPTJU8</v>
      </c>
      <c r="I52" s="5">
        <f>IFERROR(__xludf.DUMMYFUNCTION("""COMPUTED_VALUE"""),10.0)</f>
        <v>10</v>
      </c>
      <c r="J52" s="4" t="str">
        <f>IFERROR(__xludf.DUMMYFUNCTION("""COMPUTED_VALUE"""),"Tier 4")</f>
        <v>Tier 4</v>
      </c>
      <c r="K52" s="4" t="str">
        <f>IFERROR(__xludf.DUMMYFUNCTION("""COMPUTED_VALUE"""),"Active")</f>
        <v>Active</v>
      </c>
      <c r="L52" s="4" t="str">
        <f>IFERROR(__xludf.DUMMYFUNCTION("""COMPUTED_VALUE"""),"AI Applications")</f>
        <v>AI Applications</v>
      </c>
    </row>
    <row r="53">
      <c r="A53" s="4" t="str">
        <f>IFERROR(__xludf.DUMMYFUNCTION("""COMPUTED_VALUE"""),"DME0827")</f>
        <v>DME0827</v>
      </c>
      <c r="B53" s="4" t="str">
        <f>IFERROR(__xludf.DUMMYFUNCTION("""COMPUTED_VALUE"""),"Agrima Bhatia")</f>
        <v>Agrima Bhatia</v>
      </c>
      <c r="C53" s="4" t="str">
        <f>IFERROR(__xludf.DUMMYFUNCTION("""COMPUTED_VALUE"""),"agrima.bhatia@onixnet.com")</f>
        <v>agrima.bhatia@onixnet.com</v>
      </c>
      <c r="D53" s="4" t="str">
        <f>IFERROR(__xludf.DUMMYFUNCTION("""COMPUTED_VALUE"""),"Active")</f>
        <v>Active</v>
      </c>
      <c r="E53" s="4" t="str">
        <f>IFERROR(__xludf.DUMMYFUNCTION("""COMPUTED_VALUE"""),"Product Engineering")</f>
        <v>Product Engineering</v>
      </c>
      <c r="F53" s="4" t="str">
        <f>IFERROR(__xludf.DUMMYFUNCTION("""COMPUTED_VALUE"""),"Anurag Saxena")</f>
        <v>Anurag Saxena</v>
      </c>
      <c r="G53" s="4" t="str">
        <f>IFERROR(__xludf.DUMMYFUNCTION("""COMPUTED_VALUE"""),"Cluster - Mayur")</f>
        <v>Cluster - Mayur</v>
      </c>
      <c r="H53" s="4"/>
      <c r="I53" s="5"/>
      <c r="J53" s="4"/>
      <c r="K53" s="4" t="str">
        <f>IFERROR(__xludf.DUMMYFUNCTION("""COMPUTED_VALUE"""),"ID Not Created")</f>
        <v>ID Not Created</v>
      </c>
      <c r="L53" s="4"/>
    </row>
    <row r="54">
      <c r="A54" s="4" t="str">
        <f>IFERROR(__xludf.DUMMYFUNCTION("""COMPUTED_VALUE"""),"DME0841")</f>
        <v>DME0841</v>
      </c>
      <c r="B54" s="4" t="str">
        <f>IFERROR(__xludf.DUMMYFUNCTION("""COMPUTED_VALUE"""),"Harshit Soni")</f>
        <v>Harshit Soni</v>
      </c>
      <c r="C54" s="4" t="str">
        <f>IFERROR(__xludf.DUMMYFUNCTION("""COMPUTED_VALUE"""),"harshit.soni@onixnet.com")</f>
        <v>harshit.soni@onixnet.com</v>
      </c>
      <c r="D54" s="4" t="str">
        <f>IFERROR(__xludf.DUMMYFUNCTION("""COMPUTED_VALUE"""),"Active")</f>
        <v>Active</v>
      </c>
      <c r="E54" s="4" t="str">
        <f>IFERROR(__xludf.DUMMYFUNCTION("""COMPUTED_VALUE"""),"Product Engineering")</f>
        <v>Product Engineering</v>
      </c>
      <c r="F54" s="4" t="str">
        <f>IFERROR(__xludf.DUMMYFUNCTION("""COMPUTED_VALUE"""),"Anil Aleppy")</f>
        <v>Anil Aleppy</v>
      </c>
      <c r="G54" s="4" t="str">
        <f>IFERROR(__xludf.DUMMYFUNCTION("""COMPUTED_VALUE"""),"Cluster - Mayur")</f>
        <v>Cluster - Mayur</v>
      </c>
      <c r="H54" s="4" t="str">
        <f>IFERROR(__xludf.DUMMYFUNCTION("""COMPUTED_VALUE"""),"ONIHSVJG5")</f>
        <v>ONIHSVJG5</v>
      </c>
      <c r="I54" s="5">
        <f>IFERROR(__xludf.DUMMYFUNCTION("""COMPUTED_VALUE"""),0.0)</f>
        <v>0</v>
      </c>
      <c r="J54" s="4" t="str">
        <f>IFERROR(__xludf.DUMMYFUNCTION("""COMPUTED_VALUE"""),"Tier 4")</f>
        <v>Tier 4</v>
      </c>
      <c r="K54" s="4" t="str">
        <f>IFERROR(__xludf.DUMMYFUNCTION("""COMPUTED_VALUE"""),"ID Created DRP score 0")</f>
        <v>ID Created DRP score 0</v>
      </c>
      <c r="L54" s="4"/>
    </row>
    <row r="55">
      <c r="A55" s="4" t="str">
        <f>IFERROR(__xludf.DUMMYFUNCTION("""COMPUTED_VALUE"""),"DME0842")</f>
        <v>DME0842</v>
      </c>
      <c r="B55" s="4" t="str">
        <f>IFERROR(__xludf.DUMMYFUNCTION("""COMPUTED_VALUE"""),"Parth Girishbhai Chauhan")</f>
        <v>Parth Girishbhai Chauhan</v>
      </c>
      <c r="C55" s="4" t="str">
        <f>IFERROR(__xludf.DUMMYFUNCTION("""COMPUTED_VALUE"""),"parth.chauhan@onixnet.com")</f>
        <v>parth.chauhan@onixnet.com</v>
      </c>
      <c r="D55" s="4" t="str">
        <f>IFERROR(__xludf.DUMMYFUNCTION("""COMPUTED_VALUE"""),"Active")</f>
        <v>Active</v>
      </c>
      <c r="E55" s="4" t="str">
        <f>IFERROR(__xludf.DUMMYFUNCTION("""COMPUTED_VALUE"""),"Delivery Services")</f>
        <v>Delivery Services</v>
      </c>
      <c r="F55" s="4" t="str">
        <f>IFERROR(__xludf.DUMMYFUNCTION("""COMPUTED_VALUE"""),"Javed Ansari")</f>
        <v>Javed Ansari</v>
      </c>
      <c r="G55" s="4" t="str">
        <f>IFERROR(__xludf.DUMMYFUNCTION("""COMPUTED_VALUE"""),"Cluster - Gaurav")</f>
        <v>Cluster - Gaurav</v>
      </c>
      <c r="H55" s="4" t="str">
        <f>IFERROR(__xludf.DUMMYFUNCTION("""COMPUTED_VALUE"""),"ONIPCSPV3")</f>
        <v>ONIPCSPV3</v>
      </c>
      <c r="I55" s="5">
        <f>IFERROR(__xludf.DUMMYFUNCTION("""COMPUTED_VALUE"""),10.0)</f>
        <v>10</v>
      </c>
      <c r="J55" s="4" t="str">
        <f>IFERROR(__xludf.DUMMYFUNCTION("""COMPUTED_VALUE"""),"Tier 4")</f>
        <v>Tier 4</v>
      </c>
      <c r="K55" s="4" t="str">
        <f>IFERROR(__xludf.DUMMYFUNCTION("""COMPUTED_VALUE"""),"Active")</f>
        <v>Active</v>
      </c>
      <c r="L55" s="4" t="str">
        <f>IFERROR(__xludf.DUMMYFUNCTION("""COMPUTED_VALUE"""),"Gemini Enterprise Agent Platform")</f>
        <v>Gemini Enterprise Agent Platform</v>
      </c>
    </row>
    <row r="56">
      <c r="A56" s="4" t="str">
        <f>IFERROR(__xludf.DUMMYFUNCTION("""COMPUTED_VALUE"""),"DME0887")</f>
        <v>DME0887</v>
      </c>
      <c r="B56" s="4" t="str">
        <f>IFERROR(__xludf.DUMMYFUNCTION("""COMPUTED_VALUE"""),"Aarti Suresh Borhade")</f>
        <v>Aarti Suresh Borhade</v>
      </c>
      <c r="C56" s="4" t="str">
        <f>IFERROR(__xludf.DUMMYFUNCTION("""COMPUTED_VALUE"""),"aarti.borhade@onixnet.com")</f>
        <v>aarti.borhade@onixnet.com</v>
      </c>
      <c r="D56" s="4" t="str">
        <f>IFERROR(__xludf.DUMMYFUNCTION("""COMPUTED_VALUE"""),"Active")</f>
        <v>Active</v>
      </c>
      <c r="E56" s="4" t="str">
        <f>IFERROR(__xludf.DUMMYFUNCTION("""COMPUTED_VALUE"""),"Delivery Services")</f>
        <v>Delivery Services</v>
      </c>
      <c r="F56" s="4" t="str">
        <f>IFERROR(__xludf.DUMMYFUNCTION("""COMPUTED_VALUE"""),"Rahul Chandak")</f>
        <v>Rahul Chandak</v>
      </c>
      <c r="G56" s="4" t="str">
        <f>IFERROR(__xludf.DUMMYFUNCTION("""COMPUTED_VALUE"""),"Cluster - Sagar")</f>
        <v>Cluster - Sagar</v>
      </c>
      <c r="H56" s="4" t="str">
        <f>IFERROR(__xludf.DUMMYFUNCTION("""COMPUTED_VALUE"""),"ONIABMDO8")</f>
        <v>ONIABMDO8</v>
      </c>
      <c r="I56" s="5">
        <f>IFERROR(__xludf.DUMMYFUNCTION("""COMPUTED_VALUE"""),14.0)</f>
        <v>14</v>
      </c>
      <c r="J56" s="4" t="str">
        <f>IFERROR(__xludf.DUMMYFUNCTION("""COMPUTED_VALUE"""),"Tier 4")</f>
        <v>Tier 4</v>
      </c>
      <c r="K56" s="4" t="str">
        <f>IFERROR(__xludf.DUMMYFUNCTION("""COMPUTED_VALUE"""),"Active")</f>
        <v>Active</v>
      </c>
      <c r="L56" s="4" t="str">
        <f>IFERROR(__xludf.DUMMYFUNCTION("""COMPUTED_VALUE"""),"BigQuery")</f>
        <v>BigQuery</v>
      </c>
    </row>
    <row r="57">
      <c r="A57" s="4" t="str">
        <f>IFERROR(__xludf.DUMMYFUNCTION("""COMPUTED_VALUE"""),"DME0885")</f>
        <v>DME0885</v>
      </c>
      <c r="B57" s="4" t="str">
        <f>IFERROR(__xludf.DUMMYFUNCTION("""COMPUTED_VALUE"""),"Nirmal Sundarlal Jain")</f>
        <v>Nirmal Sundarlal Jain</v>
      </c>
      <c r="C57" s="4" t="str">
        <f>IFERROR(__xludf.DUMMYFUNCTION("""COMPUTED_VALUE"""),"nirmal.jain@onixnet.com")</f>
        <v>nirmal.jain@onixnet.com</v>
      </c>
      <c r="D57" s="4" t="str">
        <f>IFERROR(__xludf.DUMMYFUNCTION("""COMPUTED_VALUE"""),"Active")</f>
        <v>Active</v>
      </c>
      <c r="E57" s="4" t="str">
        <f>IFERROR(__xludf.DUMMYFUNCTION("""COMPUTED_VALUE"""),"Delivery Services")</f>
        <v>Delivery Services</v>
      </c>
      <c r="F57" s="4" t="str">
        <f>IFERROR(__xludf.DUMMYFUNCTION("""COMPUTED_VALUE"""),"Vedant Bhogawade")</f>
        <v>Vedant Bhogawade</v>
      </c>
      <c r="G57" s="4" t="str">
        <f>IFERROR(__xludf.DUMMYFUNCTION("""COMPUTED_VALUE"""),"Cluster - Varun")</f>
        <v>Cluster - Varun</v>
      </c>
      <c r="H57" s="4" t="str">
        <f>IFERROR(__xludf.DUMMYFUNCTION("""COMPUTED_VALUE"""),"ONINJKNX4")</f>
        <v>ONINJKNX4</v>
      </c>
      <c r="I57" s="5">
        <f>IFERROR(__xludf.DUMMYFUNCTION("""COMPUTED_VALUE"""),14.0)</f>
        <v>14</v>
      </c>
      <c r="J57" s="4" t="str">
        <f>IFERROR(__xludf.DUMMYFUNCTION("""COMPUTED_VALUE"""),"Tier 4")</f>
        <v>Tier 4</v>
      </c>
      <c r="K57" s="4" t="str">
        <f>IFERROR(__xludf.DUMMYFUNCTION("""COMPUTED_VALUE"""),"Active")</f>
        <v>Active</v>
      </c>
      <c r="L57" s="4" t="str">
        <f>IFERROR(__xludf.DUMMYFUNCTION("""COMPUTED_VALUE"""),"Google Compute Engine")</f>
        <v>Google Compute Engine</v>
      </c>
    </row>
    <row r="58">
      <c r="A58" s="4" t="str">
        <f>IFERROR(__xludf.DUMMYFUNCTION("""COMPUTED_VALUE"""),"DME0870")</f>
        <v>DME0870</v>
      </c>
      <c r="B58" s="4" t="str">
        <f>IFERROR(__xludf.DUMMYFUNCTION("""COMPUTED_VALUE"""),"Minal Premraj Patil")</f>
        <v>Minal Premraj Patil</v>
      </c>
      <c r="C58" s="4" t="str">
        <f>IFERROR(__xludf.DUMMYFUNCTION("""COMPUTED_VALUE"""),"minal.patil@onixnet.com")</f>
        <v>minal.patil@onixnet.com</v>
      </c>
      <c r="D58" s="4" t="str">
        <f>IFERROR(__xludf.DUMMYFUNCTION("""COMPUTED_VALUE"""),"Active")</f>
        <v>Active</v>
      </c>
      <c r="E58" s="4" t="str">
        <f>IFERROR(__xludf.DUMMYFUNCTION("""COMPUTED_VALUE"""),"Delivery Services")</f>
        <v>Delivery Services</v>
      </c>
      <c r="F58" s="4" t="str">
        <f>IFERROR(__xludf.DUMMYFUNCTION("""COMPUTED_VALUE"""),"Devayani Girish Pillai")</f>
        <v>Devayani Girish Pillai</v>
      </c>
      <c r="G58" s="4" t="str">
        <f>IFERROR(__xludf.DUMMYFUNCTION("""COMPUTED_VALUE"""),"Cluster - Devayani")</f>
        <v>Cluster - Devayani</v>
      </c>
      <c r="H58" s="4" t="str">
        <f>IFERROR(__xludf.DUMMYFUNCTION("""COMPUTED_VALUE"""),"ONIMPOYG3")</f>
        <v>ONIMPOYG3</v>
      </c>
      <c r="I58" s="5">
        <f>IFERROR(__xludf.DUMMYFUNCTION("""COMPUTED_VALUE"""),74.0)</f>
        <v>74</v>
      </c>
      <c r="J58" s="4" t="str">
        <f>IFERROR(__xludf.DUMMYFUNCTION("""COMPUTED_VALUE"""),"Tier 1")</f>
        <v>Tier 1</v>
      </c>
      <c r="K58" s="4" t="str">
        <f>IFERROR(__xludf.DUMMYFUNCTION("""COMPUTED_VALUE"""),"Active")</f>
        <v>Active</v>
      </c>
      <c r="L58" s="4" t="str">
        <f>IFERROR(__xludf.DUMMYFUNCTION("""COMPUTED_VALUE"""),"Gemini Enterprise Agent Platform")</f>
        <v>Gemini Enterprise Agent Platform</v>
      </c>
    </row>
    <row r="59">
      <c r="A59" s="4" t="str">
        <f>IFERROR(__xludf.DUMMYFUNCTION("""COMPUTED_VALUE"""),"DME0910")</f>
        <v>DME0910</v>
      </c>
      <c r="B59" s="4" t="str">
        <f>IFERROR(__xludf.DUMMYFUNCTION("""COMPUTED_VALUE"""),"Pooja Amarnath Kore")</f>
        <v>Pooja Amarnath Kore</v>
      </c>
      <c r="C59" s="4" t="str">
        <f>IFERROR(__xludf.DUMMYFUNCTION("""COMPUTED_VALUE"""),"pooja.kore@onixnet.com")</f>
        <v>pooja.kore@onixnet.com</v>
      </c>
      <c r="D59" s="4" t="str">
        <f>IFERROR(__xludf.DUMMYFUNCTION("""COMPUTED_VALUE"""),"Active")</f>
        <v>Active</v>
      </c>
      <c r="E59" s="4" t="str">
        <f>IFERROR(__xludf.DUMMYFUNCTION("""COMPUTED_VALUE"""),"Product Engineering")</f>
        <v>Product Engineering</v>
      </c>
      <c r="F59" s="4" t="str">
        <f>IFERROR(__xludf.DUMMYFUNCTION("""COMPUTED_VALUE"""),"Binoy Samuel")</f>
        <v>Binoy Samuel</v>
      </c>
      <c r="G59" s="4" t="str">
        <f>IFERROR(__xludf.DUMMYFUNCTION("""COMPUTED_VALUE"""),"Cluster - Mayur")</f>
        <v>Cluster - Mayur</v>
      </c>
      <c r="H59" s="4" t="str">
        <f>IFERROR(__xludf.DUMMYFUNCTION("""COMPUTED_VALUE"""),"ONIPKMRE7")</f>
        <v>ONIPKMRE7</v>
      </c>
      <c r="I59" s="5">
        <f>IFERROR(__xludf.DUMMYFUNCTION("""COMPUTED_VALUE"""),0.0)</f>
        <v>0</v>
      </c>
      <c r="J59" s="4" t="str">
        <f>IFERROR(__xludf.DUMMYFUNCTION("""COMPUTED_VALUE"""),"Tier 4")</f>
        <v>Tier 4</v>
      </c>
      <c r="K59" s="4" t="str">
        <f>IFERROR(__xludf.DUMMYFUNCTION("""COMPUTED_VALUE"""),"ID Created DRP score 0")</f>
        <v>ID Created DRP score 0</v>
      </c>
      <c r="L59" s="4"/>
    </row>
    <row r="60">
      <c r="A60" s="4" t="str">
        <f>IFERROR(__xludf.DUMMYFUNCTION("""COMPUTED_VALUE"""),"DME0918")</f>
        <v>DME0918</v>
      </c>
      <c r="B60" s="4" t="str">
        <f>IFERROR(__xludf.DUMMYFUNCTION("""COMPUTED_VALUE"""),"Ashna Jha")</f>
        <v>Ashna Jha</v>
      </c>
      <c r="C60" s="4" t="str">
        <f>IFERROR(__xludf.DUMMYFUNCTION("""COMPUTED_VALUE"""),"ashna.jha@onixnet.com")</f>
        <v>ashna.jha@onixnet.com</v>
      </c>
      <c r="D60" s="4" t="str">
        <f>IFERROR(__xludf.DUMMYFUNCTION("""COMPUTED_VALUE"""),"Active")</f>
        <v>Active</v>
      </c>
      <c r="E60" s="4" t="str">
        <f>IFERROR(__xludf.DUMMYFUNCTION("""COMPUTED_VALUE"""),"Delivery Services")</f>
        <v>Delivery Services</v>
      </c>
      <c r="F60" s="4" t="str">
        <f>IFERROR(__xludf.DUMMYFUNCTION("""COMPUTED_VALUE"""),"Noorulla Shaik")</f>
        <v>Noorulla Shaik</v>
      </c>
      <c r="G60" s="4" t="str">
        <f>IFERROR(__xludf.DUMMYFUNCTION("""COMPUTED_VALUE"""),"Cluster - Kanhaiya")</f>
        <v>Cluster - Kanhaiya</v>
      </c>
      <c r="H60" s="4" t="str">
        <f>IFERROR(__xludf.DUMMYFUNCTION("""COMPUTED_VALUE"""),"ONIAJERS6")</f>
        <v>ONIAJERS6</v>
      </c>
      <c r="I60" s="5">
        <f>IFERROR(__xludf.DUMMYFUNCTION("""COMPUTED_VALUE"""),10.0)</f>
        <v>10</v>
      </c>
      <c r="J60" s="4" t="str">
        <f>IFERROR(__xludf.DUMMYFUNCTION("""COMPUTED_VALUE"""),"Tier 4")</f>
        <v>Tier 4</v>
      </c>
      <c r="K60" s="4" t="str">
        <f>IFERROR(__xludf.DUMMYFUNCTION("""COMPUTED_VALUE"""),"Active")</f>
        <v>Active</v>
      </c>
      <c r="L60" s="4" t="str">
        <f>IFERROR(__xludf.DUMMYFUNCTION("""COMPUTED_VALUE"""),"BigQuery")</f>
        <v>BigQuery</v>
      </c>
    </row>
    <row r="61">
      <c r="A61" s="4" t="str">
        <f>IFERROR(__xludf.DUMMYFUNCTION("""COMPUTED_VALUE"""),"DME0922")</f>
        <v>DME0922</v>
      </c>
      <c r="B61" s="4" t="str">
        <f>IFERROR(__xludf.DUMMYFUNCTION("""COMPUTED_VALUE"""),"Pranit Dnyanoba Shelke")</f>
        <v>Pranit Dnyanoba Shelke</v>
      </c>
      <c r="C61" s="4" t="str">
        <f>IFERROR(__xludf.DUMMYFUNCTION("""COMPUTED_VALUE"""),"pranit.shelke@onixnet.com")</f>
        <v>pranit.shelke@onixnet.com</v>
      </c>
      <c r="D61" s="4" t="str">
        <f>IFERROR(__xludf.DUMMYFUNCTION("""COMPUTED_VALUE"""),"Active")</f>
        <v>Active</v>
      </c>
      <c r="E61" s="4" t="str">
        <f>IFERROR(__xludf.DUMMYFUNCTION("""COMPUTED_VALUE"""),"Product Engineering")</f>
        <v>Product Engineering</v>
      </c>
      <c r="F61" s="4" t="str">
        <f>IFERROR(__xludf.DUMMYFUNCTION("""COMPUTED_VALUE"""),"Ketan Dosi")</f>
        <v>Ketan Dosi</v>
      </c>
      <c r="G61" s="4" t="str">
        <f>IFERROR(__xludf.DUMMYFUNCTION("""COMPUTED_VALUE"""),"Cluster - Mayur")</f>
        <v>Cluster - Mayur</v>
      </c>
      <c r="H61" s="4" t="str">
        <f>IFERROR(__xludf.DUMMYFUNCTION("""COMPUTED_VALUE"""),"ONIPSMOB7")</f>
        <v>ONIPSMOB7</v>
      </c>
      <c r="I61" s="5">
        <f>IFERROR(__xludf.DUMMYFUNCTION("""COMPUTED_VALUE"""),0.0)</f>
        <v>0</v>
      </c>
      <c r="J61" s="4" t="str">
        <f>IFERROR(__xludf.DUMMYFUNCTION("""COMPUTED_VALUE"""),"Tier 4")</f>
        <v>Tier 4</v>
      </c>
      <c r="K61" s="4" t="str">
        <f>IFERROR(__xludf.DUMMYFUNCTION("""COMPUTED_VALUE"""),"ID Created DRP score 0")</f>
        <v>ID Created DRP score 0</v>
      </c>
      <c r="L61" s="4"/>
    </row>
    <row r="62">
      <c r="A62" s="4" t="str">
        <f>IFERROR(__xludf.DUMMYFUNCTION("""COMPUTED_VALUE"""),"DME0958")</f>
        <v>DME0958</v>
      </c>
      <c r="B62" s="4" t="str">
        <f>IFERROR(__xludf.DUMMYFUNCTION("""COMPUTED_VALUE"""),"Lalit Ashokrao Sakure")</f>
        <v>Lalit Ashokrao Sakure</v>
      </c>
      <c r="C62" s="4" t="str">
        <f>IFERROR(__xludf.DUMMYFUNCTION("""COMPUTED_VALUE"""),"lalit.sakure@onixnet.com")</f>
        <v>lalit.sakure@onixnet.com</v>
      </c>
      <c r="D62" s="4" t="str">
        <f>IFERROR(__xludf.DUMMYFUNCTION("""COMPUTED_VALUE"""),"Active")</f>
        <v>Active</v>
      </c>
      <c r="E62" s="4" t="str">
        <f>IFERROR(__xludf.DUMMYFUNCTION("""COMPUTED_VALUE"""),"Delivery Services")</f>
        <v>Delivery Services</v>
      </c>
      <c r="F62" s="4" t="str">
        <f>IFERROR(__xludf.DUMMYFUNCTION("""COMPUTED_VALUE"""),"Gaurav Bharara")</f>
        <v>Gaurav Bharara</v>
      </c>
      <c r="G62" s="4" t="str">
        <f>IFERROR(__xludf.DUMMYFUNCTION("""COMPUTED_VALUE"""),"Cluster - Gaurav")</f>
        <v>Cluster - Gaurav</v>
      </c>
      <c r="H62" s="4" t="str">
        <f>IFERROR(__xludf.DUMMYFUNCTION("""COMPUTED_VALUE"""),"DATLSVIA1")</f>
        <v>DATLSVIA1</v>
      </c>
      <c r="I62" s="5">
        <f>IFERROR(__xludf.DUMMYFUNCTION("""COMPUTED_VALUE"""),19.0)</f>
        <v>19</v>
      </c>
      <c r="J62" s="4" t="str">
        <f>IFERROR(__xludf.DUMMYFUNCTION("""COMPUTED_VALUE"""),"Tier 4")</f>
        <v>Tier 4</v>
      </c>
      <c r="K62" s="4" t="str">
        <f>IFERROR(__xludf.DUMMYFUNCTION("""COMPUTED_VALUE"""),"Active")</f>
        <v>Active</v>
      </c>
      <c r="L62" s="4" t="str">
        <f>IFERROR(__xludf.DUMMYFUNCTION("""COMPUTED_VALUE"""),"BigQuery")</f>
        <v>BigQuery</v>
      </c>
    </row>
    <row r="63">
      <c r="A63" s="4" t="str">
        <f>IFERROR(__xludf.DUMMYFUNCTION("""COMPUTED_VALUE"""),"DME0964")</f>
        <v>DME0964</v>
      </c>
      <c r="B63" s="4" t="str">
        <f>IFERROR(__xludf.DUMMYFUNCTION("""COMPUTED_VALUE"""),"Rohan Ramesh Kshirsagar")</f>
        <v>Rohan Ramesh Kshirsagar</v>
      </c>
      <c r="C63" s="4" t="str">
        <f>IFERROR(__xludf.DUMMYFUNCTION("""COMPUTED_VALUE"""),"rohan.kshirsagar@onixnet.com")</f>
        <v>rohan.kshirsagar@onixnet.com</v>
      </c>
      <c r="D63" s="4" t="str">
        <f>IFERROR(__xludf.DUMMYFUNCTION("""COMPUTED_VALUE"""),"Active")</f>
        <v>Active</v>
      </c>
      <c r="E63" s="4" t="str">
        <f>IFERROR(__xludf.DUMMYFUNCTION("""COMPUTED_VALUE"""),"Product Engineering")</f>
        <v>Product Engineering</v>
      </c>
      <c r="F63" s="4" t="str">
        <f>IFERROR(__xludf.DUMMYFUNCTION("""COMPUTED_VALUE"""),"Venkat Shivkumar")</f>
        <v>Venkat Shivkumar</v>
      </c>
      <c r="G63" s="4" t="str">
        <f>IFERROR(__xludf.DUMMYFUNCTION("""COMPUTED_VALUE"""),"Cluster - Mayur")</f>
        <v>Cluster - Mayur</v>
      </c>
      <c r="H63" s="4" t="str">
        <f>IFERROR(__xludf.DUMMYFUNCTION("""COMPUTED_VALUE"""),"ONIRKONG9")</f>
        <v>ONIRKONG9</v>
      </c>
      <c r="I63" s="5">
        <f>IFERROR(__xludf.DUMMYFUNCTION("""COMPUTED_VALUE"""),10.0)</f>
        <v>10</v>
      </c>
      <c r="J63" s="4" t="str">
        <f>IFERROR(__xludf.DUMMYFUNCTION("""COMPUTED_VALUE"""),"Tier 4")</f>
        <v>Tier 4</v>
      </c>
      <c r="K63" s="4" t="str">
        <f>IFERROR(__xludf.DUMMYFUNCTION("""COMPUTED_VALUE"""),"Active")</f>
        <v>Active</v>
      </c>
      <c r="L63" s="4" t="str">
        <f>IFERROR(__xludf.DUMMYFUNCTION("""COMPUTED_VALUE"""),"BigQuery")</f>
        <v>BigQuery</v>
      </c>
    </row>
    <row r="64">
      <c r="A64" s="4" t="str">
        <f>IFERROR(__xludf.DUMMYFUNCTION("""COMPUTED_VALUE"""),"DME0969")</f>
        <v>DME0969</v>
      </c>
      <c r="B64" s="4" t="str">
        <f>IFERROR(__xludf.DUMMYFUNCTION("""COMPUTED_VALUE"""),"Shubhendu Shubhendu")</f>
        <v>Shubhendu Shubhendu</v>
      </c>
      <c r="C64" s="4" t="str">
        <f>IFERROR(__xludf.DUMMYFUNCTION("""COMPUTED_VALUE"""),"shubhendu.shubhendu@onixnet.com")</f>
        <v>shubhendu.shubhendu@onixnet.com</v>
      </c>
      <c r="D64" s="4" t="str">
        <f>IFERROR(__xludf.DUMMYFUNCTION("""COMPUTED_VALUE"""),"Active")</f>
        <v>Active</v>
      </c>
      <c r="E64" s="4" t="str">
        <f>IFERROR(__xludf.DUMMYFUNCTION("""COMPUTED_VALUE"""),"Delivery Services")</f>
        <v>Delivery Services</v>
      </c>
      <c r="F64" s="4" t="str">
        <f>IFERROR(__xludf.DUMMYFUNCTION("""COMPUTED_VALUE"""),"Ashwini Kumar")</f>
        <v>Ashwini Kumar</v>
      </c>
      <c r="G64" s="4" t="str">
        <f>IFERROR(__xludf.DUMMYFUNCTION("""COMPUTED_VALUE"""),"Cluster - Kanhaiya")</f>
        <v>Cluster - Kanhaiya</v>
      </c>
      <c r="H64" s="4" t="str">
        <f>IFERROR(__xludf.DUMMYFUNCTION("""COMPUTED_VALUE"""),"ONISSPUZ0")</f>
        <v>ONISSPUZ0</v>
      </c>
      <c r="I64" s="5">
        <f>IFERROR(__xludf.DUMMYFUNCTION("""COMPUTED_VALUE"""),10.0)</f>
        <v>10</v>
      </c>
      <c r="J64" s="4" t="str">
        <f>IFERROR(__xludf.DUMMYFUNCTION("""COMPUTED_VALUE"""),"Tier 4")</f>
        <v>Tier 4</v>
      </c>
      <c r="K64" s="4" t="str">
        <f>IFERROR(__xludf.DUMMYFUNCTION("""COMPUTED_VALUE"""),"Active")</f>
        <v>Active</v>
      </c>
      <c r="L64" s="4" t="str">
        <f>IFERROR(__xludf.DUMMYFUNCTION("""COMPUTED_VALUE"""),"BigQuery")</f>
        <v>BigQuery</v>
      </c>
    </row>
    <row r="65">
      <c r="A65" s="4" t="str">
        <f>IFERROR(__xludf.DUMMYFUNCTION("""COMPUTED_VALUE"""),"DME0977")</f>
        <v>DME0977</v>
      </c>
      <c r="B65" s="4" t="str">
        <f>IFERROR(__xludf.DUMMYFUNCTION("""COMPUTED_VALUE"""),"Mahesh Mohan Ghagare")</f>
        <v>Mahesh Mohan Ghagare</v>
      </c>
      <c r="C65" s="4" t="str">
        <f>IFERROR(__xludf.DUMMYFUNCTION("""COMPUTED_VALUE"""),"mahesh.ghagare@onixnet.com")</f>
        <v>mahesh.ghagare@onixnet.com</v>
      </c>
      <c r="D65" s="4" t="str">
        <f>IFERROR(__xludf.DUMMYFUNCTION("""COMPUTED_VALUE"""),"Active")</f>
        <v>Active</v>
      </c>
      <c r="E65" s="4" t="str">
        <f>IFERROR(__xludf.DUMMYFUNCTION("""COMPUTED_VALUE"""),"Delivery Services")</f>
        <v>Delivery Services</v>
      </c>
      <c r="F65" s="4" t="str">
        <f>IFERROR(__xludf.DUMMYFUNCTION("""COMPUTED_VALUE"""),"Pooja Chawda")</f>
        <v>Pooja Chawda</v>
      </c>
      <c r="G65" s="4" t="str">
        <f>IFERROR(__xludf.DUMMYFUNCTION("""COMPUTED_VALUE"""),"Cluster - Sandeep")</f>
        <v>Cluster - Sandeep</v>
      </c>
      <c r="H65" s="4" t="str">
        <f>IFERROR(__xludf.DUMMYFUNCTION("""COMPUTED_VALUE"""),"ONIMGNRP2")</f>
        <v>ONIMGNRP2</v>
      </c>
      <c r="I65" s="5">
        <f>IFERROR(__xludf.DUMMYFUNCTION("""COMPUTED_VALUE"""),24.0)</f>
        <v>24</v>
      </c>
      <c r="J65" s="4" t="str">
        <f>IFERROR(__xludf.DUMMYFUNCTION("""COMPUTED_VALUE"""),"Tier 3")</f>
        <v>Tier 3</v>
      </c>
      <c r="K65" s="4" t="str">
        <f>IFERROR(__xludf.DUMMYFUNCTION("""COMPUTED_VALUE"""),"Active")</f>
        <v>Active</v>
      </c>
      <c r="L65" s="4" t="str">
        <f>IFERROR(__xludf.DUMMYFUNCTION("""COMPUTED_VALUE"""),"AI Applications")</f>
        <v>AI Applications</v>
      </c>
    </row>
    <row r="66">
      <c r="A66" s="4" t="str">
        <f>IFERROR(__xludf.DUMMYFUNCTION("""COMPUTED_VALUE"""),"DME0984")</f>
        <v>DME0984</v>
      </c>
      <c r="B66" s="4" t="str">
        <f>IFERROR(__xludf.DUMMYFUNCTION("""COMPUTED_VALUE"""),"Mayuri Govindrao Thorat")</f>
        <v>Mayuri Govindrao Thorat</v>
      </c>
      <c r="C66" s="4" t="str">
        <f>IFERROR(__xludf.DUMMYFUNCTION("""COMPUTED_VALUE"""),"mayuri.thorat@onixnet.com")</f>
        <v>mayuri.thorat@onixnet.com</v>
      </c>
      <c r="D66" s="4" t="str">
        <f>IFERROR(__xludf.DUMMYFUNCTION("""COMPUTED_VALUE"""),"Active")</f>
        <v>Active</v>
      </c>
      <c r="E66" s="4" t="str">
        <f>IFERROR(__xludf.DUMMYFUNCTION("""COMPUTED_VALUE"""),"Delivery Services")</f>
        <v>Delivery Services</v>
      </c>
      <c r="F66" s="4" t="str">
        <f>IFERROR(__xludf.DUMMYFUNCTION("""COMPUTED_VALUE"""),"Vishal Khare")</f>
        <v>Vishal Khare</v>
      </c>
      <c r="G66" s="4" t="str">
        <f>IFERROR(__xludf.DUMMYFUNCTION("""COMPUTED_VALUE"""),"Cluster - Sagar")</f>
        <v>Cluster - Sagar</v>
      </c>
      <c r="H66" s="4" t="str">
        <f>IFERROR(__xludf.DUMMYFUNCTION("""COMPUTED_VALUE"""),"ONIMTNVK9")</f>
        <v>ONIMTNVK9</v>
      </c>
      <c r="I66" s="5">
        <f>IFERROR(__xludf.DUMMYFUNCTION("""COMPUTED_VALUE"""),7.0)</f>
        <v>7</v>
      </c>
      <c r="J66" s="4" t="str">
        <f>IFERROR(__xludf.DUMMYFUNCTION("""COMPUTED_VALUE"""),"Tier 4")</f>
        <v>Tier 4</v>
      </c>
      <c r="K66" s="4" t="str">
        <f>IFERROR(__xludf.DUMMYFUNCTION("""COMPUTED_VALUE"""),"Active")</f>
        <v>Active</v>
      </c>
      <c r="L66" s="4" t="str">
        <f>IFERROR(__xludf.DUMMYFUNCTION("""COMPUTED_VALUE"""),"Gemini Enterprise Agent Platform")</f>
        <v>Gemini Enterprise Agent Platform</v>
      </c>
    </row>
    <row r="67">
      <c r="A67" s="4" t="str">
        <f>IFERROR(__xludf.DUMMYFUNCTION("""COMPUTED_VALUE"""),"DME1000")</f>
        <v>DME1000</v>
      </c>
      <c r="B67" s="4" t="str">
        <f>IFERROR(__xludf.DUMMYFUNCTION("""COMPUTED_VALUE"""),"Shraddha Baliram Kachare")</f>
        <v>Shraddha Baliram Kachare</v>
      </c>
      <c r="C67" s="4" t="str">
        <f>IFERROR(__xludf.DUMMYFUNCTION("""COMPUTED_VALUE"""),"shraddha.kachare@onixnet.com")</f>
        <v>shraddha.kachare@onixnet.com</v>
      </c>
      <c r="D67" s="4" t="str">
        <f>IFERROR(__xludf.DUMMYFUNCTION("""COMPUTED_VALUE"""),"Active")</f>
        <v>Active</v>
      </c>
      <c r="E67" s="4" t="str">
        <f>IFERROR(__xludf.DUMMYFUNCTION("""COMPUTED_VALUE"""),"Delivery Services")</f>
        <v>Delivery Services</v>
      </c>
      <c r="F67" s="4" t="str">
        <f>IFERROR(__xludf.DUMMYFUNCTION("""COMPUTED_VALUE"""),"Gayatri Nachiket Bondale")</f>
        <v>Gayatri Nachiket Bondale</v>
      </c>
      <c r="G67" s="4" t="str">
        <f>IFERROR(__xludf.DUMMYFUNCTION("""COMPUTED_VALUE"""),"Cluster - Gaurav")</f>
        <v>Cluster - Gaurav</v>
      </c>
      <c r="H67" s="4" t="str">
        <f>IFERROR(__xludf.DUMMYFUNCTION("""COMPUTED_VALUE"""),"DATSKEYR6")</f>
        <v>DATSKEYR6</v>
      </c>
      <c r="I67" s="5">
        <f>IFERROR(__xludf.DUMMYFUNCTION("""COMPUTED_VALUE"""),17.0)</f>
        <v>17</v>
      </c>
      <c r="J67" s="4" t="str">
        <f>IFERROR(__xludf.DUMMYFUNCTION("""COMPUTED_VALUE"""),"Tier 4")</f>
        <v>Tier 4</v>
      </c>
      <c r="K67" s="4" t="str">
        <f>IFERROR(__xludf.DUMMYFUNCTION("""COMPUTED_VALUE"""),"Active")</f>
        <v>Active</v>
      </c>
      <c r="L67" s="4" t="str">
        <f>IFERROR(__xludf.DUMMYFUNCTION("""COMPUTED_VALUE"""),"BigQuery")</f>
        <v>BigQuery</v>
      </c>
    </row>
    <row r="68">
      <c r="A68" s="4" t="str">
        <f>IFERROR(__xludf.DUMMYFUNCTION("""COMPUTED_VALUE"""),"DME1026")</f>
        <v>DME1026</v>
      </c>
      <c r="B68" s="4" t="str">
        <f>IFERROR(__xludf.DUMMYFUNCTION("""COMPUTED_VALUE"""),"Kalpa Sharma")</f>
        <v>Kalpa Sharma</v>
      </c>
      <c r="C68" s="4" t="str">
        <f>IFERROR(__xludf.DUMMYFUNCTION("""COMPUTED_VALUE"""),"kalpa.sharma@onixnet.com")</f>
        <v>kalpa.sharma@onixnet.com</v>
      </c>
      <c r="D68" s="4" t="str">
        <f>IFERROR(__xludf.DUMMYFUNCTION("""COMPUTED_VALUE"""),"Active")</f>
        <v>Active</v>
      </c>
      <c r="E68" s="4" t="str">
        <f>IFERROR(__xludf.DUMMYFUNCTION("""COMPUTED_VALUE"""),"Eagle Assessment")</f>
        <v>Eagle Assessment</v>
      </c>
      <c r="F68" s="4" t="str">
        <f>IFERROR(__xludf.DUMMYFUNCTION("""COMPUTED_VALUE"""),"Niraj Kumar")</f>
        <v>Niraj Kumar</v>
      </c>
      <c r="G68" s="4" t="str">
        <f>IFERROR(__xludf.DUMMYFUNCTION("""COMPUTED_VALUE"""),"Cluster - Niraj")</f>
        <v>Cluster - Niraj</v>
      </c>
      <c r="H68" s="4" t="str">
        <f>IFERROR(__xludf.DUMMYFUNCTION("""COMPUTED_VALUE"""),"DATKSEQK7")</f>
        <v>DATKSEQK7</v>
      </c>
      <c r="I68" s="5">
        <f>IFERROR(__xludf.DUMMYFUNCTION("""COMPUTED_VALUE"""),5.0)</f>
        <v>5</v>
      </c>
      <c r="J68" s="4" t="str">
        <f>IFERROR(__xludf.DUMMYFUNCTION("""COMPUTED_VALUE"""),"Tier 4")</f>
        <v>Tier 4</v>
      </c>
      <c r="K68" s="4" t="str">
        <f>IFERROR(__xludf.DUMMYFUNCTION("""COMPUTED_VALUE"""),"Active")</f>
        <v>Active</v>
      </c>
      <c r="L68" s="4" t="str">
        <f>IFERROR(__xludf.DUMMYFUNCTION("""COMPUTED_VALUE"""),"Gemini Enterprise Agent Platform")</f>
        <v>Gemini Enterprise Agent Platform</v>
      </c>
    </row>
    <row r="69">
      <c r="A69" s="4" t="str">
        <f>IFERROR(__xludf.DUMMYFUNCTION("""COMPUTED_VALUE"""),"DME1040")</f>
        <v>DME1040</v>
      </c>
      <c r="B69" s="4" t="str">
        <f>IFERROR(__xludf.DUMMYFUNCTION("""COMPUTED_VALUE"""),"Suraj Rajudas Chavan")</f>
        <v>Suraj Rajudas Chavan</v>
      </c>
      <c r="C69" s="4" t="str">
        <f>IFERROR(__xludf.DUMMYFUNCTION("""COMPUTED_VALUE"""),"suraj.chavan@onixnet.com")</f>
        <v>suraj.chavan@onixnet.com</v>
      </c>
      <c r="D69" s="4" t="str">
        <f>IFERROR(__xludf.DUMMYFUNCTION("""COMPUTED_VALUE"""),"Active")</f>
        <v>Active</v>
      </c>
      <c r="E69" s="4" t="str">
        <f>IFERROR(__xludf.DUMMYFUNCTION("""COMPUTED_VALUE"""),"Product Engineering")</f>
        <v>Product Engineering</v>
      </c>
      <c r="F69" s="4" t="str">
        <f>IFERROR(__xludf.DUMMYFUNCTION("""COMPUTED_VALUE"""),"Aayush Sahu")</f>
        <v>Aayush Sahu</v>
      </c>
      <c r="G69" s="4" t="str">
        <f>IFERROR(__xludf.DUMMYFUNCTION("""COMPUTED_VALUE"""),"Cluster - Mayur")</f>
        <v>Cluster - Mayur</v>
      </c>
      <c r="H69" s="4" t="str">
        <f>IFERROR(__xludf.DUMMYFUNCTION("""COMPUTED_VALUE"""),"ONISCAQX2")</f>
        <v>ONISCAQX2</v>
      </c>
      <c r="I69" s="5">
        <f>IFERROR(__xludf.DUMMYFUNCTION("""COMPUTED_VALUE"""),0.0)</f>
        <v>0</v>
      </c>
      <c r="J69" s="4" t="str">
        <f>IFERROR(__xludf.DUMMYFUNCTION("""COMPUTED_VALUE"""),"Tier 4")</f>
        <v>Tier 4</v>
      </c>
      <c r="K69" s="4" t="str">
        <f>IFERROR(__xludf.DUMMYFUNCTION("""COMPUTED_VALUE"""),"ID Created DRP score 0")</f>
        <v>ID Created DRP score 0</v>
      </c>
      <c r="L69" s="4"/>
    </row>
    <row r="70">
      <c r="A70" s="4" t="str">
        <f>IFERROR(__xludf.DUMMYFUNCTION("""COMPUTED_VALUE"""),"DME1038")</f>
        <v>DME1038</v>
      </c>
      <c r="B70" s="4" t="str">
        <f>IFERROR(__xludf.DUMMYFUNCTION("""COMPUTED_VALUE"""),"Priyansh Jain")</f>
        <v>Priyansh Jain</v>
      </c>
      <c r="C70" s="4" t="str">
        <f>IFERROR(__xludf.DUMMYFUNCTION("""COMPUTED_VALUE"""),"priyansh.jain@onixnet.com")</f>
        <v>priyansh.jain@onixnet.com</v>
      </c>
      <c r="D70" s="4" t="str">
        <f>IFERROR(__xludf.DUMMYFUNCTION("""COMPUTED_VALUE"""),"Active")</f>
        <v>Active</v>
      </c>
      <c r="E70" s="4" t="str">
        <f>IFERROR(__xludf.DUMMYFUNCTION("""COMPUTED_VALUE"""),"Product Engineering")</f>
        <v>Product Engineering</v>
      </c>
      <c r="F70" s="4" t="str">
        <f>IFERROR(__xludf.DUMMYFUNCTION("""COMPUTED_VALUE"""),"Anand Sharma")</f>
        <v>Anand Sharma</v>
      </c>
      <c r="G70" s="4" t="str">
        <f>IFERROR(__xludf.DUMMYFUNCTION("""COMPUTED_VALUE"""),"Cluster - Mayur")</f>
        <v>Cluster - Mayur</v>
      </c>
      <c r="H70" s="4" t="str">
        <f>IFERROR(__xludf.DUMMYFUNCTION("""COMPUTED_VALUE"""),"ONIPJCZB1")</f>
        <v>ONIPJCZB1</v>
      </c>
      <c r="I70" s="5">
        <f>IFERROR(__xludf.DUMMYFUNCTION("""COMPUTED_VALUE"""),0.0)</f>
        <v>0</v>
      </c>
      <c r="J70" s="4" t="str">
        <f>IFERROR(__xludf.DUMMYFUNCTION("""COMPUTED_VALUE"""),"Tier 4")</f>
        <v>Tier 4</v>
      </c>
      <c r="K70" s="4" t="str">
        <f>IFERROR(__xludf.DUMMYFUNCTION("""COMPUTED_VALUE"""),"ID Created DRP score 0")</f>
        <v>ID Created DRP score 0</v>
      </c>
      <c r="L70" s="4"/>
    </row>
    <row r="71">
      <c r="A71" s="4" t="str">
        <f>IFERROR(__xludf.DUMMYFUNCTION("""COMPUTED_VALUE"""),"DME1048")</f>
        <v>DME1048</v>
      </c>
      <c r="B71" s="4" t="str">
        <f>IFERROR(__xludf.DUMMYFUNCTION("""COMPUTED_VALUE"""),"Rahul Gopalrao Sonawane")</f>
        <v>Rahul Gopalrao Sonawane</v>
      </c>
      <c r="C71" s="4" t="str">
        <f>IFERROR(__xludf.DUMMYFUNCTION("""COMPUTED_VALUE"""),"rahul.sonawane@onixnet.com")</f>
        <v>rahul.sonawane@onixnet.com</v>
      </c>
      <c r="D71" s="4" t="str">
        <f>IFERROR(__xludf.DUMMYFUNCTION("""COMPUTED_VALUE"""),"Active")</f>
        <v>Active</v>
      </c>
      <c r="E71" s="4" t="str">
        <f>IFERROR(__xludf.DUMMYFUNCTION("""COMPUTED_VALUE"""),"Delivery Services")</f>
        <v>Delivery Services</v>
      </c>
      <c r="F71" s="4" t="str">
        <f>IFERROR(__xludf.DUMMYFUNCTION("""COMPUTED_VALUE"""),"Rahul Chandak")</f>
        <v>Rahul Chandak</v>
      </c>
      <c r="G71" s="4" t="str">
        <f>IFERROR(__xludf.DUMMYFUNCTION("""COMPUTED_VALUE"""),"Cluster - Sagar")</f>
        <v>Cluster - Sagar</v>
      </c>
      <c r="H71" s="4" t="str">
        <f>IFERROR(__xludf.DUMMYFUNCTION("""COMPUTED_VALUE"""),"ONIRSOSI0")</f>
        <v>ONIRSOSI0</v>
      </c>
      <c r="I71" s="5">
        <f>IFERROR(__xludf.DUMMYFUNCTION("""COMPUTED_VALUE"""),19.0)</f>
        <v>19</v>
      </c>
      <c r="J71" s="4" t="str">
        <f>IFERROR(__xludf.DUMMYFUNCTION("""COMPUTED_VALUE"""),"Tier 4")</f>
        <v>Tier 4</v>
      </c>
      <c r="K71" s="4" t="str">
        <f>IFERROR(__xludf.DUMMYFUNCTION("""COMPUTED_VALUE"""),"Active")</f>
        <v>Active</v>
      </c>
      <c r="L71" s="4" t="str">
        <f>IFERROR(__xludf.DUMMYFUNCTION("""COMPUTED_VALUE"""),"AI Applications")</f>
        <v>AI Applications</v>
      </c>
    </row>
    <row r="72">
      <c r="A72" s="4" t="str">
        <f>IFERROR(__xludf.DUMMYFUNCTION("""COMPUTED_VALUE"""),"DME1063")</f>
        <v>DME1063</v>
      </c>
      <c r="B72" s="4" t="str">
        <f>IFERROR(__xludf.DUMMYFUNCTION("""COMPUTED_VALUE"""),"Prerna Sharma")</f>
        <v>Prerna Sharma</v>
      </c>
      <c r="C72" s="4" t="str">
        <f>IFERROR(__xludf.DUMMYFUNCTION("""COMPUTED_VALUE"""),"prerna.sharma@onixnet.com")</f>
        <v>prerna.sharma@onixnet.com</v>
      </c>
      <c r="D72" s="4" t="str">
        <f>IFERROR(__xludf.DUMMYFUNCTION("""COMPUTED_VALUE"""),"Active")</f>
        <v>Active</v>
      </c>
      <c r="E72" s="4" t="str">
        <f>IFERROR(__xludf.DUMMYFUNCTION("""COMPUTED_VALUE"""),"Delivery Services")</f>
        <v>Delivery Services</v>
      </c>
      <c r="F72" s="4" t="str">
        <f>IFERROR(__xludf.DUMMYFUNCTION("""COMPUTED_VALUE"""),"Prasad Pramod Kulkarni")</f>
        <v>Prasad Pramod Kulkarni</v>
      </c>
      <c r="G72" s="4" t="str">
        <f>IFERROR(__xludf.DUMMYFUNCTION("""COMPUTED_VALUE"""),"Cluster - Sagar")</f>
        <v>Cluster - Sagar</v>
      </c>
      <c r="H72" s="4" t="str">
        <f>IFERROR(__xludf.DUMMYFUNCTION("""COMPUTED_VALUE"""),"ONIPSSLN3")</f>
        <v>ONIPSSLN3</v>
      </c>
      <c r="I72" s="5">
        <f>IFERROR(__xludf.DUMMYFUNCTION("""COMPUTED_VALUE"""),34.0)</f>
        <v>34</v>
      </c>
      <c r="J72" s="4" t="str">
        <f>IFERROR(__xludf.DUMMYFUNCTION("""COMPUTED_VALUE"""),"Tier 3")</f>
        <v>Tier 3</v>
      </c>
      <c r="K72" s="4" t="str">
        <f>IFERROR(__xludf.DUMMYFUNCTION("""COMPUTED_VALUE"""),"Active")</f>
        <v>Active</v>
      </c>
      <c r="L72" s="4" t="str">
        <f>IFERROR(__xludf.DUMMYFUNCTION("""COMPUTED_VALUE"""),"Gemini Enterprise")</f>
        <v>Gemini Enterprise</v>
      </c>
    </row>
    <row r="73">
      <c r="A73" s="4" t="str">
        <f>IFERROR(__xludf.DUMMYFUNCTION("""COMPUTED_VALUE"""),"DME1068")</f>
        <v>DME1068</v>
      </c>
      <c r="B73" s="4" t="str">
        <f>IFERROR(__xludf.DUMMYFUNCTION("""COMPUTED_VALUE"""),"Lokesh Bhardwaj")</f>
        <v>Lokesh Bhardwaj</v>
      </c>
      <c r="C73" s="4" t="str">
        <f>IFERROR(__xludf.DUMMYFUNCTION("""COMPUTED_VALUE"""),"lokesh.bhardwaj@onixnet.com")</f>
        <v>lokesh.bhardwaj@onixnet.com</v>
      </c>
      <c r="D73" s="4" t="str">
        <f>IFERROR(__xludf.DUMMYFUNCTION("""COMPUTED_VALUE"""),"Active")</f>
        <v>Active</v>
      </c>
      <c r="E73" s="4" t="str">
        <f>IFERROR(__xludf.DUMMYFUNCTION("""COMPUTED_VALUE"""),"Eagle Assessment")</f>
        <v>Eagle Assessment</v>
      </c>
      <c r="F73" s="4" t="str">
        <f>IFERROR(__xludf.DUMMYFUNCTION("""COMPUTED_VALUE"""),"Ashish Taman")</f>
        <v>Ashish Taman</v>
      </c>
      <c r="G73" s="4" t="str">
        <f>IFERROR(__xludf.DUMMYFUNCTION("""COMPUTED_VALUE"""),"Cluster - Kalpa")</f>
        <v>Cluster - Kalpa</v>
      </c>
      <c r="H73" s="4" t="str">
        <f>IFERROR(__xludf.DUMMYFUNCTION("""COMPUTED_VALUE"""),"DATLBIMZ9")</f>
        <v>DATLBIMZ9</v>
      </c>
      <c r="I73" s="5">
        <f>IFERROR(__xludf.DUMMYFUNCTION("""COMPUTED_VALUE"""),29.0)</f>
        <v>29</v>
      </c>
      <c r="J73" s="4" t="str">
        <f>IFERROR(__xludf.DUMMYFUNCTION("""COMPUTED_VALUE"""),"Tier 3")</f>
        <v>Tier 3</v>
      </c>
      <c r="K73" s="4" t="str">
        <f>IFERROR(__xludf.DUMMYFUNCTION("""COMPUTED_VALUE"""),"Active")</f>
        <v>Active</v>
      </c>
      <c r="L73" s="4" t="str">
        <f>IFERROR(__xludf.DUMMYFUNCTION("""COMPUTED_VALUE"""),"BigQuery")</f>
        <v>BigQuery</v>
      </c>
    </row>
    <row r="74">
      <c r="A74" s="4" t="str">
        <f>IFERROR(__xludf.DUMMYFUNCTION("""COMPUTED_VALUE"""),"DME1072")</f>
        <v>DME1072</v>
      </c>
      <c r="B74" s="4" t="str">
        <f>IFERROR(__xludf.DUMMYFUNCTION("""COMPUTED_VALUE"""),"Sandhyarani Anilkumar Jagtap")</f>
        <v>Sandhyarani Anilkumar Jagtap</v>
      </c>
      <c r="C74" s="4" t="str">
        <f>IFERROR(__xludf.DUMMYFUNCTION("""COMPUTED_VALUE"""),"sandhyarani.jagtap@onixnet.com")</f>
        <v>sandhyarani.jagtap@onixnet.com</v>
      </c>
      <c r="D74" s="4" t="str">
        <f>IFERROR(__xludf.DUMMYFUNCTION("""COMPUTED_VALUE"""),"Active")</f>
        <v>Active</v>
      </c>
      <c r="E74" s="4" t="str">
        <f>IFERROR(__xludf.DUMMYFUNCTION("""COMPUTED_VALUE"""),"Product Engineering")</f>
        <v>Product Engineering</v>
      </c>
      <c r="F74" s="4" t="str">
        <f>IFERROR(__xludf.DUMMYFUNCTION("""COMPUTED_VALUE"""),"Anurag Saxena")</f>
        <v>Anurag Saxena</v>
      </c>
      <c r="G74" s="4" t="str">
        <f>IFERROR(__xludf.DUMMYFUNCTION("""COMPUTED_VALUE"""),"Cluster - Mayur")</f>
        <v>Cluster - Mayur</v>
      </c>
      <c r="H74" s="4"/>
      <c r="I74" s="5"/>
      <c r="J74" s="4"/>
      <c r="K74" s="4" t="str">
        <f>IFERROR(__xludf.DUMMYFUNCTION("""COMPUTED_VALUE"""),"ID Not Created")</f>
        <v>ID Not Created</v>
      </c>
      <c r="L74" s="4"/>
    </row>
    <row r="75">
      <c r="A75" s="4" t="str">
        <f>IFERROR(__xludf.DUMMYFUNCTION("""COMPUTED_VALUE"""),"DME1079")</f>
        <v>DME1079</v>
      </c>
      <c r="B75" s="4" t="str">
        <f>IFERROR(__xludf.DUMMYFUNCTION("""COMPUTED_VALUE"""),"Kiran Krushna Patharkar")</f>
        <v>Kiran Krushna Patharkar</v>
      </c>
      <c r="C75" s="4" t="str">
        <f>IFERROR(__xludf.DUMMYFUNCTION("""COMPUTED_VALUE"""),"kiran.patharkar@onixnet.com")</f>
        <v>kiran.patharkar@onixnet.com</v>
      </c>
      <c r="D75" s="4" t="str">
        <f>IFERROR(__xludf.DUMMYFUNCTION("""COMPUTED_VALUE"""),"Active")</f>
        <v>Active</v>
      </c>
      <c r="E75" s="4" t="str">
        <f>IFERROR(__xludf.DUMMYFUNCTION("""COMPUTED_VALUE"""),"Delivery Services")</f>
        <v>Delivery Services</v>
      </c>
      <c r="F75" s="4" t="str">
        <f>IFERROR(__xludf.DUMMYFUNCTION("""COMPUTED_VALUE"""),"Sneha Bhatambrekar")</f>
        <v>Sneha Bhatambrekar</v>
      </c>
      <c r="G75" s="4" t="str">
        <f>IFERROR(__xludf.DUMMYFUNCTION("""COMPUTED_VALUE"""),"Cluster - Sandeep")</f>
        <v>Cluster - Sandeep</v>
      </c>
      <c r="H75" s="4" t="str">
        <f>IFERROR(__xludf.DUMMYFUNCTION("""COMPUTED_VALUE"""),"ONIKPUIK1")</f>
        <v>ONIKPUIK1</v>
      </c>
      <c r="I75" s="5">
        <f>IFERROR(__xludf.DUMMYFUNCTION("""COMPUTED_VALUE"""),0.0)</f>
        <v>0</v>
      </c>
      <c r="J75" s="4" t="str">
        <f>IFERROR(__xludf.DUMMYFUNCTION("""COMPUTED_VALUE"""),"Tier 4")</f>
        <v>Tier 4</v>
      </c>
      <c r="K75" s="4" t="str">
        <f>IFERROR(__xludf.DUMMYFUNCTION("""COMPUTED_VALUE"""),"ID Created DRP score 0")</f>
        <v>ID Created DRP score 0</v>
      </c>
      <c r="L75" s="4"/>
    </row>
    <row r="76">
      <c r="A76" s="4" t="str">
        <f>IFERROR(__xludf.DUMMYFUNCTION("""COMPUTED_VALUE"""),"DME1081")</f>
        <v>DME1081</v>
      </c>
      <c r="B76" s="4" t="str">
        <f>IFERROR(__xludf.DUMMYFUNCTION("""COMPUTED_VALUE"""),"Sumit Borde")</f>
        <v>Sumit Borde</v>
      </c>
      <c r="C76" s="4" t="str">
        <f>IFERROR(__xludf.DUMMYFUNCTION("""COMPUTED_VALUE"""),"sumit.borde@onixnet.com")</f>
        <v>sumit.borde@onixnet.com</v>
      </c>
      <c r="D76" s="4" t="str">
        <f>IFERROR(__xludf.DUMMYFUNCTION("""COMPUTED_VALUE"""),"Active")</f>
        <v>Active</v>
      </c>
      <c r="E76" s="4" t="str">
        <f>IFERROR(__xludf.DUMMYFUNCTION("""COMPUTED_VALUE"""),"Delivery Services")</f>
        <v>Delivery Services</v>
      </c>
      <c r="F76" s="4" t="str">
        <f>IFERROR(__xludf.DUMMYFUNCTION("""COMPUTED_VALUE"""),"Hemanth Kolluru")</f>
        <v>Hemanth Kolluru</v>
      </c>
      <c r="G76" s="4" t="str">
        <f>IFERROR(__xludf.DUMMYFUNCTION("""COMPUTED_VALUE"""),"Cluster - Sachin")</f>
        <v>Cluster - Sachin</v>
      </c>
      <c r="H76" s="4" t="str">
        <f>IFERROR(__xludf.DUMMYFUNCTION("""COMPUTED_VALUE"""),"DATSBAAC5")</f>
        <v>DATSBAAC5</v>
      </c>
      <c r="I76" s="5">
        <f>IFERROR(__xludf.DUMMYFUNCTION("""COMPUTED_VALUE"""),14.0)</f>
        <v>14</v>
      </c>
      <c r="J76" s="4" t="str">
        <f>IFERROR(__xludf.DUMMYFUNCTION("""COMPUTED_VALUE"""),"Tier 4")</f>
        <v>Tier 4</v>
      </c>
      <c r="K76" s="4" t="str">
        <f>IFERROR(__xludf.DUMMYFUNCTION("""COMPUTED_VALUE"""),"Active")</f>
        <v>Active</v>
      </c>
      <c r="L76" s="4" t="str">
        <f>IFERROR(__xludf.DUMMYFUNCTION("""COMPUTED_VALUE"""),"BigQuery")</f>
        <v>BigQuery</v>
      </c>
    </row>
    <row r="77">
      <c r="A77" s="4" t="str">
        <f>IFERROR(__xludf.DUMMYFUNCTION("""COMPUTED_VALUE"""),"DME1087")</f>
        <v>DME1087</v>
      </c>
      <c r="B77" s="4" t="str">
        <f>IFERROR(__xludf.DUMMYFUNCTION("""COMPUTED_VALUE"""),"Sanskar Suman")</f>
        <v>Sanskar Suman</v>
      </c>
      <c r="C77" s="4" t="str">
        <f>IFERROR(__xludf.DUMMYFUNCTION("""COMPUTED_VALUE"""),"sanskar.suman@onixnet.com")</f>
        <v>sanskar.suman@onixnet.com</v>
      </c>
      <c r="D77" s="4" t="str">
        <f>IFERROR(__xludf.DUMMYFUNCTION("""COMPUTED_VALUE"""),"Active")</f>
        <v>Active</v>
      </c>
      <c r="E77" s="4" t="str">
        <f>IFERROR(__xludf.DUMMYFUNCTION("""COMPUTED_VALUE"""),"Delivery Services")</f>
        <v>Delivery Services</v>
      </c>
      <c r="F77" s="4" t="str">
        <f>IFERROR(__xludf.DUMMYFUNCTION("""COMPUTED_VALUE"""),"Kanhaiya Jha")</f>
        <v>Kanhaiya Jha</v>
      </c>
      <c r="G77" s="4" t="str">
        <f>IFERROR(__xludf.DUMMYFUNCTION("""COMPUTED_VALUE"""),"Cluster - Kanhaiya")</f>
        <v>Cluster - Kanhaiya</v>
      </c>
      <c r="H77" s="4" t="str">
        <f>IFERROR(__xludf.DUMMYFUNCTION("""COMPUTED_VALUE"""),"ONISSCET0")</f>
        <v>ONISSCET0</v>
      </c>
      <c r="I77" s="5">
        <f>IFERROR(__xludf.DUMMYFUNCTION("""COMPUTED_VALUE"""),0.0)</f>
        <v>0</v>
      </c>
      <c r="J77" s="4" t="str">
        <f>IFERROR(__xludf.DUMMYFUNCTION("""COMPUTED_VALUE"""),"Tier 4")</f>
        <v>Tier 4</v>
      </c>
      <c r="K77" s="4" t="str">
        <f>IFERROR(__xludf.DUMMYFUNCTION("""COMPUTED_VALUE"""),"ID Created DRP score 0")</f>
        <v>ID Created DRP score 0</v>
      </c>
      <c r="L77" s="4"/>
    </row>
    <row r="78">
      <c r="A78" s="4" t="str">
        <f>IFERROR(__xludf.DUMMYFUNCTION("""COMPUTED_VALUE"""),"DME1099")</f>
        <v>DME1099</v>
      </c>
      <c r="B78" s="4" t="str">
        <f>IFERROR(__xludf.DUMMYFUNCTION("""COMPUTED_VALUE"""),"Dhanraj Dmade")</f>
        <v>Dhanraj Dmade</v>
      </c>
      <c r="C78" s="4" t="str">
        <f>IFERROR(__xludf.DUMMYFUNCTION("""COMPUTED_VALUE"""),"dhanraj.dmade@onixnet.com")</f>
        <v>dhanraj.dmade@onixnet.com</v>
      </c>
      <c r="D78" s="4" t="str">
        <f>IFERROR(__xludf.DUMMYFUNCTION("""COMPUTED_VALUE"""),"Active")</f>
        <v>Active</v>
      </c>
      <c r="E78" s="4" t="str">
        <f>IFERROR(__xludf.DUMMYFUNCTION("""COMPUTED_VALUE"""),"Delivery Services")</f>
        <v>Delivery Services</v>
      </c>
      <c r="F78" s="4" t="str">
        <f>IFERROR(__xludf.DUMMYFUNCTION("""COMPUTED_VALUE"""),"Rabindra Nayak")</f>
        <v>Rabindra Nayak</v>
      </c>
      <c r="G78" s="4" t="str">
        <f>IFERROR(__xludf.DUMMYFUNCTION("""COMPUTED_VALUE"""),"Cluster - Sagar")</f>
        <v>Cluster - Sagar</v>
      </c>
      <c r="H78" s="4" t="str">
        <f>IFERROR(__xludf.DUMMYFUNCTION("""COMPUTED_VALUE"""),"ONIDDAIS5")</f>
        <v>ONIDDAIS5</v>
      </c>
      <c r="I78" s="5">
        <f>IFERROR(__xludf.DUMMYFUNCTION("""COMPUTED_VALUE"""),5.0)</f>
        <v>5</v>
      </c>
      <c r="J78" s="4" t="str">
        <f>IFERROR(__xludf.DUMMYFUNCTION("""COMPUTED_VALUE"""),"Tier 4")</f>
        <v>Tier 4</v>
      </c>
      <c r="K78" s="4" t="str">
        <f>IFERROR(__xludf.DUMMYFUNCTION("""COMPUTED_VALUE"""),"Active")</f>
        <v>Active</v>
      </c>
      <c r="L78" s="4" t="str">
        <f>IFERROR(__xludf.DUMMYFUNCTION("""COMPUTED_VALUE"""),"Gemini Enterprise Agent Platform")</f>
        <v>Gemini Enterprise Agent Platform</v>
      </c>
    </row>
    <row r="79">
      <c r="A79" s="4" t="str">
        <f>IFERROR(__xludf.DUMMYFUNCTION("""COMPUTED_VALUE"""),"DME1097")</f>
        <v>DME1097</v>
      </c>
      <c r="B79" s="4" t="str">
        <f>IFERROR(__xludf.DUMMYFUNCTION("""COMPUTED_VALUE"""),"Vaishali Balaso Khetre")</f>
        <v>Vaishali Balaso Khetre</v>
      </c>
      <c r="C79" s="4" t="str">
        <f>IFERROR(__xludf.DUMMYFUNCTION("""COMPUTED_VALUE"""),"vaishali.khetre@onixnet.com")</f>
        <v>vaishali.khetre@onixnet.com</v>
      </c>
      <c r="D79" s="4" t="str">
        <f>IFERROR(__xludf.DUMMYFUNCTION("""COMPUTED_VALUE"""),"Active")</f>
        <v>Active</v>
      </c>
      <c r="E79" s="4" t="str">
        <f>IFERROR(__xludf.DUMMYFUNCTION("""COMPUTED_VALUE"""),"Delivery Services")</f>
        <v>Delivery Services</v>
      </c>
      <c r="F79" s="4" t="str">
        <f>IFERROR(__xludf.DUMMYFUNCTION("""COMPUTED_VALUE"""),"Amit Malav")</f>
        <v>Amit Malav</v>
      </c>
      <c r="G79" s="4" t="str">
        <f>IFERROR(__xludf.DUMMYFUNCTION("""COMPUTED_VALUE"""),"Cluster - Gaurav")</f>
        <v>Cluster - Gaurav</v>
      </c>
      <c r="H79" s="4" t="str">
        <f>IFERROR(__xludf.DUMMYFUNCTION("""COMPUTED_VALUE"""),"DATVKTPZ1")</f>
        <v>DATVKTPZ1</v>
      </c>
      <c r="I79" s="5">
        <f>IFERROR(__xludf.DUMMYFUNCTION("""COMPUTED_VALUE"""),37.0)</f>
        <v>37</v>
      </c>
      <c r="J79" s="4" t="str">
        <f>IFERROR(__xludf.DUMMYFUNCTION("""COMPUTED_VALUE"""),"Tier 2")</f>
        <v>Tier 2</v>
      </c>
      <c r="K79" s="4" t="str">
        <f>IFERROR(__xludf.DUMMYFUNCTION("""COMPUTED_VALUE"""),"Active")</f>
        <v>Active</v>
      </c>
      <c r="L79" s="4" t="str">
        <f>IFERROR(__xludf.DUMMYFUNCTION("""COMPUTED_VALUE"""),"BigQuery")</f>
        <v>BigQuery</v>
      </c>
    </row>
    <row r="80">
      <c r="A80" s="4" t="str">
        <f>IFERROR(__xludf.DUMMYFUNCTION("""COMPUTED_VALUE"""),"DME1084")</f>
        <v>DME1084</v>
      </c>
      <c r="B80" s="4" t="str">
        <f>IFERROR(__xludf.DUMMYFUNCTION("""COMPUTED_VALUE"""),"Md Jakir Ansari")</f>
        <v>Md Jakir Ansari</v>
      </c>
      <c r="C80" s="4" t="str">
        <f>IFERROR(__xludf.DUMMYFUNCTION("""COMPUTED_VALUE"""),"jakir.ansari@onixnet.com")</f>
        <v>jakir.ansari@onixnet.com</v>
      </c>
      <c r="D80" s="4" t="str">
        <f>IFERROR(__xludf.DUMMYFUNCTION("""COMPUTED_VALUE"""),"Active")</f>
        <v>Active</v>
      </c>
      <c r="E80" s="4" t="str">
        <f>IFERROR(__xludf.DUMMYFUNCTION("""COMPUTED_VALUE"""),"Product Engineering")</f>
        <v>Product Engineering</v>
      </c>
      <c r="F80" s="4" t="str">
        <f>IFERROR(__xludf.DUMMYFUNCTION("""COMPUTED_VALUE"""),"Abhishek Pravinkmar Jagtap")</f>
        <v>Abhishek Pravinkmar Jagtap</v>
      </c>
      <c r="G80" s="4" t="str">
        <f>IFERROR(__xludf.DUMMYFUNCTION("""COMPUTED_VALUE"""),"Cluster - Mayur")</f>
        <v>Cluster - Mayur</v>
      </c>
      <c r="H80" s="4" t="str">
        <f>IFERROR(__xludf.DUMMYFUNCTION("""COMPUTED_VALUE"""),"ONIJAVQQ8")</f>
        <v>ONIJAVQQ8</v>
      </c>
      <c r="I80" s="5">
        <f>IFERROR(__xludf.DUMMYFUNCTION("""COMPUTED_VALUE"""),20.0)</f>
        <v>20</v>
      </c>
      <c r="J80" s="4" t="str">
        <f>IFERROR(__xludf.DUMMYFUNCTION("""COMPUTED_VALUE"""),"Tier 3")</f>
        <v>Tier 3</v>
      </c>
      <c r="K80" s="4" t="str">
        <f>IFERROR(__xludf.DUMMYFUNCTION("""COMPUTED_VALUE"""),"Active")</f>
        <v>Active</v>
      </c>
      <c r="L80" s="4" t="str">
        <f>IFERROR(__xludf.DUMMYFUNCTION("""COMPUTED_VALUE"""),"AI Applications")</f>
        <v>AI Applications</v>
      </c>
    </row>
    <row r="81">
      <c r="A81" s="4" t="str">
        <f>IFERROR(__xludf.DUMMYFUNCTION("""COMPUTED_VALUE"""),"DME1100")</f>
        <v>DME1100</v>
      </c>
      <c r="B81" s="4" t="str">
        <f>IFERROR(__xludf.DUMMYFUNCTION("""COMPUTED_VALUE"""),"Aditya Diliprao Vairale")</f>
        <v>Aditya Diliprao Vairale</v>
      </c>
      <c r="C81" s="4" t="str">
        <f>IFERROR(__xludf.DUMMYFUNCTION("""COMPUTED_VALUE"""),"aditya.vairale@onixnet.com")</f>
        <v>aditya.vairale@onixnet.com</v>
      </c>
      <c r="D81" s="4" t="str">
        <f>IFERROR(__xludf.DUMMYFUNCTION("""COMPUTED_VALUE"""),"Active")</f>
        <v>Active</v>
      </c>
      <c r="E81" s="4" t="str">
        <f>IFERROR(__xludf.DUMMYFUNCTION("""COMPUTED_VALUE"""),"Delivery Services")</f>
        <v>Delivery Services</v>
      </c>
      <c r="F81" s="4" t="str">
        <f>IFERROR(__xludf.DUMMYFUNCTION("""COMPUTED_VALUE"""),"Pooja Chawda")</f>
        <v>Pooja Chawda</v>
      </c>
      <c r="G81" s="4" t="str">
        <f>IFERROR(__xludf.DUMMYFUNCTION("""COMPUTED_VALUE"""),"Cluster - Sandeep")</f>
        <v>Cluster - Sandeep</v>
      </c>
      <c r="H81" s="4" t="str">
        <f>IFERROR(__xludf.DUMMYFUNCTION("""COMPUTED_VALUE"""),"ONIAVJAB3")</f>
        <v>ONIAVJAB3</v>
      </c>
      <c r="I81" s="5">
        <f>IFERROR(__xludf.DUMMYFUNCTION("""COMPUTED_VALUE"""),24.0)</f>
        <v>24</v>
      </c>
      <c r="J81" s="4" t="str">
        <f>IFERROR(__xludf.DUMMYFUNCTION("""COMPUTED_VALUE"""),"Tier 3")</f>
        <v>Tier 3</v>
      </c>
      <c r="K81" s="4" t="str">
        <f>IFERROR(__xludf.DUMMYFUNCTION("""COMPUTED_VALUE"""),"Active")</f>
        <v>Active</v>
      </c>
      <c r="L81" s="4" t="str">
        <f>IFERROR(__xludf.DUMMYFUNCTION("""COMPUTED_VALUE"""),"AI Applications")</f>
        <v>AI Applications</v>
      </c>
    </row>
    <row r="82">
      <c r="A82" s="4" t="str">
        <f>IFERROR(__xludf.DUMMYFUNCTION("""COMPUTED_VALUE"""),"DME1102")</f>
        <v>DME1102</v>
      </c>
      <c r="B82" s="4" t="str">
        <f>IFERROR(__xludf.DUMMYFUNCTION("""COMPUTED_VALUE"""),"Amir Sohel")</f>
        <v>Amir Sohel</v>
      </c>
      <c r="C82" s="4" t="str">
        <f>IFERROR(__xludf.DUMMYFUNCTION("""COMPUTED_VALUE"""),"amir.sohel@onixnet.com")</f>
        <v>amir.sohel@onixnet.com</v>
      </c>
      <c r="D82" s="4" t="str">
        <f>IFERROR(__xludf.DUMMYFUNCTION("""COMPUTED_VALUE"""),"Active")</f>
        <v>Active</v>
      </c>
      <c r="E82" s="4" t="str">
        <f>IFERROR(__xludf.DUMMYFUNCTION("""COMPUTED_VALUE"""),"Delivery Services")</f>
        <v>Delivery Services</v>
      </c>
      <c r="F82" s="4" t="str">
        <f>IFERROR(__xludf.DUMMYFUNCTION("""COMPUTED_VALUE"""),"Shubhendu Shubhendu")</f>
        <v>Shubhendu Shubhendu</v>
      </c>
      <c r="G82" s="4" t="str">
        <f>IFERROR(__xludf.DUMMYFUNCTION("""COMPUTED_VALUE"""),"Cluster - Kanhaiya")</f>
        <v>Cluster - Kanhaiya</v>
      </c>
      <c r="H82" s="4" t="str">
        <f>IFERROR(__xludf.DUMMYFUNCTION("""COMPUTED_VALUE"""),"ONIASTTZ6")</f>
        <v>ONIASTTZ6</v>
      </c>
      <c r="I82" s="5">
        <f>IFERROR(__xludf.DUMMYFUNCTION("""COMPUTED_VALUE"""),20.0)</f>
        <v>20</v>
      </c>
      <c r="J82" s="4" t="str">
        <f>IFERROR(__xludf.DUMMYFUNCTION("""COMPUTED_VALUE"""),"Tier 3")</f>
        <v>Tier 3</v>
      </c>
      <c r="K82" s="4" t="str">
        <f>IFERROR(__xludf.DUMMYFUNCTION("""COMPUTED_VALUE"""),"Active")</f>
        <v>Active</v>
      </c>
      <c r="L82" s="4" t="str">
        <f>IFERROR(__xludf.DUMMYFUNCTION("""COMPUTED_VALUE"""),"AI Applications")</f>
        <v>AI Applications</v>
      </c>
    </row>
    <row r="83">
      <c r="A83" s="4" t="str">
        <f>IFERROR(__xludf.DUMMYFUNCTION("""COMPUTED_VALUE"""),"DME1133")</f>
        <v>DME1133</v>
      </c>
      <c r="B83" s="4" t="str">
        <f>IFERROR(__xludf.DUMMYFUNCTION("""COMPUTED_VALUE"""),"Vipul Vijay Nilapwar")</f>
        <v>Vipul Vijay Nilapwar</v>
      </c>
      <c r="C83" s="4" t="str">
        <f>IFERROR(__xludf.DUMMYFUNCTION("""COMPUTED_VALUE"""),"vipul.nilapwar@onixnet.com")</f>
        <v>vipul.nilapwar@onixnet.com</v>
      </c>
      <c r="D83" s="4" t="str">
        <f>IFERROR(__xludf.DUMMYFUNCTION("""COMPUTED_VALUE"""),"Active")</f>
        <v>Active</v>
      </c>
      <c r="E83" s="4" t="str">
        <f>IFERROR(__xludf.DUMMYFUNCTION("""COMPUTED_VALUE"""),"Delivery Services")</f>
        <v>Delivery Services</v>
      </c>
      <c r="F83" s="4" t="str">
        <f>IFERROR(__xludf.DUMMYFUNCTION("""COMPUTED_VALUE"""),"Bhupesh Chauhan")</f>
        <v>Bhupesh Chauhan</v>
      </c>
      <c r="G83" s="4" t="str">
        <f>IFERROR(__xludf.DUMMYFUNCTION("""COMPUTED_VALUE"""),"Cluster - Sachin")</f>
        <v>Cluster - Sachin</v>
      </c>
      <c r="H83" s="4" t="str">
        <f>IFERROR(__xludf.DUMMYFUNCTION("""COMPUTED_VALUE"""),"DATVNLLQ0")</f>
        <v>DATVNLLQ0</v>
      </c>
      <c r="I83" s="5">
        <f>IFERROR(__xludf.DUMMYFUNCTION("""COMPUTED_VALUE"""),32.0)</f>
        <v>32</v>
      </c>
      <c r="J83" s="4" t="str">
        <f>IFERROR(__xludf.DUMMYFUNCTION("""COMPUTED_VALUE"""),"Tier 3")</f>
        <v>Tier 3</v>
      </c>
      <c r="K83" s="4" t="str">
        <f>IFERROR(__xludf.DUMMYFUNCTION("""COMPUTED_VALUE"""),"Active")</f>
        <v>Active</v>
      </c>
      <c r="L83" s="4" t="str">
        <f>IFERROR(__xludf.DUMMYFUNCTION("""COMPUTED_VALUE"""),"BigQuery")</f>
        <v>BigQuery</v>
      </c>
    </row>
    <row r="84">
      <c r="A84" s="4" t="str">
        <f>IFERROR(__xludf.DUMMYFUNCTION("""COMPUTED_VALUE"""),"DME1156")</f>
        <v>DME1156</v>
      </c>
      <c r="B84" s="4" t="str">
        <f>IFERROR(__xludf.DUMMYFUNCTION("""COMPUTED_VALUE"""),"Manisha Shamarav Jadhav")</f>
        <v>Manisha Shamarav Jadhav</v>
      </c>
      <c r="C84" s="4" t="str">
        <f>IFERROR(__xludf.DUMMYFUNCTION("""COMPUTED_VALUE"""),"manisha.jadhav@onixnet.com")</f>
        <v>manisha.jadhav@onixnet.com</v>
      </c>
      <c r="D84" s="4" t="str">
        <f>IFERROR(__xludf.DUMMYFUNCTION("""COMPUTED_VALUE"""),"Active")</f>
        <v>Active</v>
      </c>
      <c r="E84" s="4" t="str">
        <f>IFERROR(__xludf.DUMMYFUNCTION("""COMPUTED_VALUE"""),"Delivery Services")</f>
        <v>Delivery Services</v>
      </c>
      <c r="F84" s="4" t="str">
        <f>IFERROR(__xludf.DUMMYFUNCTION("""COMPUTED_VALUE"""),"Anand Saraf")</f>
        <v>Anand Saraf</v>
      </c>
      <c r="G84" s="4" t="str">
        <f>IFERROR(__xludf.DUMMYFUNCTION("""COMPUTED_VALUE"""),"Cluster - Sachin")</f>
        <v>Cluster - Sachin</v>
      </c>
      <c r="H84" s="4" t="str">
        <f>IFERROR(__xludf.DUMMYFUNCTION("""COMPUTED_VALUE"""),"ONIMJOVW6")</f>
        <v>ONIMJOVW6</v>
      </c>
      <c r="I84" s="5">
        <f>IFERROR(__xludf.DUMMYFUNCTION("""COMPUTED_VALUE"""),29.0)</f>
        <v>29</v>
      </c>
      <c r="J84" s="4" t="str">
        <f>IFERROR(__xludf.DUMMYFUNCTION("""COMPUTED_VALUE"""),"Tier 3")</f>
        <v>Tier 3</v>
      </c>
      <c r="K84" s="4" t="str">
        <f>IFERROR(__xludf.DUMMYFUNCTION("""COMPUTED_VALUE"""),"Active")</f>
        <v>Active</v>
      </c>
      <c r="L84" s="4" t="str">
        <f>IFERROR(__xludf.DUMMYFUNCTION("""COMPUTED_VALUE"""),"BigQuery")</f>
        <v>BigQuery</v>
      </c>
    </row>
    <row r="85">
      <c r="A85" s="4" t="str">
        <f>IFERROR(__xludf.DUMMYFUNCTION("""COMPUTED_VALUE"""),"DME1159")</f>
        <v>DME1159</v>
      </c>
      <c r="B85" s="4" t="str">
        <f>IFERROR(__xludf.DUMMYFUNCTION("""COMPUTED_VALUE"""),"Chandra Mouli Emula")</f>
        <v>Chandra Mouli Emula</v>
      </c>
      <c r="C85" s="4" t="str">
        <f>IFERROR(__xludf.DUMMYFUNCTION("""COMPUTED_VALUE"""),"chandra.emula@onixnet.com")</f>
        <v>chandra.emula@onixnet.com</v>
      </c>
      <c r="D85" s="4" t="str">
        <f>IFERROR(__xludf.DUMMYFUNCTION("""COMPUTED_VALUE"""),"Active")</f>
        <v>Active</v>
      </c>
      <c r="E85" s="4" t="str">
        <f>IFERROR(__xludf.DUMMYFUNCTION("""COMPUTED_VALUE"""),"Delivery Services")</f>
        <v>Delivery Services</v>
      </c>
      <c r="F85" s="4" t="str">
        <f>IFERROR(__xludf.DUMMYFUNCTION("""COMPUTED_VALUE"""),"Aakash Vinod Tolani")</f>
        <v>Aakash Vinod Tolani</v>
      </c>
      <c r="G85" s="4" t="str">
        <f>IFERROR(__xludf.DUMMYFUNCTION("""COMPUTED_VALUE"""),"Cluster - Shreepad")</f>
        <v>Cluster - Shreepad</v>
      </c>
      <c r="H85" s="4" t="str">
        <f>IFERROR(__xludf.DUMMYFUNCTION("""COMPUTED_VALUE"""),"ONICEMYK3")</f>
        <v>ONICEMYK3</v>
      </c>
      <c r="I85" s="5">
        <f>IFERROR(__xludf.DUMMYFUNCTION("""COMPUTED_VALUE"""),19.0)</f>
        <v>19</v>
      </c>
      <c r="J85" s="4" t="str">
        <f>IFERROR(__xludf.DUMMYFUNCTION("""COMPUTED_VALUE"""),"Tier 4")</f>
        <v>Tier 4</v>
      </c>
      <c r="K85" s="4" t="str">
        <f>IFERROR(__xludf.DUMMYFUNCTION("""COMPUTED_VALUE"""),"Active")</f>
        <v>Active</v>
      </c>
      <c r="L85" s="4" t="str">
        <f>IFERROR(__xludf.DUMMYFUNCTION("""COMPUTED_VALUE"""),"Apigee API Management")</f>
        <v>Apigee API Management</v>
      </c>
    </row>
    <row r="86">
      <c r="A86" s="4" t="str">
        <f>IFERROR(__xludf.DUMMYFUNCTION("""COMPUTED_VALUE"""),"DME1164")</f>
        <v>DME1164</v>
      </c>
      <c r="B86" s="4" t="str">
        <f>IFERROR(__xludf.DUMMYFUNCTION("""COMPUTED_VALUE"""),"Abhishek Kumar")</f>
        <v>Abhishek Kumar</v>
      </c>
      <c r="C86" s="4" t="str">
        <f>IFERROR(__xludf.DUMMYFUNCTION("""COMPUTED_VALUE"""),"abhishek.kumar1@onixnet.com")</f>
        <v>abhishek.kumar1@onixnet.com</v>
      </c>
      <c r="D86" s="4" t="str">
        <f>IFERROR(__xludf.DUMMYFUNCTION("""COMPUTED_VALUE"""),"Active")</f>
        <v>Active</v>
      </c>
      <c r="E86" s="4" t="str">
        <f>IFERROR(__xludf.DUMMYFUNCTION("""COMPUTED_VALUE"""),"Product Engineering")</f>
        <v>Product Engineering</v>
      </c>
      <c r="F86" s="4" t="str">
        <f>IFERROR(__xludf.DUMMYFUNCTION("""COMPUTED_VALUE"""),"Anand Sharma")</f>
        <v>Anand Sharma</v>
      </c>
      <c r="G86" s="4" t="str">
        <f>IFERROR(__xludf.DUMMYFUNCTION("""COMPUTED_VALUE"""),"Cluster - Mayur")</f>
        <v>Cluster - Mayur</v>
      </c>
      <c r="H86" s="4" t="str">
        <f>IFERROR(__xludf.DUMMYFUNCTION("""COMPUTED_VALUE"""),"ONIAKMLH0")</f>
        <v>ONIAKMLH0</v>
      </c>
      <c r="I86" s="5">
        <f>IFERROR(__xludf.DUMMYFUNCTION("""COMPUTED_VALUE"""),15.0)</f>
        <v>15</v>
      </c>
      <c r="J86" s="4" t="str">
        <f>IFERROR(__xludf.DUMMYFUNCTION("""COMPUTED_VALUE"""),"Tier 4")</f>
        <v>Tier 4</v>
      </c>
      <c r="K86" s="4" t="str">
        <f>IFERROR(__xludf.DUMMYFUNCTION("""COMPUTED_VALUE"""),"Active")</f>
        <v>Active</v>
      </c>
      <c r="L86" s="4" t="str">
        <f>IFERROR(__xludf.DUMMYFUNCTION("""COMPUTED_VALUE"""),"AI Applications")</f>
        <v>AI Applications</v>
      </c>
    </row>
    <row r="87">
      <c r="A87" s="4" t="str">
        <f>IFERROR(__xludf.DUMMYFUNCTION("""COMPUTED_VALUE"""),"DME1162")</f>
        <v>DME1162</v>
      </c>
      <c r="B87" s="4" t="str">
        <f>IFERROR(__xludf.DUMMYFUNCTION("""COMPUTED_VALUE"""),"Shashikant Balaji Pedate")</f>
        <v>Shashikant Balaji Pedate</v>
      </c>
      <c r="C87" s="4" t="str">
        <f>IFERROR(__xludf.DUMMYFUNCTION("""COMPUTED_VALUE"""),"shashikant.pedate@onixnet.com")</f>
        <v>shashikant.pedate@onixnet.com</v>
      </c>
      <c r="D87" s="4" t="str">
        <f>IFERROR(__xludf.DUMMYFUNCTION("""COMPUTED_VALUE"""),"Active")</f>
        <v>Active</v>
      </c>
      <c r="E87" s="4" t="str">
        <f>IFERROR(__xludf.DUMMYFUNCTION("""COMPUTED_VALUE"""),"Delivery Services")</f>
        <v>Delivery Services</v>
      </c>
      <c r="F87" s="4" t="str">
        <f>IFERROR(__xludf.DUMMYFUNCTION("""COMPUTED_VALUE"""),"Ashwini Kumar")</f>
        <v>Ashwini Kumar</v>
      </c>
      <c r="G87" s="4" t="str">
        <f>IFERROR(__xludf.DUMMYFUNCTION("""COMPUTED_VALUE"""),"Cluster - Kanhaiya")</f>
        <v>Cluster - Kanhaiya</v>
      </c>
      <c r="H87" s="4" t="str">
        <f>IFERROR(__xludf.DUMMYFUNCTION("""COMPUTED_VALUE"""),"DATSPVEN6")</f>
        <v>DATSPVEN6</v>
      </c>
      <c r="I87" s="5">
        <f>IFERROR(__xludf.DUMMYFUNCTION("""COMPUTED_VALUE"""),47.0)</f>
        <v>47</v>
      </c>
      <c r="J87" s="4" t="str">
        <f>IFERROR(__xludf.DUMMYFUNCTION("""COMPUTED_VALUE"""),"Tier 2")</f>
        <v>Tier 2</v>
      </c>
      <c r="K87" s="4" t="str">
        <f>IFERROR(__xludf.DUMMYFUNCTION("""COMPUTED_VALUE"""),"Active")</f>
        <v>Active</v>
      </c>
      <c r="L87" s="4" t="str">
        <f>IFERROR(__xludf.DUMMYFUNCTION("""COMPUTED_VALUE"""),"Gemini Enterprise Agent Platform")</f>
        <v>Gemini Enterprise Agent Platform</v>
      </c>
    </row>
    <row r="88">
      <c r="A88" s="4" t="str">
        <f>IFERROR(__xludf.DUMMYFUNCTION("""COMPUTED_VALUE"""),"DME1165")</f>
        <v>DME1165</v>
      </c>
      <c r="B88" s="4" t="str">
        <f>IFERROR(__xludf.DUMMYFUNCTION("""COMPUTED_VALUE"""),"Ajit Kumar Rangnath Mohite")</f>
        <v>Ajit Kumar Rangnath Mohite</v>
      </c>
      <c r="C88" s="4" t="str">
        <f>IFERROR(__xludf.DUMMYFUNCTION("""COMPUTED_VALUE"""),"ajit.mohite@onixnet.com")</f>
        <v>ajit.mohite@onixnet.com</v>
      </c>
      <c r="D88" s="4" t="str">
        <f>IFERROR(__xludf.DUMMYFUNCTION("""COMPUTED_VALUE"""),"Active")</f>
        <v>Active</v>
      </c>
      <c r="E88" s="4" t="str">
        <f>IFERROR(__xludf.DUMMYFUNCTION("""COMPUTED_VALUE"""),"Delivery Services")</f>
        <v>Delivery Services</v>
      </c>
      <c r="F88" s="4" t="str">
        <f>IFERROR(__xludf.DUMMYFUNCTION("""COMPUTED_VALUE"""),"Shreepad Dhok")</f>
        <v>Shreepad Dhok</v>
      </c>
      <c r="G88" s="4" t="str">
        <f>IFERROR(__xludf.DUMMYFUNCTION("""COMPUTED_VALUE"""),"Cluster - Shreepad")</f>
        <v>Cluster - Shreepad</v>
      </c>
      <c r="H88" s="4" t="str">
        <f>IFERROR(__xludf.DUMMYFUNCTION("""COMPUTED_VALUE"""),"ONIAMPTQ5")</f>
        <v>ONIAMPTQ5</v>
      </c>
      <c r="I88" s="5">
        <f>IFERROR(__xludf.DUMMYFUNCTION("""COMPUTED_VALUE"""),5.0)</f>
        <v>5</v>
      </c>
      <c r="J88" s="4" t="str">
        <f>IFERROR(__xludf.DUMMYFUNCTION("""COMPUTED_VALUE"""),"Tier 4")</f>
        <v>Tier 4</v>
      </c>
      <c r="K88" s="4" t="str">
        <f>IFERROR(__xludf.DUMMYFUNCTION("""COMPUTED_VALUE"""),"Active")</f>
        <v>Active</v>
      </c>
      <c r="L88" s="4" t="str">
        <f>IFERROR(__xludf.DUMMYFUNCTION("""COMPUTED_VALUE"""),"BigQuery")</f>
        <v>BigQuery</v>
      </c>
    </row>
    <row r="89">
      <c r="A89" s="4" t="str">
        <f>IFERROR(__xludf.DUMMYFUNCTION("""COMPUTED_VALUE"""),"DME1176")</f>
        <v>DME1176</v>
      </c>
      <c r="B89" s="4" t="str">
        <f>IFERROR(__xludf.DUMMYFUNCTION("""COMPUTED_VALUE"""),"Akash Anil Aslekar")</f>
        <v>Akash Anil Aslekar</v>
      </c>
      <c r="C89" s="4" t="str">
        <f>IFERROR(__xludf.DUMMYFUNCTION("""COMPUTED_VALUE"""),"akash.aslekar@onixnet.com")</f>
        <v>akash.aslekar@onixnet.com</v>
      </c>
      <c r="D89" s="4" t="str">
        <f>IFERROR(__xludf.DUMMYFUNCTION("""COMPUTED_VALUE"""),"Active")</f>
        <v>Active</v>
      </c>
      <c r="E89" s="4" t="str">
        <f>IFERROR(__xludf.DUMMYFUNCTION("""COMPUTED_VALUE"""),"Delivery Services")</f>
        <v>Delivery Services</v>
      </c>
      <c r="F89" s="4" t="str">
        <f>IFERROR(__xludf.DUMMYFUNCTION("""COMPUTED_VALUE"""),"Neeta Gawrha")</f>
        <v>Neeta Gawrha</v>
      </c>
      <c r="G89" s="4" t="str">
        <f>IFERROR(__xludf.DUMMYFUNCTION("""COMPUTED_VALUE"""),"Cluster - Sachin")</f>
        <v>Cluster - Sachin</v>
      </c>
      <c r="H89" s="4" t="str">
        <f>IFERROR(__xludf.DUMMYFUNCTION("""COMPUTED_VALUE"""),"ONIAAHQN9")</f>
        <v>ONIAAHQN9</v>
      </c>
      <c r="I89" s="5">
        <f>IFERROR(__xludf.DUMMYFUNCTION("""COMPUTED_VALUE"""),20.0)</f>
        <v>20</v>
      </c>
      <c r="J89" s="4" t="str">
        <f>IFERROR(__xludf.DUMMYFUNCTION("""COMPUTED_VALUE"""),"Tier 3")</f>
        <v>Tier 3</v>
      </c>
      <c r="K89" s="4" t="str">
        <f>IFERROR(__xludf.DUMMYFUNCTION("""COMPUTED_VALUE"""),"Active")</f>
        <v>Active</v>
      </c>
      <c r="L89" s="4" t="str">
        <f>IFERROR(__xludf.DUMMYFUNCTION("""COMPUTED_VALUE"""),"Gemini Enterprise Agent Platform")</f>
        <v>Gemini Enterprise Agent Platform</v>
      </c>
    </row>
    <row r="90">
      <c r="A90" s="4" t="str">
        <f>IFERROR(__xludf.DUMMYFUNCTION("""COMPUTED_VALUE"""),"DME1175")</f>
        <v>DME1175</v>
      </c>
      <c r="B90" s="4" t="str">
        <f>IFERROR(__xludf.DUMMYFUNCTION("""COMPUTED_VALUE"""),"Sumati Vijendra Patil")</f>
        <v>Sumati Vijendra Patil</v>
      </c>
      <c r="C90" s="4" t="str">
        <f>IFERROR(__xludf.DUMMYFUNCTION("""COMPUTED_VALUE"""),"sumati.patil@onixnet.com")</f>
        <v>sumati.patil@onixnet.com</v>
      </c>
      <c r="D90" s="4" t="str">
        <f>IFERROR(__xludf.DUMMYFUNCTION("""COMPUTED_VALUE"""),"Active")</f>
        <v>Active</v>
      </c>
      <c r="E90" s="4" t="str">
        <f>IFERROR(__xludf.DUMMYFUNCTION("""COMPUTED_VALUE"""),"Delivery Services")</f>
        <v>Delivery Services</v>
      </c>
      <c r="F90" s="4" t="str">
        <f>IFERROR(__xludf.DUMMYFUNCTION("""COMPUTED_VALUE"""),"Sandeep Kumar")</f>
        <v>Sandeep Kumar</v>
      </c>
      <c r="G90" s="4" t="str">
        <f>IFERROR(__xludf.DUMMYFUNCTION("""COMPUTED_VALUE"""),"Cluster - Sandeep")</f>
        <v>Cluster - Sandeep</v>
      </c>
      <c r="H90" s="4" t="str">
        <f>IFERROR(__xludf.DUMMYFUNCTION("""COMPUTED_VALUE"""),"ONISPFOH8")</f>
        <v>ONISPFOH8</v>
      </c>
      <c r="I90" s="5">
        <f>IFERROR(__xludf.DUMMYFUNCTION("""COMPUTED_VALUE"""),14.0)</f>
        <v>14</v>
      </c>
      <c r="J90" s="4" t="str">
        <f>IFERROR(__xludf.DUMMYFUNCTION("""COMPUTED_VALUE"""),"Tier 4")</f>
        <v>Tier 4</v>
      </c>
      <c r="K90" s="4" t="str">
        <f>IFERROR(__xludf.DUMMYFUNCTION("""COMPUTED_VALUE"""),"Active")</f>
        <v>Active</v>
      </c>
      <c r="L90" s="4" t="str">
        <f>IFERROR(__xludf.DUMMYFUNCTION("""COMPUTED_VALUE"""),"BigQuery")</f>
        <v>BigQuery</v>
      </c>
    </row>
    <row r="91">
      <c r="A91" s="4" t="str">
        <f>IFERROR(__xludf.DUMMYFUNCTION("""COMPUTED_VALUE"""),"DME1171")</f>
        <v>DME1171</v>
      </c>
      <c r="B91" s="4" t="str">
        <f>IFERROR(__xludf.DUMMYFUNCTION("""COMPUTED_VALUE"""),"Bhagyashri Paralkar")</f>
        <v>Bhagyashri Paralkar</v>
      </c>
      <c r="C91" s="4" t="str">
        <f>IFERROR(__xludf.DUMMYFUNCTION("""COMPUTED_VALUE"""),"bhagyashri.paralkar@onixnet.com")</f>
        <v>bhagyashri.paralkar@onixnet.com</v>
      </c>
      <c r="D91" s="4" t="str">
        <f>IFERROR(__xludf.DUMMYFUNCTION("""COMPUTED_VALUE"""),"Active")</f>
        <v>Active</v>
      </c>
      <c r="E91" s="4" t="str">
        <f>IFERROR(__xludf.DUMMYFUNCTION("""COMPUTED_VALUE"""),"Delivery Services")</f>
        <v>Delivery Services</v>
      </c>
      <c r="F91" s="4" t="str">
        <f>IFERROR(__xludf.DUMMYFUNCTION("""COMPUTED_VALUE"""),"Amit Argade")</f>
        <v>Amit Argade</v>
      </c>
      <c r="G91" s="4" t="str">
        <f>IFERROR(__xludf.DUMMYFUNCTION("""COMPUTED_VALUE"""),"Cluster - Sagar")</f>
        <v>Cluster - Sagar</v>
      </c>
      <c r="H91" s="4" t="str">
        <f>IFERROR(__xludf.DUMMYFUNCTION("""COMPUTED_VALUE"""),"ONIBPBLM6")</f>
        <v>ONIBPBLM6</v>
      </c>
      <c r="I91" s="5">
        <f>IFERROR(__xludf.DUMMYFUNCTION("""COMPUTED_VALUE"""),5.0)</f>
        <v>5</v>
      </c>
      <c r="J91" s="4" t="str">
        <f>IFERROR(__xludf.DUMMYFUNCTION("""COMPUTED_VALUE"""),"Tier 4")</f>
        <v>Tier 4</v>
      </c>
      <c r="K91" s="4" t="str">
        <f>IFERROR(__xludf.DUMMYFUNCTION("""COMPUTED_VALUE"""),"Active")</f>
        <v>Active</v>
      </c>
      <c r="L91" s="4" t="str">
        <f>IFERROR(__xludf.DUMMYFUNCTION("""COMPUTED_VALUE"""),"Google Kubernetes Engine")</f>
        <v>Google Kubernetes Engine</v>
      </c>
    </row>
    <row r="92">
      <c r="A92" s="4" t="str">
        <f>IFERROR(__xludf.DUMMYFUNCTION("""COMPUTED_VALUE"""),"DME1191")</f>
        <v>DME1191</v>
      </c>
      <c r="B92" s="4" t="str">
        <f>IFERROR(__xludf.DUMMYFUNCTION("""COMPUTED_VALUE"""),"Aayush Anil Sahu")</f>
        <v>Aayush Anil Sahu</v>
      </c>
      <c r="C92" s="4" t="str">
        <f>IFERROR(__xludf.DUMMYFUNCTION("""COMPUTED_VALUE"""),"aayush.sahu@onixnet.com")</f>
        <v>aayush.sahu@onixnet.com</v>
      </c>
      <c r="D92" s="4" t="str">
        <f>IFERROR(__xludf.DUMMYFUNCTION("""COMPUTED_VALUE"""),"Active")</f>
        <v>Active</v>
      </c>
      <c r="E92" s="4" t="str">
        <f>IFERROR(__xludf.DUMMYFUNCTION("""COMPUTED_VALUE"""),"Product Engineering")</f>
        <v>Product Engineering</v>
      </c>
      <c r="F92" s="4" t="str">
        <f>IFERROR(__xludf.DUMMYFUNCTION("""COMPUTED_VALUE"""),"Amruta Sikchi")</f>
        <v>Amruta Sikchi</v>
      </c>
      <c r="G92" s="4" t="str">
        <f>IFERROR(__xludf.DUMMYFUNCTION("""COMPUTED_VALUE"""),"Cluster - Mayur")</f>
        <v>Cluster - Mayur</v>
      </c>
      <c r="H92" s="4" t="str">
        <f>IFERROR(__xludf.DUMMYFUNCTION("""COMPUTED_VALUE"""),"ONIASBAW1")</f>
        <v>ONIASBAW1</v>
      </c>
      <c r="I92" s="5">
        <f>IFERROR(__xludf.DUMMYFUNCTION("""COMPUTED_VALUE"""),15.0)</f>
        <v>15</v>
      </c>
      <c r="J92" s="4" t="str">
        <f>IFERROR(__xludf.DUMMYFUNCTION("""COMPUTED_VALUE"""),"Tier 4")</f>
        <v>Tier 4</v>
      </c>
      <c r="K92" s="4" t="str">
        <f>IFERROR(__xludf.DUMMYFUNCTION("""COMPUTED_VALUE"""),"Active")</f>
        <v>Active</v>
      </c>
      <c r="L92" s="4" t="str">
        <f>IFERROR(__xludf.DUMMYFUNCTION("""COMPUTED_VALUE"""),"Apigee API Management")</f>
        <v>Apigee API Management</v>
      </c>
    </row>
    <row r="93">
      <c r="A93" s="4" t="str">
        <f>IFERROR(__xludf.DUMMYFUNCTION("""COMPUTED_VALUE"""),"DME1186")</f>
        <v>DME1186</v>
      </c>
      <c r="B93" s="4" t="str">
        <f>IFERROR(__xludf.DUMMYFUNCTION("""COMPUTED_VALUE"""),"Ashutosh Vishwas Kulkarni")</f>
        <v>Ashutosh Vishwas Kulkarni</v>
      </c>
      <c r="C93" s="4" t="str">
        <f>IFERROR(__xludf.DUMMYFUNCTION("""COMPUTED_VALUE"""),"ashutosh.kulkarni@onixnet.com")</f>
        <v>ashutosh.kulkarni@onixnet.com</v>
      </c>
      <c r="D93" s="4" t="str">
        <f>IFERROR(__xludf.DUMMYFUNCTION("""COMPUTED_VALUE"""),"Active")</f>
        <v>Active</v>
      </c>
      <c r="E93" s="4" t="str">
        <f>IFERROR(__xludf.DUMMYFUNCTION("""COMPUTED_VALUE"""),"Delivery Services")</f>
        <v>Delivery Services</v>
      </c>
      <c r="F93" s="4" t="str">
        <f>IFERROR(__xludf.DUMMYFUNCTION("""COMPUTED_VALUE"""),"Rahul Gupta")</f>
        <v>Rahul Gupta</v>
      </c>
      <c r="G93" s="4" t="str">
        <f>IFERROR(__xludf.DUMMYFUNCTION("""COMPUTED_VALUE"""),"Cluster - Sachin")</f>
        <v>Cluster - Sachin</v>
      </c>
      <c r="H93" s="4" t="str">
        <f>IFERROR(__xludf.DUMMYFUNCTION("""COMPUTED_VALUE"""),"ONIAKNZM4")</f>
        <v>ONIAKNZM4</v>
      </c>
      <c r="I93" s="5">
        <f>IFERROR(__xludf.DUMMYFUNCTION("""COMPUTED_VALUE"""),15.0)</f>
        <v>15</v>
      </c>
      <c r="J93" s="4" t="str">
        <f>IFERROR(__xludf.DUMMYFUNCTION("""COMPUTED_VALUE"""),"Tier 4")</f>
        <v>Tier 4</v>
      </c>
      <c r="K93" s="4" t="str">
        <f>IFERROR(__xludf.DUMMYFUNCTION("""COMPUTED_VALUE"""),"Active")</f>
        <v>Active</v>
      </c>
      <c r="L93" s="4" t="str">
        <f>IFERROR(__xludf.DUMMYFUNCTION("""COMPUTED_VALUE"""),"BigQuery")</f>
        <v>BigQuery</v>
      </c>
    </row>
    <row r="94">
      <c r="A94" s="4" t="str">
        <f>IFERROR(__xludf.DUMMYFUNCTION("""COMPUTED_VALUE"""),"DME1196")</f>
        <v>DME1196</v>
      </c>
      <c r="B94" s="4" t="str">
        <f>IFERROR(__xludf.DUMMYFUNCTION("""COMPUTED_VALUE"""),"Vikram Mishra")</f>
        <v>Vikram Mishra</v>
      </c>
      <c r="C94" s="4" t="str">
        <f>IFERROR(__xludf.DUMMYFUNCTION("""COMPUTED_VALUE"""),"vikram.mishra@onixnet.com")</f>
        <v>vikram.mishra@onixnet.com</v>
      </c>
      <c r="D94" s="4" t="str">
        <f>IFERROR(__xludf.DUMMYFUNCTION("""COMPUTED_VALUE"""),"Active")</f>
        <v>Active</v>
      </c>
      <c r="E94" s="4" t="str">
        <f>IFERROR(__xludf.DUMMYFUNCTION("""COMPUTED_VALUE"""),"Delivery Services")</f>
        <v>Delivery Services</v>
      </c>
      <c r="F94" s="4" t="str">
        <f>IFERROR(__xludf.DUMMYFUNCTION("""COMPUTED_VALUE"""),"Sneha Bhatambrekar")</f>
        <v>Sneha Bhatambrekar</v>
      </c>
      <c r="G94" s="4" t="str">
        <f>IFERROR(__xludf.DUMMYFUNCTION("""COMPUTED_VALUE"""),"Cluster - Sandeep")</f>
        <v>Cluster - Sandeep</v>
      </c>
      <c r="H94" s="4" t="str">
        <f>IFERROR(__xludf.DUMMYFUNCTION("""COMPUTED_VALUE"""),"ONIVMFLE3")</f>
        <v>ONIVMFLE3</v>
      </c>
      <c r="I94" s="5">
        <f>IFERROR(__xludf.DUMMYFUNCTION("""COMPUTED_VALUE"""),10.0)</f>
        <v>10</v>
      </c>
      <c r="J94" s="4" t="str">
        <f>IFERROR(__xludf.DUMMYFUNCTION("""COMPUTED_VALUE"""),"Tier 4")</f>
        <v>Tier 4</v>
      </c>
      <c r="K94" s="4" t="str">
        <f>IFERROR(__xludf.DUMMYFUNCTION("""COMPUTED_VALUE"""),"Active")</f>
        <v>Active</v>
      </c>
      <c r="L94" s="4" t="str">
        <f>IFERROR(__xludf.DUMMYFUNCTION("""COMPUTED_VALUE"""),"BigQuery")</f>
        <v>BigQuery</v>
      </c>
    </row>
    <row r="95">
      <c r="A95" s="4" t="str">
        <f>IFERROR(__xludf.DUMMYFUNCTION("""COMPUTED_VALUE"""),"DME1220")</f>
        <v>DME1220</v>
      </c>
      <c r="B95" s="4" t="str">
        <f>IFERROR(__xludf.DUMMYFUNCTION("""COMPUTED_VALUE"""),"Pritesh Ramdas Chaudhari")</f>
        <v>Pritesh Ramdas Chaudhari</v>
      </c>
      <c r="C95" s="4" t="str">
        <f>IFERROR(__xludf.DUMMYFUNCTION("""COMPUTED_VALUE"""),"pritesh.chaudhari@onixnet.com")</f>
        <v>pritesh.chaudhari@onixnet.com</v>
      </c>
      <c r="D95" s="4" t="str">
        <f>IFERROR(__xludf.DUMMYFUNCTION("""COMPUTED_VALUE"""),"Active")</f>
        <v>Active</v>
      </c>
      <c r="E95" s="4" t="str">
        <f>IFERROR(__xludf.DUMMYFUNCTION("""COMPUTED_VALUE"""),"Delivery Services")</f>
        <v>Delivery Services</v>
      </c>
      <c r="F95" s="4" t="str">
        <f>IFERROR(__xludf.DUMMYFUNCTION("""COMPUTED_VALUE"""),"Chinmay Deshpande")</f>
        <v>Chinmay Deshpande</v>
      </c>
      <c r="G95" s="4" t="str">
        <f>IFERROR(__xludf.DUMMYFUNCTION("""COMPUTED_VALUE"""),"Cluster - Sagar")</f>
        <v>Cluster - Sagar</v>
      </c>
      <c r="H95" s="4" t="str">
        <f>IFERROR(__xludf.DUMMYFUNCTION("""COMPUTED_VALUE"""),"ONIPCWQE7")</f>
        <v>ONIPCWQE7</v>
      </c>
      <c r="I95" s="5">
        <f>IFERROR(__xludf.DUMMYFUNCTION("""COMPUTED_VALUE"""),0.0)</f>
        <v>0</v>
      </c>
      <c r="J95" s="4" t="str">
        <f>IFERROR(__xludf.DUMMYFUNCTION("""COMPUTED_VALUE"""),"Tier 4")</f>
        <v>Tier 4</v>
      </c>
      <c r="K95" s="4" t="str">
        <f>IFERROR(__xludf.DUMMYFUNCTION("""COMPUTED_VALUE"""),"ID Created DRP score 0")</f>
        <v>ID Created DRP score 0</v>
      </c>
      <c r="L95" s="4"/>
    </row>
    <row r="96">
      <c r="A96" s="4" t="str">
        <f>IFERROR(__xludf.DUMMYFUNCTION("""COMPUTED_VALUE"""),"DME1238")</f>
        <v>DME1238</v>
      </c>
      <c r="B96" s="4" t="str">
        <f>IFERROR(__xludf.DUMMYFUNCTION("""COMPUTED_VALUE"""),"Mayuresh Balasaheb Kedari")</f>
        <v>Mayuresh Balasaheb Kedari</v>
      </c>
      <c r="C96" s="4" t="str">
        <f>IFERROR(__xludf.DUMMYFUNCTION("""COMPUTED_VALUE"""),"mayuresh.kedari@onixnet.com")</f>
        <v>mayuresh.kedari@onixnet.com</v>
      </c>
      <c r="D96" s="4" t="str">
        <f>IFERROR(__xludf.DUMMYFUNCTION("""COMPUTED_VALUE"""),"Active")</f>
        <v>Active</v>
      </c>
      <c r="E96" s="4" t="str">
        <f>IFERROR(__xludf.DUMMYFUNCTION("""COMPUTED_VALUE"""),"Delivery Services")</f>
        <v>Delivery Services</v>
      </c>
      <c r="F96" s="4" t="str">
        <f>IFERROR(__xludf.DUMMYFUNCTION("""COMPUTED_VALUE"""),"Javed Ansari")</f>
        <v>Javed Ansari</v>
      </c>
      <c r="G96" s="4" t="str">
        <f>IFERROR(__xludf.DUMMYFUNCTION("""COMPUTED_VALUE"""),"Cluster - Gaurav")</f>
        <v>Cluster - Gaurav</v>
      </c>
      <c r="H96" s="4" t="str">
        <f>IFERROR(__xludf.DUMMYFUNCTION("""COMPUTED_VALUE"""),"DATMKJNA1")</f>
        <v>DATMKJNA1</v>
      </c>
      <c r="I96" s="5">
        <f>IFERROR(__xludf.DUMMYFUNCTION("""COMPUTED_VALUE"""),43.0)</f>
        <v>43</v>
      </c>
      <c r="J96" s="4" t="str">
        <f>IFERROR(__xludf.DUMMYFUNCTION("""COMPUTED_VALUE"""),"Tier 2")</f>
        <v>Tier 2</v>
      </c>
      <c r="K96" s="4" t="str">
        <f>IFERROR(__xludf.DUMMYFUNCTION("""COMPUTED_VALUE"""),"Active")</f>
        <v>Active</v>
      </c>
      <c r="L96" s="4" t="str">
        <f>IFERROR(__xludf.DUMMYFUNCTION("""COMPUTED_VALUE"""),"Gemini Enterprise Agent Platform")</f>
        <v>Gemini Enterprise Agent Platform</v>
      </c>
    </row>
    <row r="97">
      <c r="A97" s="4" t="str">
        <f>IFERROR(__xludf.DUMMYFUNCTION("""COMPUTED_VALUE"""),"DME1247")</f>
        <v>DME1247</v>
      </c>
      <c r="B97" s="4" t="str">
        <f>IFERROR(__xludf.DUMMYFUNCTION("""COMPUTED_VALUE"""),"Deepu Dasari")</f>
        <v>Deepu Dasari</v>
      </c>
      <c r="C97" s="4" t="str">
        <f>IFERROR(__xludf.DUMMYFUNCTION("""COMPUTED_VALUE"""),"deepu.dasari@onixnet.com")</f>
        <v>deepu.dasari@onixnet.com</v>
      </c>
      <c r="D97" s="4" t="str">
        <f>IFERROR(__xludf.DUMMYFUNCTION("""COMPUTED_VALUE"""),"Active")</f>
        <v>Active</v>
      </c>
      <c r="E97" s="4" t="str">
        <f>IFERROR(__xludf.DUMMYFUNCTION("""COMPUTED_VALUE"""),"Delivery Services")</f>
        <v>Delivery Services</v>
      </c>
      <c r="F97" s="4" t="str">
        <f>IFERROR(__xludf.DUMMYFUNCTION("""COMPUTED_VALUE"""),"Vishal Khare")</f>
        <v>Vishal Khare</v>
      </c>
      <c r="G97" s="4" t="str">
        <f>IFERROR(__xludf.DUMMYFUNCTION("""COMPUTED_VALUE"""),"Cluster - Sagar")</f>
        <v>Cluster - Sagar</v>
      </c>
      <c r="H97" s="4" t="str">
        <f>IFERROR(__xludf.DUMMYFUNCTION("""COMPUTED_VALUE"""),"ONIDDWEL2")</f>
        <v>ONIDDWEL2</v>
      </c>
      <c r="I97" s="5">
        <f>IFERROR(__xludf.DUMMYFUNCTION("""COMPUTED_VALUE"""),34.0)</f>
        <v>34</v>
      </c>
      <c r="J97" s="4" t="str">
        <f>IFERROR(__xludf.DUMMYFUNCTION("""COMPUTED_VALUE"""),"Tier 3")</f>
        <v>Tier 3</v>
      </c>
      <c r="K97" s="4" t="str">
        <f>IFERROR(__xludf.DUMMYFUNCTION("""COMPUTED_VALUE"""),"Active")</f>
        <v>Active</v>
      </c>
      <c r="L97" s="4" t="str">
        <f>IFERROR(__xludf.DUMMYFUNCTION("""COMPUTED_VALUE"""),"BigQuery")</f>
        <v>BigQuery</v>
      </c>
    </row>
    <row r="98">
      <c r="A98" s="4" t="str">
        <f>IFERROR(__xludf.DUMMYFUNCTION("""COMPUTED_VALUE"""),"DME1242")</f>
        <v>DME1242</v>
      </c>
      <c r="B98" s="4" t="str">
        <f>IFERROR(__xludf.DUMMYFUNCTION("""COMPUTED_VALUE"""),"Toshi Jain")</f>
        <v>Toshi Jain</v>
      </c>
      <c r="C98" s="4" t="str">
        <f>IFERROR(__xludf.DUMMYFUNCTION("""COMPUTED_VALUE"""),"toshi.jain@onixnet.com")</f>
        <v>toshi.jain@onixnet.com</v>
      </c>
      <c r="D98" s="4" t="str">
        <f>IFERROR(__xludf.DUMMYFUNCTION("""COMPUTED_VALUE"""),"Active")</f>
        <v>Active</v>
      </c>
      <c r="E98" s="4" t="str">
        <f>IFERROR(__xludf.DUMMYFUNCTION("""COMPUTED_VALUE"""),"Delivery Services")</f>
        <v>Delivery Services</v>
      </c>
      <c r="F98" s="4" t="str">
        <f>IFERROR(__xludf.DUMMYFUNCTION("""COMPUTED_VALUE"""),"Jitender Singh")</f>
        <v>Jitender Singh</v>
      </c>
      <c r="G98" s="4" t="str">
        <f>IFERROR(__xludf.DUMMYFUNCTION("""COMPUTED_VALUE"""),"Cluster - Gaurav")</f>
        <v>Cluster - Gaurav</v>
      </c>
      <c r="H98" s="4" t="str">
        <f>IFERROR(__xludf.DUMMYFUNCTION("""COMPUTED_VALUE"""),"ONITJETG8")</f>
        <v>ONITJETG8</v>
      </c>
      <c r="I98" s="5">
        <f>IFERROR(__xludf.DUMMYFUNCTION("""COMPUTED_VALUE"""),5.0)</f>
        <v>5</v>
      </c>
      <c r="J98" s="4" t="str">
        <f>IFERROR(__xludf.DUMMYFUNCTION("""COMPUTED_VALUE"""),"Tier 4")</f>
        <v>Tier 4</v>
      </c>
      <c r="K98" s="4" t="str">
        <f>IFERROR(__xludf.DUMMYFUNCTION("""COMPUTED_VALUE"""),"Active")</f>
        <v>Active</v>
      </c>
      <c r="L98" s="4" t="str">
        <f>IFERROR(__xludf.DUMMYFUNCTION("""COMPUTED_VALUE"""),"BigQuery")</f>
        <v>BigQuery</v>
      </c>
    </row>
    <row r="99">
      <c r="A99" s="4" t="str">
        <f>IFERROR(__xludf.DUMMYFUNCTION("""COMPUTED_VALUE"""),"DME1276")</f>
        <v>DME1276</v>
      </c>
      <c r="B99" s="4" t="str">
        <f>IFERROR(__xludf.DUMMYFUNCTION("""COMPUTED_VALUE"""),"Santosh Vasant Vitekar")</f>
        <v>Santosh Vasant Vitekar</v>
      </c>
      <c r="C99" s="4" t="str">
        <f>IFERROR(__xludf.DUMMYFUNCTION("""COMPUTED_VALUE"""),"santosh.vitekar@onixnet.com")</f>
        <v>santosh.vitekar@onixnet.com</v>
      </c>
      <c r="D99" s="4" t="str">
        <f>IFERROR(__xludf.DUMMYFUNCTION("""COMPUTED_VALUE"""),"Active")</f>
        <v>Active</v>
      </c>
      <c r="E99" s="4" t="str">
        <f>IFERROR(__xludf.DUMMYFUNCTION("""COMPUTED_VALUE"""),"Product Engineering")</f>
        <v>Product Engineering</v>
      </c>
      <c r="F99" s="4" t="str">
        <f>IFERROR(__xludf.DUMMYFUNCTION("""COMPUTED_VALUE"""),"Rahul Panwar")</f>
        <v>Rahul Panwar</v>
      </c>
      <c r="G99" s="4" t="str">
        <f>IFERROR(__xludf.DUMMYFUNCTION("""COMPUTED_VALUE"""),"Cluster - Mayur")</f>
        <v>Cluster - Mayur</v>
      </c>
      <c r="H99" s="4" t="str">
        <f>IFERROR(__xludf.DUMMYFUNCTION("""COMPUTED_VALUE"""),"ONISVEBU8")</f>
        <v>ONISVEBU8</v>
      </c>
      <c r="I99" s="5">
        <f>IFERROR(__xludf.DUMMYFUNCTION("""COMPUTED_VALUE"""),10.0)</f>
        <v>10</v>
      </c>
      <c r="J99" s="4" t="str">
        <f>IFERROR(__xludf.DUMMYFUNCTION("""COMPUTED_VALUE"""),"Tier 4")</f>
        <v>Tier 4</v>
      </c>
      <c r="K99" s="4" t="str">
        <f>IFERROR(__xludf.DUMMYFUNCTION("""COMPUTED_VALUE"""),"Active")</f>
        <v>Active</v>
      </c>
      <c r="L99" s="4" t="str">
        <f>IFERROR(__xludf.DUMMYFUNCTION("""COMPUTED_VALUE"""),"AI Applications")</f>
        <v>AI Applications</v>
      </c>
    </row>
    <row r="100">
      <c r="A100" s="4" t="str">
        <f>IFERROR(__xludf.DUMMYFUNCTION("""COMPUTED_VALUE"""),"DME1278")</f>
        <v>DME1278</v>
      </c>
      <c r="B100" s="4" t="str">
        <f>IFERROR(__xludf.DUMMYFUNCTION("""COMPUTED_VALUE"""),"Mahiboob Rahaman Tandure")</f>
        <v>Mahiboob Rahaman Tandure</v>
      </c>
      <c r="C100" s="4" t="str">
        <f>IFERROR(__xludf.DUMMYFUNCTION("""COMPUTED_VALUE"""),"mahiboob.tandure@onixnet.com")</f>
        <v>mahiboob.tandure@onixnet.com</v>
      </c>
      <c r="D100" s="4" t="str">
        <f>IFERROR(__xludf.DUMMYFUNCTION("""COMPUTED_VALUE"""),"Active")</f>
        <v>Active</v>
      </c>
      <c r="E100" s="4" t="str">
        <f>IFERROR(__xludf.DUMMYFUNCTION("""COMPUTED_VALUE"""),"Delivery Services")</f>
        <v>Delivery Services</v>
      </c>
      <c r="F100" s="4" t="str">
        <f>IFERROR(__xludf.DUMMYFUNCTION("""COMPUTED_VALUE"""),"Sneha Bhatambrekar")</f>
        <v>Sneha Bhatambrekar</v>
      </c>
      <c r="G100" s="4" t="str">
        <f>IFERROR(__xludf.DUMMYFUNCTION("""COMPUTED_VALUE"""),"Cluster - Sandeep")</f>
        <v>Cluster - Sandeep</v>
      </c>
      <c r="H100" s="4" t="str">
        <f>IFERROR(__xludf.DUMMYFUNCTION("""COMPUTED_VALUE"""),"ONIMTDWK1")</f>
        <v>ONIMTDWK1</v>
      </c>
      <c r="I100" s="5">
        <f>IFERROR(__xludf.DUMMYFUNCTION("""COMPUTED_VALUE"""),0.0)</f>
        <v>0</v>
      </c>
      <c r="J100" s="4" t="str">
        <f>IFERROR(__xludf.DUMMYFUNCTION("""COMPUTED_VALUE"""),"Tier 4")</f>
        <v>Tier 4</v>
      </c>
      <c r="K100" s="4" t="str">
        <f>IFERROR(__xludf.DUMMYFUNCTION("""COMPUTED_VALUE"""),"ID Created DRP score 0")</f>
        <v>ID Created DRP score 0</v>
      </c>
      <c r="L100" s="4"/>
    </row>
    <row r="101">
      <c r="A101" s="4" t="str">
        <f>IFERROR(__xludf.DUMMYFUNCTION("""COMPUTED_VALUE"""),"DME1281")</f>
        <v>DME1281</v>
      </c>
      <c r="B101" s="4" t="str">
        <f>IFERROR(__xludf.DUMMYFUNCTION("""COMPUTED_VALUE"""),"Vipin Raju Rathod")</f>
        <v>Vipin Raju Rathod</v>
      </c>
      <c r="C101" s="4" t="str">
        <f>IFERROR(__xludf.DUMMYFUNCTION("""COMPUTED_VALUE"""),"vipin.rathod@onixnet.com")</f>
        <v>vipin.rathod@onixnet.com</v>
      </c>
      <c r="D101" s="4" t="str">
        <f>IFERROR(__xludf.DUMMYFUNCTION("""COMPUTED_VALUE"""),"Active")</f>
        <v>Active</v>
      </c>
      <c r="E101" s="4" t="str">
        <f>IFERROR(__xludf.DUMMYFUNCTION("""COMPUTED_VALUE"""),"Eagle Assessment")</f>
        <v>Eagle Assessment</v>
      </c>
      <c r="F101" s="4" t="str">
        <f>IFERROR(__xludf.DUMMYFUNCTION("""COMPUTED_VALUE"""),"Chahat Patni")</f>
        <v>Chahat Patni</v>
      </c>
      <c r="G101" s="4" t="str">
        <f>IFERROR(__xludf.DUMMYFUNCTION("""COMPUTED_VALUE"""),"Cluster - Kalpa")</f>
        <v>Cluster - Kalpa</v>
      </c>
      <c r="H101" s="4" t="str">
        <f>IFERROR(__xludf.DUMMYFUNCTION("""COMPUTED_VALUE"""),"DATVRYHQ7")</f>
        <v>DATVRYHQ7</v>
      </c>
      <c r="I101" s="5">
        <f>IFERROR(__xludf.DUMMYFUNCTION("""COMPUTED_VALUE"""),17.0)</f>
        <v>17</v>
      </c>
      <c r="J101" s="4" t="str">
        <f>IFERROR(__xludf.DUMMYFUNCTION("""COMPUTED_VALUE"""),"Tier 4")</f>
        <v>Tier 4</v>
      </c>
      <c r="K101" s="4" t="str">
        <f>IFERROR(__xludf.DUMMYFUNCTION("""COMPUTED_VALUE"""),"Active")</f>
        <v>Active</v>
      </c>
      <c r="L101" s="4" t="str">
        <f>IFERROR(__xludf.DUMMYFUNCTION("""COMPUTED_VALUE"""),"BigQuery")</f>
        <v>BigQuery</v>
      </c>
    </row>
    <row r="102">
      <c r="A102" s="4" t="str">
        <f>IFERROR(__xludf.DUMMYFUNCTION("""COMPUTED_VALUE"""),"DME1295")</f>
        <v>DME1295</v>
      </c>
      <c r="B102" s="4" t="str">
        <f>IFERROR(__xludf.DUMMYFUNCTION("""COMPUTED_VALUE"""),"Juili Nitin Borikar")</f>
        <v>Juili Nitin Borikar</v>
      </c>
      <c r="C102" s="4" t="str">
        <f>IFERROR(__xludf.DUMMYFUNCTION("""COMPUTED_VALUE"""),"juili.borikar@onixnet.com")</f>
        <v>juili.borikar@onixnet.com</v>
      </c>
      <c r="D102" s="4" t="str">
        <f>IFERROR(__xludf.DUMMYFUNCTION("""COMPUTED_VALUE"""),"Active")</f>
        <v>Active</v>
      </c>
      <c r="E102" s="4" t="str">
        <f>IFERROR(__xludf.DUMMYFUNCTION("""COMPUTED_VALUE"""),"Delivery Services")</f>
        <v>Delivery Services</v>
      </c>
      <c r="F102" s="4" t="str">
        <f>IFERROR(__xludf.DUMMYFUNCTION("""COMPUTED_VALUE"""),"Jitender Singh")</f>
        <v>Jitender Singh</v>
      </c>
      <c r="G102" s="4" t="str">
        <f>IFERROR(__xludf.DUMMYFUNCTION("""COMPUTED_VALUE"""),"Cluster - Gaurav")</f>
        <v>Cluster - Gaurav</v>
      </c>
      <c r="H102" s="4" t="str">
        <f>IFERROR(__xludf.DUMMYFUNCTION("""COMPUTED_VALUE"""),"DATJBBRL2")</f>
        <v>DATJBBRL2</v>
      </c>
      <c r="I102" s="5">
        <f>IFERROR(__xludf.DUMMYFUNCTION("""COMPUTED_VALUE"""),14.0)</f>
        <v>14</v>
      </c>
      <c r="J102" s="4" t="str">
        <f>IFERROR(__xludf.DUMMYFUNCTION("""COMPUTED_VALUE"""),"Tier 4")</f>
        <v>Tier 4</v>
      </c>
      <c r="K102" s="4" t="str">
        <f>IFERROR(__xludf.DUMMYFUNCTION("""COMPUTED_VALUE"""),"Active")</f>
        <v>Active</v>
      </c>
      <c r="L102" s="4" t="str">
        <f>IFERROR(__xludf.DUMMYFUNCTION("""COMPUTED_VALUE"""),"AI Applications")</f>
        <v>AI Applications</v>
      </c>
    </row>
    <row r="103">
      <c r="A103" s="4" t="str">
        <f>IFERROR(__xludf.DUMMYFUNCTION("""COMPUTED_VALUE"""),"DME1309")</f>
        <v>DME1309</v>
      </c>
      <c r="B103" s="4" t="str">
        <f>IFERROR(__xludf.DUMMYFUNCTION("""COMPUTED_VALUE"""),"Rajesh Bharat Bhalekar")</f>
        <v>Rajesh Bharat Bhalekar</v>
      </c>
      <c r="C103" s="4" t="str">
        <f>IFERROR(__xludf.DUMMYFUNCTION("""COMPUTED_VALUE"""),"rajesh.bhalekar@onixnet.com")</f>
        <v>rajesh.bhalekar@onixnet.com</v>
      </c>
      <c r="D103" s="4" t="str">
        <f>IFERROR(__xludf.DUMMYFUNCTION("""COMPUTED_VALUE"""),"Active")</f>
        <v>Active</v>
      </c>
      <c r="E103" s="4" t="str">
        <f>IFERROR(__xludf.DUMMYFUNCTION("""COMPUTED_VALUE"""),"Delivery Services")</f>
        <v>Delivery Services</v>
      </c>
      <c r="F103" s="4" t="str">
        <f>IFERROR(__xludf.DUMMYFUNCTION("""COMPUTED_VALUE"""),"Shubham Agnihotri")</f>
        <v>Shubham Agnihotri</v>
      </c>
      <c r="G103" s="4" t="str">
        <f>IFERROR(__xludf.DUMMYFUNCTION("""COMPUTED_VALUE"""),"Cluster - Gaurav")</f>
        <v>Cluster - Gaurav</v>
      </c>
      <c r="H103" s="4" t="str">
        <f>IFERROR(__xludf.DUMMYFUNCTION("""COMPUTED_VALUE"""),"ONIRBIHC9")</f>
        <v>ONIRBIHC9</v>
      </c>
      <c r="I103" s="5">
        <f>IFERROR(__xludf.DUMMYFUNCTION("""COMPUTED_VALUE"""),10.0)</f>
        <v>10</v>
      </c>
      <c r="J103" s="4" t="str">
        <f>IFERROR(__xludf.DUMMYFUNCTION("""COMPUTED_VALUE"""),"Tier 4")</f>
        <v>Tier 4</v>
      </c>
      <c r="K103" s="4" t="str">
        <f>IFERROR(__xludf.DUMMYFUNCTION("""COMPUTED_VALUE"""),"Active")</f>
        <v>Active</v>
      </c>
      <c r="L103" s="4" t="str">
        <f>IFERROR(__xludf.DUMMYFUNCTION("""COMPUTED_VALUE"""),"Google Kubernetes Engine")</f>
        <v>Google Kubernetes Engine</v>
      </c>
    </row>
    <row r="104">
      <c r="A104" s="4" t="str">
        <f>IFERROR(__xludf.DUMMYFUNCTION("""COMPUTED_VALUE"""),"DME1317")</f>
        <v>DME1317</v>
      </c>
      <c r="B104" s="4" t="str">
        <f>IFERROR(__xludf.DUMMYFUNCTION("""COMPUTED_VALUE"""),"Neha Barun Verma")</f>
        <v>Neha Barun Verma</v>
      </c>
      <c r="C104" s="4" t="str">
        <f>IFERROR(__xludf.DUMMYFUNCTION("""COMPUTED_VALUE"""),"neha.verma@onixnet.com")</f>
        <v>neha.verma@onixnet.com</v>
      </c>
      <c r="D104" s="4" t="str">
        <f>IFERROR(__xludf.DUMMYFUNCTION("""COMPUTED_VALUE"""),"Active")</f>
        <v>Active</v>
      </c>
      <c r="E104" s="4" t="str">
        <f>IFERROR(__xludf.DUMMYFUNCTION("""COMPUTED_VALUE"""),"Product Engineering")</f>
        <v>Product Engineering</v>
      </c>
      <c r="F104" s="4" t="str">
        <f>IFERROR(__xludf.DUMMYFUNCTION("""COMPUTED_VALUE"""),"Deepak Kadam")</f>
        <v>Deepak Kadam</v>
      </c>
      <c r="G104" s="4" t="str">
        <f>IFERROR(__xludf.DUMMYFUNCTION("""COMPUTED_VALUE"""),"Cluster - Mayur")</f>
        <v>Cluster - Mayur</v>
      </c>
      <c r="H104" s="4"/>
      <c r="I104" s="5"/>
      <c r="J104" s="4"/>
      <c r="K104" s="4" t="str">
        <f>IFERROR(__xludf.DUMMYFUNCTION("""COMPUTED_VALUE"""),"ID Not Created")</f>
        <v>ID Not Created</v>
      </c>
      <c r="L104" s="4"/>
    </row>
    <row r="105">
      <c r="A105" s="4" t="str">
        <f>IFERROR(__xludf.DUMMYFUNCTION("""COMPUTED_VALUE"""),"DME1316")</f>
        <v>DME1316</v>
      </c>
      <c r="B105" s="4" t="str">
        <f>IFERROR(__xludf.DUMMYFUNCTION("""COMPUTED_VALUE"""),"Ameya Kulkarni")</f>
        <v>Ameya Kulkarni</v>
      </c>
      <c r="C105" s="4" t="str">
        <f>IFERROR(__xludf.DUMMYFUNCTION("""COMPUTED_VALUE"""),"ameya.kulkarni@onixnet.com")</f>
        <v>ameya.kulkarni@onixnet.com</v>
      </c>
      <c r="D105" s="4" t="str">
        <f>IFERROR(__xludf.DUMMYFUNCTION("""COMPUTED_VALUE"""),"Active")</f>
        <v>Active</v>
      </c>
      <c r="E105" s="4" t="str">
        <f>IFERROR(__xludf.DUMMYFUNCTION("""COMPUTED_VALUE"""),"Delivery Services")</f>
        <v>Delivery Services</v>
      </c>
      <c r="F105" s="4" t="str">
        <f>IFERROR(__xludf.DUMMYFUNCTION("""COMPUTED_VALUE"""),"Sunny Mathur")</f>
        <v>Sunny Mathur</v>
      </c>
      <c r="G105" s="4" t="str">
        <f>IFERROR(__xludf.DUMMYFUNCTION("""COMPUTED_VALUE"""),"Cluster - Sagar")</f>
        <v>Cluster - Sagar</v>
      </c>
      <c r="H105" s="4" t="str">
        <f>IFERROR(__xludf.DUMMYFUNCTION("""COMPUTED_VALUE"""),"ONIAKKXZ5")</f>
        <v>ONIAKKXZ5</v>
      </c>
      <c r="I105" s="5">
        <f>IFERROR(__xludf.DUMMYFUNCTION("""COMPUTED_VALUE"""),15.0)</f>
        <v>15</v>
      </c>
      <c r="J105" s="4" t="str">
        <f>IFERROR(__xludf.DUMMYFUNCTION("""COMPUTED_VALUE"""),"Tier 4")</f>
        <v>Tier 4</v>
      </c>
      <c r="K105" s="4" t="str">
        <f>IFERROR(__xludf.DUMMYFUNCTION("""COMPUTED_VALUE"""),"Active")</f>
        <v>Active</v>
      </c>
      <c r="L105" s="4" t="str">
        <f>IFERROR(__xludf.DUMMYFUNCTION("""COMPUTED_VALUE"""),"Dataflow")</f>
        <v>Dataflow</v>
      </c>
    </row>
    <row r="106">
      <c r="A106" s="4" t="str">
        <f>IFERROR(__xludf.DUMMYFUNCTION("""COMPUTED_VALUE"""),"DME1298")</f>
        <v>DME1298</v>
      </c>
      <c r="B106" s="4" t="str">
        <f>IFERROR(__xludf.DUMMYFUNCTION("""COMPUTED_VALUE"""),"Sonal Kanathey")</f>
        <v>Sonal Kanathey</v>
      </c>
      <c r="C106" s="4" t="str">
        <f>IFERROR(__xludf.DUMMYFUNCTION("""COMPUTED_VALUE"""),"sonal.kanathey@onixnet.com")</f>
        <v>sonal.kanathey@onixnet.com</v>
      </c>
      <c r="D106" s="4" t="str">
        <f>IFERROR(__xludf.DUMMYFUNCTION("""COMPUTED_VALUE"""),"Active")</f>
        <v>Active</v>
      </c>
      <c r="E106" s="4" t="str">
        <f>IFERROR(__xludf.DUMMYFUNCTION("""COMPUTED_VALUE"""),"Delivery Services")</f>
        <v>Delivery Services</v>
      </c>
      <c r="F106" s="4" t="str">
        <f>IFERROR(__xludf.DUMMYFUNCTION("""COMPUTED_VALUE"""),"Jitender Singh")</f>
        <v>Jitender Singh</v>
      </c>
      <c r="G106" s="4" t="str">
        <f>IFERROR(__xludf.DUMMYFUNCTION("""COMPUTED_VALUE"""),"Cluster - Gaurav")</f>
        <v>Cluster - Gaurav</v>
      </c>
      <c r="H106" s="4"/>
      <c r="I106" s="5"/>
      <c r="J106" s="4"/>
      <c r="K106" s="4" t="str">
        <f>IFERROR(__xludf.DUMMYFUNCTION("""COMPUTED_VALUE"""),"ID Not Created")</f>
        <v>ID Not Created</v>
      </c>
      <c r="L106" s="4"/>
    </row>
    <row r="107">
      <c r="A107" s="4" t="str">
        <f>IFERROR(__xludf.DUMMYFUNCTION("""COMPUTED_VALUE"""),"DME1332")</f>
        <v>DME1332</v>
      </c>
      <c r="B107" s="4" t="str">
        <f>IFERROR(__xludf.DUMMYFUNCTION("""COMPUTED_VALUE"""),"Deepak Ganpat Kadam")</f>
        <v>Deepak Ganpat Kadam</v>
      </c>
      <c r="C107" s="4" t="str">
        <f>IFERROR(__xludf.DUMMYFUNCTION("""COMPUTED_VALUE"""),"deepak.kadam@onixnet.com")</f>
        <v>deepak.kadam@onixnet.com</v>
      </c>
      <c r="D107" s="4" t="str">
        <f>IFERROR(__xludf.DUMMYFUNCTION("""COMPUTED_VALUE"""),"Active")</f>
        <v>Active</v>
      </c>
      <c r="E107" s="4" t="str">
        <f>IFERROR(__xludf.DUMMYFUNCTION("""COMPUTED_VALUE"""),"Product Engineering")</f>
        <v>Product Engineering</v>
      </c>
      <c r="F107" s="4" t="str">
        <f>IFERROR(__xludf.DUMMYFUNCTION("""COMPUTED_VALUE"""),"Binoy Samuel")</f>
        <v>Binoy Samuel</v>
      </c>
      <c r="G107" s="4" t="str">
        <f>IFERROR(__xludf.DUMMYFUNCTION("""COMPUTED_VALUE"""),"Cluster - Mayur")</f>
        <v>Cluster - Mayur</v>
      </c>
      <c r="H107" s="4" t="str">
        <f>IFERROR(__xludf.DUMMYFUNCTION("""COMPUTED_VALUE"""),"ONIDKOSF0")</f>
        <v>ONIDKOSF0</v>
      </c>
      <c r="I107" s="5">
        <f>IFERROR(__xludf.DUMMYFUNCTION("""COMPUTED_VALUE"""),0.0)</f>
        <v>0</v>
      </c>
      <c r="J107" s="4" t="str">
        <f>IFERROR(__xludf.DUMMYFUNCTION("""COMPUTED_VALUE"""),"Tier 4")</f>
        <v>Tier 4</v>
      </c>
      <c r="K107" s="4" t="str">
        <f>IFERROR(__xludf.DUMMYFUNCTION("""COMPUTED_VALUE"""),"ID Created DRP score 0")</f>
        <v>ID Created DRP score 0</v>
      </c>
      <c r="L107" s="4"/>
    </row>
    <row r="108">
      <c r="A108" s="4" t="str">
        <f>IFERROR(__xludf.DUMMYFUNCTION("""COMPUTED_VALUE"""),"DME1339")</f>
        <v>DME1339</v>
      </c>
      <c r="B108" s="4" t="str">
        <f>IFERROR(__xludf.DUMMYFUNCTION("""COMPUTED_VALUE"""),"Rohit Anil Kulkarni")</f>
        <v>Rohit Anil Kulkarni</v>
      </c>
      <c r="C108" s="4" t="str">
        <f>IFERROR(__xludf.DUMMYFUNCTION("""COMPUTED_VALUE"""),"rohit.kulkarni@onixnet.com")</f>
        <v>rohit.kulkarni@onixnet.com</v>
      </c>
      <c r="D108" s="4" t="str">
        <f>IFERROR(__xludf.DUMMYFUNCTION("""COMPUTED_VALUE"""),"Active")</f>
        <v>Active</v>
      </c>
      <c r="E108" s="4" t="str">
        <f>IFERROR(__xludf.DUMMYFUNCTION("""COMPUTED_VALUE"""),"Delivery Services")</f>
        <v>Delivery Services</v>
      </c>
      <c r="F108" s="4" t="str">
        <f>IFERROR(__xludf.DUMMYFUNCTION("""COMPUTED_VALUE"""),"Priyanka Parab")</f>
        <v>Priyanka Parab</v>
      </c>
      <c r="G108" s="4" t="str">
        <f>IFERROR(__xludf.DUMMYFUNCTION("""COMPUTED_VALUE"""),"Cluster - Sagar")</f>
        <v>Cluster - Sagar</v>
      </c>
      <c r="H108" s="4" t="str">
        <f>IFERROR(__xludf.DUMMYFUNCTION("""COMPUTED_VALUE"""),"ONIRKLLH2")</f>
        <v>ONIRKLLH2</v>
      </c>
      <c r="I108" s="5">
        <f>IFERROR(__xludf.DUMMYFUNCTION("""COMPUTED_VALUE"""),13.0)</f>
        <v>13</v>
      </c>
      <c r="J108" s="4" t="str">
        <f>IFERROR(__xludf.DUMMYFUNCTION("""COMPUTED_VALUE"""),"Tier 4")</f>
        <v>Tier 4</v>
      </c>
      <c r="K108" s="4" t="str">
        <f>IFERROR(__xludf.DUMMYFUNCTION("""COMPUTED_VALUE"""),"Active")</f>
        <v>Active</v>
      </c>
      <c r="L108" s="4" t="str">
        <f>IFERROR(__xludf.DUMMYFUNCTION("""COMPUTED_VALUE"""),"Gemini Enterprise")</f>
        <v>Gemini Enterprise</v>
      </c>
    </row>
    <row r="109">
      <c r="A109" s="4" t="str">
        <f>IFERROR(__xludf.DUMMYFUNCTION("""COMPUTED_VALUE"""),"DME1351")</f>
        <v>DME1351</v>
      </c>
      <c r="B109" s="4" t="str">
        <f>IFERROR(__xludf.DUMMYFUNCTION("""COMPUTED_VALUE"""),"Sumit Shrirang Talware")</f>
        <v>Sumit Shrirang Talware</v>
      </c>
      <c r="C109" s="4" t="str">
        <f>IFERROR(__xludf.DUMMYFUNCTION("""COMPUTED_VALUE"""),"sumit.talware@onixnet.com")</f>
        <v>sumit.talware@onixnet.com</v>
      </c>
      <c r="D109" s="4" t="str">
        <f>IFERROR(__xludf.DUMMYFUNCTION("""COMPUTED_VALUE"""),"Active")</f>
        <v>Active</v>
      </c>
      <c r="E109" s="4" t="str">
        <f>IFERROR(__xludf.DUMMYFUNCTION("""COMPUTED_VALUE"""),"Delivery Services")</f>
        <v>Delivery Services</v>
      </c>
      <c r="F109" s="4" t="str">
        <f>IFERROR(__xludf.DUMMYFUNCTION("""COMPUTED_VALUE"""),"Mohit Shivramwar")</f>
        <v>Mohit Shivramwar</v>
      </c>
      <c r="G109" s="4" t="str">
        <f>IFERROR(__xludf.DUMMYFUNCTION("""COMPUTED_VALUE"""),"Cluster - Sagar")</f>
        <v>Cluster - Sagar</v>
      </c>
      <c r="H109" s="4" t="str">
        <f>IFERROR(__xludf.DUMMYFUNCTION("""COMPUTED_VALUE"""),"ONISTDKN1")</f>
        <v>ONISTDKN1</v>
      </c>
      <c r="I109" s="5">
        <f>IFERROR(__xludf.DUMMYFUNCTION("""COMPUTED_VALUE"""),15.0)</f>
        <v>15</v>
      </c>
      <c r="J109" s="4" t="str">
        <f>IFERROR(__xludf.DUMMYFUNCTION("""COMPUTED_VALUE"""),"Tier 4")</f>
        <v>Tier 4</v>
      </c>
      <c r="K109" s="4" t="str">
        <f>IFERROR(__xludf.DUMMYFUNCTION("""COMPUTED_VALUE"""),"Active")</f>
        <v>Active</v>
      </c>
      <c r="L109" s="4" t="str">
        <f>IFERROR(__xludf.DUMMYFUNCTION("""COMPUTED_VALUE"""),"BigQuery")</f>
        <v>BigQuery</v>
      </c>
    </row>
    <row r="110">
      <c r="A110" s="4" t="str">
        <f>IFERROR(__xludf.DUMMYFUNCTION("""COMPUTED_VALUE"""),"DME1409")</f>
        <v>DME1409</v>
      </c>
      <c r="B110" s="4" t="str">
        <f>IFERROR(__xludf.DUMMYFUNCTION("""COMPUTED_VALUE"""),"Nehin Naushad Maknojia")</f>
        <v>Nehin Naushad Maknojia</v>
      </c>
      <c r="C110" s="4" t="str">
        <f>IFERROR(__xludf.DUMMYFUNCTION("""COMPUTED_VALUE"""),"nehin.maknojia@onixnet.com")</f>
        <v>nehin.maknojia@onixnet.com</v>
      </c>
      <c r="D110" s="4" t="str">
        <f>IFERROR(__xludf.DUMMYFUNCTION("""COMPUTED_VALUE"""),"Active")</f>
        <v>Active</v>
      </c>
      <c r="E110" s="4" t="str">
        <f>IFERROR(__xludf.DUMMYFUNCTION("""COMPUTED_VALUE"""),"Delivery Services")</f>
        <v>Delivery Services</v>
      </c>
      <c r="F110" s="4" t="str">
        <f>IFERROR(__xludf.DUMMYFUNCTION("""COMPUTED_VALUE"""),"Vedant Bhogawade")</f>
        <v>Vedant Bhogawade</v>
      </c>
      <c r="G110" s="4" t="str">
        <f>IFERROR(__xludf.DUMMYFUNCTION("""COMPUTED_VALUE"""),"Cluster - Varun")</f>
        <v>Cluster - Varun</v>
      </c>
      <c r="H110" s="4" t="str">
        <f>IFERROR(__xludf.DUMMYFUNCTION("""COMPUTED_VALUE"""),"DATNMSKX1")</f>
        <v>DATNMSKX1</v>
      </c>
      <c r="I110" s="5">
        <f>IFERROR(__xludf.DUMMYFUNCTION("""COMPUTED_VALUE"""),34.0)</f>
        <v>34</v>
      </c>
      <c r="J110" s="4" t="str">
        <f>IFERROR(__xludf.DUMMYFUNCTION("""COMPUTED_VALUE"""),"Tier 3")</f>
        <v>Tier 3</v>
      </c>
      <c r="K110" s="4" t="str">
        <f>IFERROR(__xludf.DUMMYFUNCTION("""COMPUTED_VALUE"""),"Active")</f>
        <v>Active</v>
      </c>
      <c r="L110" s="4" t="str">
        <f>IFERROR(__xludf.DUMMYFUNCTION("""COMPUTED_VALUE"""),"BigQuery")</f>
        <v>BigQuery</v>
      </c>
    </row>
    <row r="111">
      <c r="A111" s="4" t="str">
        <f>IFERROR(__xludf.DUMMYFUNCTION("""COMPUTED_VALUE"""),"DME1410")</f>
        <v>DME1410</v>
      </c>
      <c r="B111" s="4" t="str">
        <f>IFERROR(__xludf.DUMMYFUNCTION("""COMPUTED_VALUE"""),"Dinesh Ramesh Bhamare")</f>
        <v>Dinesh Ramesh Bhamare</v>
      </c>
      <c r="C111" s="4" t="str">
        <f>IFERROR(__xludf.DUMMYFUNCTION("""COMPUTED_VALUE"""),"dinesh.bhamare@onixnet.com")</f>
        <v>dinesh.bhamare@onixnet.com</v>
      </c>
      <c r="D111" s="4" t="str">
        <f>IFERROR(__xludf.DUMMYFUNCTION("""COMPUTED_VALUE"""),"Active")</f>
        <v>Active</v>
      </c>
      <c r="E111" s="4" t="str">
        <f>IFERROR(__xludf.DUMMYFUNCTION("""COMPUTED_VALUE"""),"Professional Services")</f>
        <v>Professional Services</v>
      </c>
      <c r="F111" s="4" t="str">
        <f>IFERROR(__xludf.DUMMYFUNCTION("""COMPUTED_VALUE"""),"Shreepad Dhok")</f>
        <v>Shreepad Dhok</v>
      </c>
      <c r="G111" s="4" t="str">
        <f>IFERROR(__xludf.DUMMYFUNCTION("""COMPUTED_VALUE"""),"Cluster - Shreepad")</f>
        <v>Cluster - Shreepad</v>
      </c>
      <c r="H111" s="4" t="str">
        <f>IFERROR(__xludf.DUMMYFUNCTION("""COMPUTED_VALUE"""),"DATDBCXN9")</f>
        <v>DATDBCXN9</v>
      </c>
      <c r="I111" s="5">
        <f>IFERROR(__xludf.DUMMYFUNCTION("""COMPUTED_VALUE"""),59.0)</f>
        <v>59</v>
      </c>
      <c r="J111" s="4" t="str">
        <f>IFERROR(__xludf.DUMMYFUNCTION("""COMPUTED_VALUE"""),"Tier 1")</f>
        <v>Tier 1</v>
      </c>
      <c r="K111" s="4" t="str">
        <f>IFERROR(__xludf.DUMMYFUNCTION("""COMPUTED_VALUE"""),"Active")</f>
        <v>Active</v>
      </c>
      <c r="L111" s="4" t="str">
        <f>IFERROR(__xludf.DUMMYFUNCTION("""COMPUTED_VALUE"""),"BigQuery")</f>
        <v>BigQuery</v>
      </c>
    </row>
    <row r="112">
      <c r="A112" s="4" t="str">
        <f>IFERROR(__xludf.DUMMYFUNCTION("""COMPUTED_VALUE"""),"DME1403")</f>
        <v>DME1403</v>
      </c>
      <c r="B112" s="4" t="str">
        <f>IFERROR(__xludf.DUMMYFUNCTION("""COMPUTED_VALUE"""),"Rushikesh Manoj Chavanda")</f>
        <v>Rushikesh Manoj Chavanda</v>
      </c>
      <c r="C112" s="4" t="str">
        <f>IFERROR(__xludf.DUMMYFUNCTION("""COMPUTED_VALUE"""),"rushikesh.chavanda@onixnet.com")</f>
        <v>rushikesh.chavanda@onixnet.com</v>
      </c>
      <c r="D112" s="4" t="str">
        <f>IFERROR(__xludf.DUMMYFUNCTION("""COMPUTED_VALUE"""),"Active")</f>
        <v>Active</v>
      </c>
      <c r="E112" s="4" t="str">
        <f>IFERROR(__xludf.DUMMYFUNCTION("""COMPUTED_VALUE"""),"Delivery Services")</f>
        <v>Delivery Services</v>
      </c>
      <c r="F112" s="4" t="str">
        <f>IFERROR(__xludf.DUMMYFUNCTION("""COMPUTED_VALUE"""),"Pooja Chawda")</f>
        <v>Pooja Chawda</v>
      </c>
      <c r="G112" s="4" t="str">
        <f>IFERROR(__xludf.DUMMYFUNCTION("""COMPUTED_VALUE"""),"Cluster - Sandeep")</f>
        <v>Cluster - Sandeep</v>
      </c>
      <c r="H112" s="4" t="str">
        <f>IFERROR(__xludf.DUMMYFUNCTION("""COMPUTED_VALUE"""),"ONIRCJFS6")</f>
        <v>ONIRCJFS6</v>
      </c>
      <c r="I112" s="5">
        <f>IFERROR(__xludf.DUMMYFUNCTION("""COMPUTED_VALUE"""),7.0)</f>
        <v>7</v>
      </c>
      <c r="J112" s="4" t="str">
        <f>IFERROR(__xludf.DUMMYFUNCTION("""COMPUTED_VALUE"""),"Tier 4")</f>
        <v>Tier 4</v>
      </c>
      <c r="K112" s="4" t="str">
        <f>IFERROR(__xludf.DUMMYFUNCTION("""COMPUTED_VALUE"""),"Active")</f>
        <v>Active</v>
      </c>
      <c r="L112" s="4" t="str">
        <f>IFERROR(__xludf.DUMMYFUNCTION("""COMPUTED_VALUE"""),"BigQuery")</f>
        <v>BigQuery</v>
      </c>
    </row>
    <row r="113">
      <c r="A113" s="4" t="str">
        <f>IFERROR(__xludf.DUMMYFUNCTION("""COMPUTED_VALUE"""),"DME1402")</f>
        <v>DME1402</v>
      </c>
      <c r="B113" s="4" t="str">
        <f>IFERROR(__xludf.DUMMYFUNCTION("""COMPUTED_VALUE"""),"Navtesh Devadatta Haratalekar")</f>
        <v>Navtesh Devadatta Haratalekar</v>
      </c>
      <c r="C113" s="4" t="str">
        <f>IFERROR(__xludf.DUMMYFUNCTION("""COMPUTED_VALUE"""),"navtesh.haratalekar@onixnet.com")</f>
        <v>navtesh.haratalekar@onixnet.com</v>
      </c>
      <c r="D113" s="4" t="str">
        <f>IFERROR(__xludf.DUMMYFUNCTION("""COMPUTED_VALUE"""),"Active")</f>
        <v>Active</v>
      </c>
      <c r="E113" s="4" t="str">
        <f>IFERROR(__xludf.DUMMYFUNCTION("""COMPUTED_VALUE"""),"Product Engineering")</f>
        <v>Product Engineering</v>
      </c>
      <c r="F113" s="4" t="str">
        <f>IFERROR(__xludf.DUMMYFUNCTION("""COMPUTED_VALUE"""),"Nishant Tiwary")</f>
        <v>Nishant Tiwary</v>
      </c>
      <c r="G113" s="4" t="str">
        <f>IFERROR(__xludf.DUMMYFUNCTION("""COMPUTED_VALUE"""),"Cluster - Mayur")</f>
        <v>Cluster - Mayur</v>
      </c>
      <c r="H113" s="4" t="str">
        <f>IFERROR(__xludf.DUMMYFUNCTION("""COMPUTED_VALUE"""),"ONINHRFW5")</f>
        <v>ONINHRFW5</v>
      </c>
      <c r="I113" s="5">
        <f>IFERROR(__xludf.DUMMYFUNCTION("""COMPUTED_VALUE"""),30.0)</f>
        <v>30</v>
      </c>
      <c r="J113" s="4" t="str">
        <f>IFERROR(__xludf.DUMMYFUNCTION("""COMPUTED_VALUE"""),"Tier 3")</f>
        <v>Tier 3</v>
      </c>
      <c r="K113" s="4" t="str">
        <f>IFERROR(__xludf.DUMMYFUNCTION("""COMPUTED_VALUE"""),"Active")</f>
        <v>Active</v>
      </c>
      <c r="L113" s="4" t="str">
        <f>IFERROR(__xludf.DUMMYFUNCTION("""COMPUTED_VALUE"""),"BigQuery")</f>
        <v>BigQuery</v>
      </c>
    </row>
    <row r="114">
      <c r="A114" s="4" t="str">
        <f>IFERROR(__xludf.DUMMYFUNCTION("""COMPUTED_VALUE"""),"DME1400")</f>
        <v>DME1400</v>
      </c>
      <c r="B114" s="4" t="str">
        <f>IFERROR(__xludf.DUMMYFUNCTION("""COMPUTED_VALUE"""),"Pratiksha Laxmanrao Mane")</f>
        <v>Pratiksha Laxmanrao Mane</v>
      </c>
      <c r="C114" s="4" t="str">
        <f>IFERROR(__xludf.DUMMYFUNCTION("""COMPUTED_VALUE"""),"pratiksha.mane@onixnet.com")</f>
        <v>pratiksha.mane@onixnet.com</v>
      </c>
      <c r="D114" s="4" t="str">
        <f>IFERROR(__xludf.DUMMYFUNCTION("""COMPUTED_VALUE"""),"Active")</f>
        <v>Active</v>
      </c>
      <c r="E114" s="4" t="str">
        <f>IFERROR(__xludf.DUMMYFUNCTION("""COMPUTED_VALUE"""),"Delivery Services")</f>
        <v>Delivery Services</v>
      </c>
      <c r="F114" s="4" t="str">
        <f>IFERROR(__xludf.DUMMYFUNCTION("""COMPUTED_VALUE"""),"Poonam Sharma")</f>
        <v>Poonam Sharma</v>
      </c>
      <c r="G114" s="4" t="str">
        <f>IFERROR(__xludf.DUMMYFUNCTION("""COMPUTED_VALUE"""),"Cluster - Sachin")</f>
        <v>Cluster - Sachin</v>
      </c>
      <c r="H114" s="4" t="str">
        <f>IFERROR(__xludf.DUMMYFUNCTION("""COMPUTED_VALUE"""),"ONIPMLPR0")</f>
        <v>ONIPMLPR0</v>
      </c>
      <c r="I114" s="5">
        <f>IFERROR(__xludf.DUMMYFUNCTION("""COMPUTED_VALUE"""),34.0)</f>
        <v>34</v>
      </c>
      <c r="J114" s="4" t="str">
        <f>IFERROR(__xludf.DUMMYFUNCTION("""COMPUTED_VALUE"""),"Tier 3")</f>
        <v>Tier 3</v>
      </c>
      <c r="K114" s="4" t="str">
        <f>IFERROR(__xludf.DUMMYFUNCTION("""COMPUTED_VALUE"""),"Active")</f>
        <v>Active</v>
      </c>
      <c r="L114" s="4" t="str">
        <f>IFERROR(__xludf.DUMMYFUNCTION("""COMPUTED_VALUE"""),"BigQuery")</f>
        <v>BigQuery</v>
      </c>
    </row>
    <row r="115">
      <c r="A115" s="4" t="str">
        <f>IFERROR(__xludf.DUMMYFUNCTION("""COMPUTED_VALUE"""),"DME1399")</f>
        <v>DME1399</v>
      </c>
      <c r="B115" s="4" t="str">
        <f>IFERROR(__xludf.DUMMYFUNCTION("""COMPUTED_VALUE"""),"Anil Jaysing Kashid")</f>
        <v>Anil Jaysing Kashid</v>
      </c>
      <c r="C115" s="4" t="str">
        <f>IFERROR(__xludf.DUMMYFUNCTION("""COMPUTED_VALUE"""),"anil.kashid@onixnet.com")</f>
        <v>anil.kashid@onixnet.com</v>
      </c>
      <c r="D115" s="4" t="str">
        <f>IFERROR(__xludf.DUMMYFUNCTION("""COMPUTED_VALUE"""),"Active")</f>
        <v>Active</v>
      </c>
      <c r="E115" s="4" t="str">
        <f>IFERROR(__xludf.DUMMYFUNCTION("""COMPUTED_VALUE"""),"Delivery Services")</f>
        <v>Delivery Services</v>
      </c>
      <c r="F115" s="4" t="str">
        <f>IFERROR(__xludf.DUMMYFUNCTION("""COMPUTED_VALUE"""),"Anushri Agrawal")</f>
        <v>Anushri Agrawal</v>
      </c>
      <c r="G115" s="4" t="str">
        <f>IFERROR(__xludf.DUMMYFUNCTION("""COMPUTED_VALUE"""),"Cluster - Gaurav")</f>
        <v>Cluster - Gaurav</v>
      </c>
      <c r="H115" s="4" t="str">
        <f>IFERROR(__xludf.DUMMYFUNCTION("""COMPUTED_VALUE"""),"ONIAKCLQ9")</f>
        <v>ONIAKCLQ9</v>
      </c>
      <c r="I115" s="5">
        <f>IFERROR(__xludf.DUMMYFUNCTION("""COMPUTED_VALUE"""),15.0)</f>
        <v>15</v>
      </c>
      <c r="J115" s="4" t="str">
        <f>IFERROR(__xludf.DUMMYFUNCTION("""COMPUTED_VALUE"""),"Tier 4")</f>
        <v>Tier 4</v>
      </c>
      <c r="K115" s="4" t="str">
        <f>IFERROR(__xludf.DUMMYFUNCTION("""COMPUTED_VALUE"""),"Active")</f>
        <v>Active</v>
      </c>
      <c r="L115" s="4" t="str">
        <f>IFERROR(__xludf.DUMMYFUNCTION("""COMPUTED_VALUE"""),"BigQuery")</f>
        <v>BigQuery</v>
      </c>
    </row>
    <row r="116">
      <c r="A116" s="4" t="str">
        <f>IFERROR(__xludf.DUMMYFUNCTION("""COMPUTED_VALUE"""),"DME1396")</f>
        <v>DME1396</v>
      </c>
      <c r="B116" s="4" t="str">
        <f>IFERROR(__xludf.DUMMYFUNCTION("""COMPUTED_VALUE"""),"Ninad Ganesh Ubarhande")</f>
        <v>Ninad Ganesh Ubarhande</v>
      </c>
      <c r="C116" s="4" t="str">
        <f>IFERROR(__xludf.DUMMYFUNCTION("""COMPUTED_VALUE"""),"ninad.ubarhande@onixnet.com")</f>
        <v>ninad.ubarhande@onixnet.com</v>
      </c>
      <c r="D116" s="4" t="str">
        <f>IFERROR(__xludf.DUMMYFUNCTION("""COMPUTED_VALUE"""),"Active")</f>
        <v>Active</v>
      </c>
      <c r="E116" s="4" t="str">
        <f>IFERROR(__xludf.DUMMYFUNCTION("""COMPUTED_VALUE"""),"Delivery Services")</f>
        <v>Delivery Services</v>
      </c>
      <c r="F116" s="4" t="str">
        <f>IFERROR(__xludf.DUMMYFUNCTION("""COMPUTED_VALUE"""),"Sneha Bhatambrekar")</f>
        <v>Sneha Bhatambrekar</v>
      </c>
      <c r="G116" s="4" t="str">
        <f>IFERROR(__xludf.DUMMYFUNCTION("""COMPUTED_VALUE"""),"Cluster - Sandeep")</f>
        <v>Cluster - Sandeep</v>
      </c>
      <c r="H116" s="4" t="str">
        <f>IFERROR(__xludf.DUMMYFUNCTION("""COMPUTED_VALUE"""),"ONINUCSI5")</f>
        <v>ONINUCSI5</v>
      </c>
      <c r="I116" s="5">
        <f>IFERROR(__xludf.DUMMYFUNCTION("""COMPUTED_VALUE"""),10.0)</f>
        <v>10</v>
      </c>
      <c r="J116" s="4" t="str">
        <f>IFERROR(__xludf.DUMMYFUNCTION("""COMPUTED_VALUE"""),"Tier 4")</f>
        <v>Tier 4</v>
      </c>
      <c r="K116" s="4" t="str">
        <f>IFERROR(__xludf.DUMMYFUNCTION("""COMPUTED_VALUE"""),"Active")</f>
        <v>Active</v>
      </c>
      <c r="L116" s="4" t="str">
        <f>IFERROR(__xludf.DUMMYFUNCTION("""COMPUTED_VALUE"""),"Google Kubernetes Engine")</f>
        <v>Google Kubernetes Engine</v>
      </c>
    </row>
    <row r="117">
      <c r="A117" s="4" t="str">
        <f>IFERROR(__xludf.DUMMYFUNCTION("""COMPUTED_VALUE"""),"DME1394")</f>
        <v>DME1394</v>
      </c>
      <c r="B117" s="4" t="str">
        <f>IFERROR(__xludf.DUMMYFUNCTION("""COMPUTED_VALUE"""),"Shriram Anil Pawar")</f>
        <v>Shriram Anil Pawar</v>
      </c>
      <c r="C117" s="4" t="str">
        <f>IFERROR(__xludf.DUMMYFUNCTION("""COMPUTED_VALUE"""),"shriram.pawar@onixnet.com")</f>
        <v>shriram.pawar@onixnet.com</v>
      </c>
      <c r="D117" s="4" t="str">
        <f>IFERROR(__xludf.DUMMYFUNCTION("""COMPUTED_VALUE"""),"Active")</f>
        <v>Active</v>
      </c>
      <c r="E117" s="4" t="str">
        <f>IFERROR(__xludf.DUMMYFUNCTION("""COMPUTED_VALUE"""),"Delivery Services")</f>
        <v>Delivery Services</v>
      </c>
      <c r="F117" s="4" t="str">
        <f>IFERROR(__xludf.DUMMYFUNCTION("""COMPUTED_VALUE"""),"Sneha Bhatambrekar")</f>
        <v>Sneha Bhatambrekar</v>
      </c>
      <c r="G117" s="4" t="str">
        <f>IFERROR(__xludf.DUMMYFUNCTION("""COMPUTED_VALUE"""),"Cluster - Sandeep")</f>
        <v>Cluster - Sandeep</v>
      </c>
      <c r="H117" s="4" t="str">
        <f>IFERROR(__xludf.DUMMYFUNCTION("""COMPUTED_VALUE"""),"DATSPARZ6")</f>
        <v>DATSPARZ6</v>
      </c>
      <c r="I117" s="5">
        <f>IFERROR(__xludf.DUMMYFUNCTION("""COMPUTED_VALUE"""),64.0)</f>
        <v>64</v>
      </c>
      <c r="J117" s="4" t="str">
        <f>IFERROR(__xludf.DUMMYFUNCTION("""COMPUTED_VALUE"""),"Tier 1")</f>
        <v>Tier 1</v>
      </c>
      <c r="K117" s="4" t="str">
        <f>IFERROR(__xludf.DUMMYFUNCTION("""COMPUTED_VALUE"""),"Active")</f>
        <v>Active</v>
      </c>
      <c r="L117" s="4" t="str">
        <f>IFERROR(__xludf.DUMMYFUNCTION("""COMPUTED_VALUE"""),"BigQuery")</f>
        <v>BigQuery</v>
      </c>
    </row>
    <row r="118">
      <c r="A118" s="4" t="str">
        <f>IFERROR(__xludf.DUMMYFUNCTION("""COMPUTED_VALUE"""),"DME1388")</f>
        <v>DME1388</v>
      </c>
      <c r="B118" s="4" t="str">
        <f>IFERROR(__xludf.DUMMYFUNCTION("""COMPUTED_VALUE"""),"Mayur Ramchandra More")</f>
        <v>Mayur Ramchandra More</v>
      </c>
      <c r="C118" s="4" t="str">
        <f>IFERROR(__xludf.DUMMYFUNCTION("""COMPUTED_VALUE"""),"mayur.more@onixnet.com")</f>
        <v>mayur.more@onixnet.com</v>
      </c>
      <c r="D118" s="4" t="str">
        <f>IFERROR(__xludf.DUMMYFUNCTION("""COMPUTED_VALUE"""),"Active")</f>
        <v>Active</v>
      </c>
      <c r="E118" s="4" t="str">
        <f>IFERROR(__xludf.DUMMYFUNCTION("""COMPUTED_VALUE"""),"Delivery Services")</f>
        <v>Delivery Services</v>
      </c>
      <c r="F118" s="4" t="str">
        <f>IFERROR(__xludf.DUMMYFUNCTION("""COMPUTED_VALUE"""),"Vishal Verma")</f>
        <v>Vishal Verma</v>
      </c>
      <c r="G118" s="4" t="str">
        <f>IFERROR(__xludf.DUMMYFUNCTION("""COMPUTED_VALUE"""),"Cluster - Sachin")</f>
        <v>Cluster - Sachin</v>
      </c>
      <c r="H118" s="4" t="str">
        <f>IFERROR(__xludf.DUMMYFUNCTION("""COMPUTED_VALUE"""),"ONIMMDTS2")</f>
        <v>ONIMMDTS2</v>
      </c>
      <c r="I118" s="5">
        <f>IFERROR(__xludf.DUMMYFUNCTION("""COMPUTED_VALUE"""),15.0)</f>
        <v>15</v>
      </c>
      <c r="J118" s="4" t="str">
        <f>IFERROR(__xludf.DUMMYFUNCTION("""COMPUTED_VALUE"""),"Tier 4")</f>
        <v>Tier 4</v>
      </c>
      <c r="K118" s="4" t="str">
        <f>IFERROR(__xludf.DUMMYFUNCTION("""COMPUTED_VALUE"""),"Active")</f>
        <v>Active</v>
      </c>
      <c r="L118" s="4" t="str">
        <f>IFERROR(__xludf.DUMMYFUNCTION("""COMPUTED_VALUE"""),"BigQuery")</f>
        <v>BigQuery</v>
      </c>
    </row>
    <row r="119">
      <c r="A119" s="4" t="str">
        <f>IFERROR(__xludf.DUMMYFUNCTION("""COMPUTED_VALUE"""),"DME1384")</f>
        <v>DME1384</v>
      </c>
      <c r="B119" s="4" t="str">
        <f>IFERROR(__xludf.DUMMYFUNCTION("""COMPUTED_VALUE"""),"Rutuja Murlidhar Ghurde")</f>
        <v>Rutuja Murlidhar Ghurde</v>
      </c>
      <c r="C119" s="4" t="str">
        <f>IFERROR(__xludf.DUMMYFUNCTION("""COMPUTED_VALUE"""),"rutuja.ghurde@onixnet.com")</f>
        <v>rutuja.ghurde@onixnet.com</v>
      </c>
      <c r="D119" s="4" t="str">
        <f>IFERROR(__xludf.DUMMYFUNCTION("""COMPUTED_VALUE"""),"Active")</f>
        <v>Active</v>
      </c>
      <c r="E119" s="4" t="str">
        <f>IFERROR(__xludf.DUMMYFUNCTION("""COMPUTED_VALUE"""),"Product Engineering")</f>
        <v>Product Engineering</v>
      </c>
      <c r="F119" s="4" t="str">
        <f>IFERROR(__xludf.DUMMYFUNCTION("""COMPUTED_VALUE"""),"Sachin Sakle")</f>
        <v>Sachin Sakle</v>
      </c>
      <c r="G119" s="4" t="str">
        <f>IFERROR(__xludf.DUMMYFUNCTION("""COMPUTED_VALUE"""),"Cluster - Mayur")</f>
        <v>Cluster - Mayur</v>
      </c>
      <c r="H119" s="4" t="str">
        <f>IFERROR(__xludf.DUMMYFUNCTION("""COMPUTED_VALUE"""),"ONIRGDPW6")</f>
        <v>ONIRGDPW6</v>
      </c>
      <c r="I119" s="5">
        <f>IFERROR(__xludf.DUMMYFUNCTION("""COMPUTED_VALUE"""),19.0)</f>
        <v>19</v>
      </c>
      <c r="J119" s="4" t="str">
        <f>IFERROR(__xludf.DUMMYFUNCTION("""COMPUTED_VALUE"""),"Tier 4")</f>
        <v>Tier 4</v>
      </c>
      <c r="K119" s="4" t="str">
        <f>IFERROR(__xludf.DUMMYFUNCTION("""COMPUTED_VALUE"""),"Active")</f>
        <v>Active</v>
      </c>
      <c r="L119" s="4" t="str">
        <f>IFERROR(__xludf.DUMMYFUNCTION("""COMPUTED_VALUE"""),"AI Applications")</f>
        <v>AI Applications</v>
      </c>
    </row>
    <row r="120">
      <c r="A120" s="4" t="str">
        <f>IFERROR(__xludf.DUMMYFUNCTION("""COMPUTED_VALUE"""),"DME1381")</f>
        <v>DME1381</v>
      </c>
      <c r="B120" s="4" t="str">
        <f>IFERROR(__xludf.DUMMYFUNCTION("""COMPUTED_VALUE"""),"Jayesh Sunil Patil")</f>
        <v>Jayesh Sunil Patil</v>
      </c>
      <c r="C120" s="4" t="str">
        <f>IFERROR(__xludf.DUMMYFUNCTION("""COMPUTED_VALUE"""),"jayesh.patil@onixnet.com")</f>
        <v>jayesh.patil@onixnet.com</v>
      </c>
      <c r="D120" s="4" t="str">
        <f>IFERROR(__xludf.DUMMYFUNCTION("""COMPUTED_VALUE"""),"Active")</f>
        <v>Active</v>
      </c>
      <c r="E120" s="4" t="str">
        <f>IFERROR(__xludf.DUMMYFUNCTION("""COMPUTED_VALUE"""),"Delivery Services")</f>
        <v>Delivery Services</v>
      </c>
      <c r="F120" s="4" t="str">
        <f>IFERROR(__xludf.DUMMYFUNCTION("""COMPUTED_VALUE"""),"Kiran Shinde")</f>
        <v>Kiran Shinde</v>
      </c>
      <c r="G120" s="4" t="str">
        <f>IFERROR(__xludf.DUMMYFUNCTION("""COMPUTED_VALUE"""),"Cluster - Gaurav")</f>
        <v>Cluster - Gaurav</v>
      </c>
      <c r="H120" s="4" t="str">
        <f>IFERROR(__xludf.DUMMYFUNCTION("""COMPUTED_VALUE"""),"ONIJPWVI6")</f>
        <v>ONIJPWVI6</v>
      </c>
      <c r="I120" s="5">
        <f>IFERROR(__xludf.DUMMYFUNCTION("""COMPUTED_VALUE"""),19.0)</f>
        <v>19</v>
      </c>
      <c r="J120" s="4" t="str">
        <f>IFERROR(__xludf.DUMMYFUNCTION("""COMPUTED_VALUE"""),"Tier 4")</f>
        <v>Tier 4</v>
      </c>
      <c r="K120" s="4" t="str">
        <f>IFERROR(__xludf.DUMMYFUNCTION("""COMPUTED_VALUE"""),"Active")</f>
        <v>Active</v>
      </c>
      <c r="L120" s="4" t="str">
        <f>IFERROR(__xludf.DUMMYFUNCTION("""COMPUTED_VALUE"""),"Google Kubernetes Engine")</f>
        <v>Google Kubernetes Engine</v>
      </c>
    </row>
    <row r="121">
      <c r="A121" s="4" t="str">
        <f>IFERROR(__xludf.DUMMYFUNCTION("""COMPUTED_VALUE"""),"DME1377")</f>
        <v>DME1377</v>
      </c>
      <c r="B121" s="4" t="str">
        <f>IFERROR(__xludf.DUMMYFUNCTION("""COMPUTED_VALUE"""),"Aditi Sudhir Kotewar")</f>
        <v>Aditi Sudhir Kotewar</v>
      </c>
      <c r="C121" s="4" t="str">
        <f>IFERROR(__xludf.DUMMYFUNCTION("""COMPUTED_VALUE"""),"aditi.kotewar@onixnet.com")</f>
        <v>aditi.kotewar@onixnet.com</v>
      </c>
      <c r="D121" s="4" t="str">
        <f>IFERROR(__xludf.DUMMYFUNCTION("""COMPUTED_VALUE"""),"Active")</f>
        <v>Active</v>
      </c>
      <c r="E121" s="4" t="str">
        <f>IFERROR(__xludf.DUMMYFUNCTION("""COMPUTED_VALUE"""),"Delivery Services")</f>
        <v>Delivery Services</v>
      </c>
      <c r="F121" s="4" t="str">
        <f>IFERROR(__xludf.DUMMYFUNCTION("""COMPUTED_VALUE"""),"Noorulla Shaik")</f>
        <v>Noorulla Shaik</v>
      </c>
      <c r="G121" s="4" t="str">
        <f>IFERROR(__xludf.DUMMYFUNCTION("""COMPUTED_VALUE"""),"Cluster - Kanhaiya")</f>
        <v>Cluster - Kanhaiya</v>
      </c>
      <c r="H121" s="4" t="str">
        <f>IFERROR(__xludf.DUMMYFUNCTION("""COMPUTED_VALUE"""),"ONIAKIKD3")</f>
        <v>ONIAKIKD3</v>
      </c>
      <c r="I121" s="5">
        <f>IFERROR(__xludf.DUMMYFUNCTION("""COMPUTED_VALUE"""),0.0)</f>
        <v>0</v>
      </c>
      <c r="J121" s="4" t="str">
        <f>IFERROR(__xludf.DUMMYFUNCTION("""COMPUTED_VALUE"""),"Tier 4")</f>
        <v>Tier 4</v>
      </c>
      <c r="K121" s="4" t="str">
        <f>IFERROR(__xludf.DUMMYFUNCTION("""COMPUTED_VALUE"""),"ID Created DRP score 0")</f>
        <v>ID Created DRP score 0</v>
      </c>
      <c r="L121" s="4"/>
    </row>
    <row r="122">
      <c r="A122" s="4" t="str">
        <f>IFERROR(__xludf.DUMMYFUNCTION("""COMPUTED_VALUE"""),"DME1368")</f>
        <v>DME1368</v>
      </c>
      <c r="B122" s="4" t="str">
        <f>IFERROR(__xludf.DUMMYFUNCTION("""COMPUTED_VALUE"""),"Pratiksha Indrasen Gaikwad")</f>
        <v>Pratiksha Indrasen Gaikwad</v>
      </c>
      <c r="C122" s="4" t="str">
        <f>IFERROR(__xludf.DUMMYFUNCTION("""COMPUTED_VALUE"""),"pratiksha.gaikwad@onixnet.com")</f>
        <v>pratiksha.gaikwad@onixnet.com</v>
      </c>
      <c r="D122" s="4" t="str">
        <f>IFERROR(__xludf.DUMMYFUNCTION("""COMPUTED_VALUE"""),"Active")</f>
        <v>Active</v>
      </c>
      <c r="E122" s="4" t="str">
        <f>IFERROR(__xludf.DUMMYFUNCTION("""COMPUTED_VALUE"""),"Delivery Services")</f>
        <v>Delivery Services</v>
      </c>
      <c r="F122" s="4" t="str">
        <f>IFERROR(__xludf.DUMMYFUNCTION("""COMPUTED_VALUE"""),"Jitender Singh")</f>
        <v>Jitender Singh</v>
      </c>
      <c r="G122" s="4" t="str">
        <f>IFERROR(__xludf.DUMMYFUNCTION("""COMPUTED_VALUE"""),"Cluster - Gaurav")</f>
        <v>Cluster - Gaurav</v>
      </c>
      <c r="H122" s="4" t="str">
        <f>IFERROR(__xludf.DUMMYFUNCTION("""COMPUTED_VALUE"""),"ONIPGKSI8")</f>
        <v>ONIPGKSI8</v>
      </c>
      <c r="I122" s="5">
        <f>IFERROR(__xludf.DUMMYFUNCTION("""COMPUTED_VALUE"""),9.0)</f>
        <v>9</v>
      </c>
      <c r="J122" s="4" t="str">
        <f>IFERROR(__xludf.DUMMYFUNCTION("""COMPUTED_VALUE"""),"Tier 4")</f>
        <v>Tier 4</v>
      </c>
      <c r="K122" s="4" t="str">
        <f>IFERROR(__xludf.DUMMYFUNCTION("""COMPUTED_VALUE"""),"Active")</f>
        <v>Active</v>
      </c>
      <c r="L122" s="4" t="str">
        <f>IFERROR(__xludf.DUMMYFUNCTION("""COMPUTED_VALUE"""),"BigQuery")</f>
        <v>BigQuery</v>
      </c>
    </row>
    <row r="123">
      <c r="A123" s="4" t="str">
        <f>IFERROR(__xludf.DUMMYFUNCTION("""COMPUTED_VALUE"""),"DME1367")</f>
        <v>DME1367</v>
      </c>
      <c r="B123" s="4" t="str">
        <f>IFERROR(__xludf.DUMMYFUNCTION("""COMPUTED_VALUE"""),"Pankaj Kumar")</f>
        <v>Pankaj Kumar</v>
      </c>
      <c r="C123" s="4" t="str">
        <f>IFERROR(__xludf.DUMMYFUNCTION("""COMPUTED_VALUE"""),"pankaj.kumar@onixnet.com")</f>
        <v>pankaj.kumar@onixnet.com</v>
      </c>
      <c r="D123" s="4" t="str">
        <f>IFERROR(__xludf.DUMMYFUNCTION("""COMPUTED_VALUE"""),"Active")</f>
        <v>Active</v>
      </c>
      <c r="E123" s="4" t="str">
        <f>IFERROR(__xludf.DUMMYFUNCTION("""COMPUTED_VALUE"""),"Delivery Services")</f>
        <v>Delivery Services</v>
      </c>
      <c r="F123" s="4" t="str">
        <f>IFERROR(__xludf.DUMMYFUNCTION("""COMPUTED_VALUE"""),"Kanhaiya Jha")</f>
        <v>Kanhaiya Jha</v>
      </c>
      <c r="G123" s="4" t="str">
        <f>IFERROR(__xludf.DUMMYFUNCTION("""COMPUTED_VALUE"""),"Cluster - Kanhaiya")</f>
        <v>Cluster - Kanhaiya</v>
      </c>
      <c r="H123" s="4" t="str">
        <f>IFERROR(__xludf.DUMMYFUNCTION("""COMPUTED_VALUE"""),"ONIPKCTL1")</f>
        <v>ONIPKCTL1</v>
      </c>
      <c r="I123" s="5">
        <f>IFERROR(__xludf.DUMMYFUNCTION("""COMPUTED_VALUE"""),10.0)</f>
        <v>10</v>
      </c>
      <c r="J123" s="4" t="str">
        <f>IFERROR(__xludf.DUMMYFUNCTION("""COMPUTED_VALUE"""),"Tier 4")</f>
        <v>Tier 4</v>
      </c>
      <c r="K123" s="4" t="str">
        <f>IFERROR(__xludf.DUMMYFUNCTION("""COMPUTED_VALUE"""),"Active")</f>
        <v>Active</v>
      </c>
      <c r="L123" s="4" t="str">
        <f>IFERROR(__xludf.DUMMYFUNCTION("""COMPUTED_VALUE"""),"BigQuery")</f>
        <v>BigQuery</v>
      </c>
    </row>
    <row r="124">
      <c r="A124" s="4" t="str">
        <f>IFERROR(__xludf.DUMMYFUNCTION("""COMPUTED_VALUE"""),"DME1365")</f>
        <v>DME1365</v>
      </c>
      <c r="B124" s="4" t="str">
        <f>IFERROR(__xludf.DUMMYFUNCTION("""COMPUTED_VALUE"""),"Gaurav Mahadev Rajukar")</f>
        <v>Gaurav Mahadev Rajukar</v>
      </c>
      <c r="C124" s="4" t="str">
        <f>IFERROR(__xludf.DUMMYFUNCTION("""COMPUTED_VALUE"""),"gaurav.rajukar@onixnet.com")</f>
        <v>gaurav.rajukar@onixnet.com</v>
      </c>
      <c r="D124" s="4" t="str">
        <f>IFERROR(__xludf.DUMMYFUNCTION("""COMPUTED_VALUE"""),"Active")</f>
        <v>Active</v>
      </c>
      <c r="E124" s="4" t="str">
        <f>IFERROR(__xludf.DUMMYFUNCTION("""COMPUTED_VALUE"""),"Product Engineering")</f>
        <v>Product Engineering</v>
      </c>
      <c r="F124" s="4" t="str">
        <f>IFERROR(__xludf.DUMMYFUNCTION("""COMPUTED_VALUE"""),"Nishant Tiwary")</f>
        <v>Nishant Tiwary</v>
      </c>
      <c r="G124" s="4" t="str">
        <f>IFERROR(__xludf.DUMMYFUNCTION("""COMPUTED_VALUE"""),"Cluster - Mayur")</f>
        <v>Cluster - Mayur</v>
      </c>
      <c r="H124" s="4" t="str">
        <f>IFERROR(__xludf.DUMMYFUNCTION("""COMPUTED_VALUE"""),"ONIGRSPQ7")</f>
        <v>ONIGRSPQ7</v>
      </c>
      <c r="I124" s="5">
        <f>IFERROR(__xludf.DUMMYFUNCTION("""COMPUTED_VALUE"""),29.0)</f>
        <v>29</v>
      </c>
      <c r="J124" s="4" t="str">
        <f>IFERROR(__xludf.DUMMYFUNCTION("""COMPUTED_VALUE"""),"Tier 3")</f>
        <v>Tier 3</v>
      </c>
      <c r="K124" s="4" t="str">
        <f>IFERROR(__xludf.DUMMYFUNCTION("""COMPUTED_VALUE"""),"Active")</f>
        <v>Active</v>
      </c>
      <c r="L124" s="4" t="str">
        <f>IFERROR(__xludf.DUMMYFUNCTION("""COMPUTED_VALUE"""),"BigQuery")</f>
        <v>BigQuery</v>
      </c>
    </row>
    <row r="125">
      <c r="A125" s="4" t="str">
        <f>IFERROR(__xludf.DUMMYFUNCTION("""COMPUTED_VALUE"""),"DME1364")</f>
        <v>DME1364</v>
      </c>
      <c r="B125" s="4" t="str">
        <f>IFERROR(__xludf.DUMMYFUNCTION("""COMPUTED_VALUE"""),"Pradnya Bapusaheb Bombale")</f>
        <v>Pradnya Bapusaheb Bombale</v>
      </c>
      <c r="C125" s="4" t="str">
        <f>IFERROR(__xludf.DUMMYFUNCTION("""COMPUTED_VALUE"""),"pradnya.bombale@onixnet.com")</f>
        <v>pradnya.bombale@onixnet.com</v>
      </c>
      <c r="D125" s="4" t="str">
        <f>IFERROR(__xludf.DUMMYFUNCTION("""COMPUTED_VALUE"""),"Active")</f>
        <v>Active</v>
      </c>
      <c r="E125" s="4" t="str">
        <f>IFERROR(__xludf.DUMMYFUNCTION("""COMPUTED_VALUE"""),"Delivery Services")</f>
        <v>Delivery Services</v>
      </c>
      <c r="F125" s="4" t="str">
        <f>IFERROR(__xludf.DUMMYFUNCTION("""COMPUTED_VALUE"""),"Birendra Kumar Negi")</f>
        <v>Birendra Kumar Negi</v>
      </c>
      <c r="G125" s="4" t="str">
        <f>IFERROR(__xludf.DUMMYFUNCTION("""COMPUTED_VALUE"""),"Cluster - Sachin")</f>
        <v>Cluster - Sachin</v>
      </c>
      <c r="H125" s="4" t="str">
        <f>IFERROR(__xludf.DUMMYFUNCTION("""COMPUTED_VALUE"""),"ONIPBJEA5")</f>
        <v>ONIPBJEA5</v>
      </c>
      <c r="I125" s="5">
        <f>IFERROR(__xludf.DUMMYFUNCTION("""COMPUTED_VALUE"""),44.0)</f>
        <v>44</v>
      </c>
      <c r="J125" s="4" t="str">
        <f>IFERROR(__xludf.DUMMYFUNCTION("""COMPUTED_VALUE"""),"Tier 2")</f>
        <v>Tier 2</v>
      </c>
      <c r="K125" s="4" t="str">
        <f>IFERROR(__xludf.DUMMYFUNCTION("""COMPUTED_VALUE"""),"Active")</f>
        <v>Active</v>
      </c>
      <c r="L125" s="4" t="str">
        <f>IFERROR(__xludf.DUMMYFUNCTION("""COMPUTED_VALUE"""),"Gemini Enterprise")</f>
        <v>Gemini Enterprise</v>
      </c>
    </row>
    <row r="126">
      <c r="A126" s="4" t="str">
        <f>IFERROR(__xludf.DUMMYFUNCTION("""COMPUTED_VALUE"""),"DME1361")</f>
        <v>DME1361</v>
      </c>
      <c r="B126" s="4" t="str">
        <f>IFERROR(__xludf.DUMMYFUNCTION("""COMPUTED_VALUE"""),"Uzma Takrim")</f>
        <v>Uzma Takrim</v>
      </c>
      <c r="C126" s="4" t="str">
        <f>IFERROR(__xludf.DUMMYFUNCTION("""COMPUTED_VALUE"""),"uzma.takrim@onixnet.com")</f>
        <v>uzma.takrim@onixnet.com</v>
      </c>
      <c r="D126" s="4" t="str">
        <f>IFERROR(__xludf.DUMMYFUNCTION("""COMPUTED_VALUE"""),"Active")</f>
        <v>Active</v>
      </c>
      <c r="E126" s="4" t="str">
        <f>IFERROR(__xludf.DUMMYFUNCTION("""COMPUTED_VALUE"""),"Delivery Services")</f>
        <v>Delivery Services</v>
      </c>
      <c r="F126" s="4" t="str">
        <f>IFERROR(__xludf.DUMMYFUNCTION("""COMPUTED_VALUE"""),"Javed Ansari")</f>
        <v>Javed Ansari</v>
      </c>
      <c r="G126" s="4" t="str">
        <f>IFERROR(__xludf.DUMMYFUNCTION("""COMPUTED_VALUE"""),"Cluster - Gaurav")</f>
        <v>Cluster - Gaurav</v>
      </c>
      <c r="H126" s="4" t="str">
        <f>IFERROR(__xludf.DUMMYFUNCTION("""COMPUTED_VALUE"""),"DATUTPWX3")</f>
        <v>DATUTPWX3</v>
      </c>
      <c r="I126" s="5">
        <f>IFERROR(__xludf.DUMMYFUNCTION("""COMPUTED_VALUE"""),11.0)</f>
        <v>11</v>
      </c>
      <c r="J126" s="4" t="str">
        <f>IFERROR(__xludf.DUMMYFUNCTION("""COMPUTED_VALUE"""),"Tier 4")</f>
        <v>Tier 4</v>
      </c>
      <c r="K126" s="4" t="str">
        <f>IFERROR(__xludf.DUMMYFUNCTION("""COMPUTED_VALUE"""),"Active")</f>
        <v>Active</v>
      </c>
      <c r="L126" s="4" t="str">
        <f>IFERROR(__xludf.DUMMYFUNCTION("""COMPUTED_VALUE"""),"BigQuery")</f>
        <v>BigQuery</v>
      </c>
    </row>
    <row r="127">
      <c r="A127" s="4" t="str">
        <f>IFERROR(__xludf.DUMMYFUNCTION("""COMPUTED_VALUE"""),"DME1359")</f>
        <v>DME1359</v>
      </c>
      <c r="B127" s="4" t="str">
        <f>IFERROR(__xludf.DUMMYFUNCTION("""COMPUTED_VALUE"""),"Trupti Vikas Pawar")</f>
        <v>Trupti Vikas Pawar</v>
      </c>
      <c r="C127" s="4" t="str">
        <f>IFERROR(__xludf.DUMMYFUNCTION("""COMPUTED_VALUE"""),"trupti.pawar@onixnet.com")</f>
        <v>trupti.pawar@onixnet.com</v>
      </c>
      <c r="D127" s="4" t="str">
        <f>IFERROR(__xludf.DUMMYFUNCTION("""COMPUTED_VALUE"""),"Active")</f>
        <v>Active</v>
      </c>
      <c r="E127" s="4" t="str">
        <f>IFERROR(__xludf.DUMMYFUNCTION("""COMPUTED_VALUE"""),"Delivery Services")</f>
        <v>Delivery Services</v>
      </c>
      <c r="F127" s="4" t="str">
        <f>IFERROR(__xludf.DUMMYFUNCTION("""COMPUTED_VALUE"""),"Shreyas Meshram")</f>
        <v>Shreyas Meshram</v>
      </c>
      <c r="G127" s="4" t="str">
        <f>IFERROR(__xludf.DUMMYFUNCTION("""COMPUTED_VALUE"""),"Cluster - Gaurav")</f>
        <v>Cluster - Gaurav</v>
      </c>
      <c r="H127" s="4" t="str">
        <f>IFERROR(__xludf.DUMMYFUNCTION("""COMPUTED_VALUE"""),"ONITPNPY7")</f>
        <v>ONITPNPY7</v>
      </c>
      <c r="I127" s="5">
        <f>IFERROR(__xludf.DUMMYFUNCTION("""COMPUTED_VALUE"""),5.0)</f>
        <v>5</v>
      </c>
      <c r="J127" s="4" t="str">
        <f>IFERROR(__xludf.DUMMYFUNCTION("""COMPUTED_VALUE"""),"Tier 4")</f>
        <v>Tier 4</v>
      </c>
      <c r="K127" s="4" t="str">
        <f>IFERROR(__xludf.DUMMYFUNCTION("""COMPUTED_VALUE"""),"Active")</f>
        <v>Active</v>
      </c>
      <c r="L127" s="4" t="str">
        <f>IFERROR(__xludf.DUMMYFUNCTION("""COMPUTED_VALUE"""),"Google Kubernetes Engine")</f>
        <v>Google Kubernetes Engine</v>
      </c>
    </row>
    <row r="128">
      <c r="A128" s="4" t="str">
        <f>IFERROR(__xludf.DUMMYFUNCTION("""COMPUTED_VALUE"""),"DME1358")</f>
        <v>DME1358</v>
      </c>
      <c r="B128" s="4" t="str">
        <f>IFERROR(__xludf.DUMMYFUNCTION("""COMPUTED_VALUE"""),"Rahul Ganesh Aage")</f>
        <v>Rahul Ganesh Aage</v>
      </c>
      <c r="C128" s="4" t="str">
        <f>IFERROR(__xludf.DUMMYFUNCTION("""COMPUTED_VALUE"""),"rahul.aage@onixnet.com")</f>
        <v>rahul.aage@onixnet.com</v>
      </c>
      <c r="D128" s="4" t="str">
        <f>IFERROR(__xludf.DUMMYFUNCTION("""COMPUTED_VALUE"""),"Active")</f>
        <v>Active</v>
      </c>
      <c r="E128" s="4" t="str">
        <f>IFERROR(__xludf.DUMMYFUNCTION("""COMPUTED_VALUE"""),"Delivery Services")</f>
        <v>Delivery Services</v>
      </c>
      <c r="F128" s="4" t="str">
        <f>IFERROR(__xludf.DUMMYFUNCTION("""COMPUTED_VALUE"""),"Rahul Gupta")</f>
        <v>Rahul Gupta</v>
      </c>
      <c r="G128" s="4" t="str">
        <f>IFERROR(__xludf.DUMMYFUNCTION("""COMPUTED_VALUE"""),"Cluster - Sachin")</f>
        <v>Cluster - Sachin</v>
      </c>
      <c r="H128" s="4" t="str">
        <f>IFERROR(__xludf.DUMMYFUNCTION("""COMPUTED_VALUE"""),"DATRA7G30")</f>
        <v>DATRA7G30</v>
      </c>
      <c r="I128" s="5">
        <f>IFERROR(__xludf.DUMMYFUNCTION("""COMPUTED_VALUE"""),16.0)</f>
        <v>16</v>
      </c>
      <c r="J128" s="4" t="str">
        <f>IFERROR(__xludf.DUMMYFUNCTION("""COMPUTED_VALUE"""),"Tier 4")</f>
        <v>Tier 4</v>
      </c>
      <c r="K128" s="4" t="str">
        <f>IFERROR(__xludf.DUMMYFUNCTION("""COMPUTED_VALUE"""),"Active")</f>
        <v>Active</v>
      </c>
      <c r="L128" s="4" t="str">
        <f>IFERROR(__xludf.DUMMYFUNCTION("""COMPUTED_VALUE"""),"BigQuery")</f>
        <v>BigQuery</v>
      </c>
    </row>
    <row r="129">
      <c r="A129" s="4" t="str">
        <f>IFERROR(__xludf.DUMMYFUNCTION("""COMPUTED_VALUE"""),"DME1419")</f>
        <v>DME1419</v>
      </c>
      <c r="B129" s="4" t="str">
        <f>IFERROR(__xludf.DUMMYFUNCTION("""COMPUTED_VALUE"""),"Punam Sanjay Chandgude")</f>
        <v>Punam Sanjay Chandgude</v>
      </c>
      <c r="C129" s="4" t="str">
        <f>IFERROR(__xludf.DUMMYFUNCTION("""COMPUTED_VALUE"""),"punam.chanduge@onixnet.com")</f>
        <v>punam.chanduge@onixnet.com</v>
      </c>
      <c r="D129" s="4" t="str">
        <f>IFERROR(__xludf.DUMMYFUNCTION("""COMPUTED_VALUE"""),"Active")</f>
        <v>Active</v>
      </c>
      <c r="E129" s="4" t="str">
        <f>IFERROR(__xludf.DUMMYFUNCTION("""COMPUTED_VALUE"""),"Delivery Services")</f>
        <v>Delivery Services</v>
      </c>
      <c r="F129" s="4" t="str">
        <f>IFERROR(__xludf.DUMMYFUNCTION("""COMPUTED_VALUE"""),"Shreyas Meshram")</f>
        <v>Shreyas Meshram</v>
      </c>
      <c r="G129" s="4" t="str">
        <f>IFERROR(__xludf.DUMMYFUNCTION("""COMPUTED_VALUE"""),"Cluster - Gaurav")</f>
        <v>Cluster - Gaurav</v>
      </c>
      <c r="H129" s="4" t="str">
        <f>IFERROR(__xludf.DUMMYFUNCTION("""COMPUTED_VALUE"""),"DATPCIFU4")</f>
        <v>DATPCIFU4</v>
      </c>
      <c r="I129" s="5">
        <f>IFERROR(__xludf.DUMMYFUNCTION("""COMPUTED_VALUE"""),29.0)</f>
        <v>29</v>
      </c>
      <c r="J129" s="4" t="str">
        <f>IFERROR(__xludf.DUMMYFUNCTION("""COMPUTED_VALUE"""),"Tier 3")</f>
        <v>Tier 3</v>
      </c>
      <c r="K129" s="4" t="str">
        <f>IFERROR(__xludf.DUMMYFUNCTION("""COMPUTED_VALUE"""),"Active")</f>
        <v>Active</v>
      </c>
      <c r="L129" s="4" t="str">
        <f>IFERROR(__xludf.DUMMYFUNCTION("""COMPUTED_VALUE"""),"BigQuery")</f>
        <v>BigQuery</v>
      </c>
    </row>
    <row r="130">
      <c r="A130" s="4" t="str">
        <f>IFERROR(__xludf.DUMMYFUNCTION("""COMPUTED_VALUE"""),"DME1430")</f>
        <v>DME1430</v>
      </c>
      <c r="B130" s="4" t="str">
        <f>IFERROR(__xludf.DUMMYFUNCTION("""COMPUTED_VALUE"""),"Anil Ramchandra Sutar")</f>
        <v>Anil Ramchandra Sutar</v>
      </c>
      <c r="C130" s="4" t="str">
        <f>IFERROR(__xludf.DUMMYFUNCTION("""COMPUTED_VALUE"""),"anil.sutar@onixnet.com")</f>
        <v>anil.sutar@onixnet.com</v>
      </c>
      <c r="D130" s="4" t="str">
        <f>IFERROR(__xludf.DUMMYFUNCTION("""COMPUTED_VALUE"""),"Active")</f>
        <v>Active</v>
      </c>
      <c r="E130" s="4" t="str">
        <f>IFERROR(__xludf.DUMMYFUNCTION("""COMPUTED_VALUE"""),"Delivery Services")</f>
        <v>Delivery Services</v>
      </c>
      <c r="F130" s="4" t="str">
        <f>IFERROR(__xludf.DUMMYFUNCTION("""COMPUTED_VALUE"""),"Rabindra Nayak")</f>
        <v>Rabindra Nayak</v>
      </c>
      <c r="G130" s="4" t="str">
        <f>IFERROR(__xludf.DUMMYFUNCTION("""COMPUTED_VALUE"""),"Cluster - Sagar")</f>
        <v>Cluster - Sagar</v>
      </c>
      <c r="H130" s="4" t="str">
        <f>IFERROR(__xludf.DUMMYFUNCTION("""COMPUTED_VALUE"""),"ONIASGEA6")</f>
        <v>ONIASGEA6</v>
      </c>
      <c r="I130" s="5">
        <f>IFERROR(__xludf.DUMMYFUNCTION("""COMPUTED_VALUE"""),14.0)</f>
        <v>14</v>
      </c>
      <c r="J130" s="4" t="str">
        <f>IFERROR(__xludf.DUMMYFUNCTION("""COMPUTED_VALUE"""),"Tier 4")</f>
        <v>Tier 4</v>
      </c>
      <c r="K130" s="4" t="str">
        <f>IFERROR(__xludf.DUMMYFUNCTION("""COMPUTED_VALUE"""),"Active")</f>
        <v>Active</v>
      </c>
      <c r="L130" s="4" t="str">
        <f>IFERROR(__xludf.DUMMYFUNCTION("""COMPUTED_VALUE"""),"Google Kubernetes Engine")</f>
        <v>Google Kubernetes Engine</v>
      </c>
    </row>
    <row r="131">
      <c r="A131" s="4" t="str">
        <f>IFERROR(__xludf.DUMMYFUNCTION("""COMPUTED_VALUE"""),"DME1428")</f>
        <v>DME1428</v>
      </c>
      <c r="B131" s="4" t="str">
        <f>IFERROR(__xludf.DUMMYFUNCTION("""COMPUTED_VALUE"""),"Somesh Sunil Daterao")</f>
        <v>Somesh Sunil Daterao</v>
      </c>
      <c r="C131" s="4" t="str">
        <f>IFERROR(__xludf.DUMMYFUNCTION("""COMPUTED_VALUE"""),"somesh.daterao@onixnet.com")</f>
        <v>somesh.daterao@onixnet.com</v>
      </c>
      <c r="D131" s="4" t="str">
        <f>IFERROR(__xludf.DUMMYFUNCTION("""COMPUTED_VALUE"""),"Active")</f>
        <v>Active</v>
      </c>
      <c r="E131" s="4" t="str">
        <f>IFERROR(__xludf.DUMMYFUNCTION("""COMPUTED_VALUE"""),"Delivery Services")</f>
        <v>Delivery Services</v>
      </c>
      <c r="F131" s="4" t="str">
        <f>IFERROR(__xludf.DUMMYFUNCTION("""COMPUTED_VALUE"""),"Mithilesh Pardeshi")</f>
        <v>Mithilesh Pardeshi</v>
      </c>
      <c r="G131" s="4" t="str">
        <f>IFERROR(__xludf.DUMMYFUNCTION("""COMPUTED_VALUE"""),"Cluster - Gaurav")</f>
        <v>Cluster - Gaurav</v>
      </c>
      <c r="H131" s="4" t="str">
        <f>IFERROR(__xludf.DUMMYFUNCTION("""COMPUTED_VALUE"""),"ONISDOOD8")</f>
        <v>ONISDOOD8</v>
      </c>
      <c r="I131" s="5">
        <f>IFERROR(__xludf.DUMMYFUNCTION("""COMPUTED_VALUE"""),27.0)</f>
        <v>27</v>
      </c>
      <c r="J131" s="4" t="str">
        <f>IFERROR(__xludf.DUMMYFUNCTION("""COMPUTED_VALUE"""),"Tier 3")</f>
        <v>Tier 3</v>
      </c>
      <c r="K131" s="4" t="str">
        <f>IFERROR(__xludf.DUMMYFUNCTION("""COMPUTED_VALUE"""),"Active")</f>
        <v>Active</v>
      </c>
      <c r="L131" s="4" t="str">
        <f>IFERROR(__xludf.DUMMYFUNCTION("""COMPUTED_VALUE"""),"BigQuery")</f>
        <v>BigQuery</v>
      </c>
    </row>
    <row r="132">
      <c r="A132" s="4" t="str">
        <f>IFERROR(__xludf.DUMMYFUNCTION("""COMPUTED_VALUE"""),"DME1442")</f>
        <v>DME1442</v>
      </c>
      <c r="B132" s="4" t="str">
        <f>IFERROR(__xludf.DUMMYFUNCTION("""COMPUTED_VALUE"""),"Marut Misra")</f>
        <v>Marut Misra</v>
      </c>
      <c r="C132" s="4" t="str">
        <f>IFERROR(__xludf.DUMMYFUNCTION("""COMPUTED_VALUE"""),"marut.misra@onixnet.com")</f>
        <v>marut.misra@onixnet.com</v>
      </c>
      <c r="D132" s="4" t="str">
        <f>IFERROR(__xludf.DUMMYFUNCTION("""COMPUTED_VALUE"""),"Active")</f>
        <v>Active</v>
      </c>
      <c r="E132" s="4" t="str">
        <f>IFERROR(__xludf.DUMMYFUNCTION("""COMPUTED_VALUE"""),"Delivery Services")</f>
        <v>Delivery Services</v>
      </c>
      <c r="F132" s="4" t="str">
        <f>IFERROR(__xludf.DUMMYFUNCTION("""COMPUTED_VALUE"""),"Neeta Gawrha")</f>
        <v>Neeta Gawrha</v>
      </c>
      <c r="G132" s="4" t="str">
        <f>IFERROR(__xludf.DUMMYFUNCTION("""COMPUTED_VALUE"""),"Cluster - Sachin")</f>
        <v>Cluster - Sachin</v>
      </c>
      <c r="H132" s="4" t="str">
        <f>IFERROR(__xludf.DUMMYFUNCTION("""COMPUTED_VALUE"""),"ONIMMVAQ2")</f>
        <v>ONIMMVAQ2</v>
      </c>
      <c r="I132" s="5">
        <f>IFERROR(__xludf.DUMMYFUNCTION("""COMPUTED_VALUE"""),29.0)</f>
        <v>29</v>
      </c>
      <c r="J132" s="4" t="str">
        <f>IFERROR(__xludf.DUMMYFUNCTION("""COMPUTED_VALUE"""),"Tier 3")</f>
        <v>Tier 3</v>
      </c>
      <c r="K132" s="4" t="str">
        <f>IFERROR(__xludf.DUMMYFUNCTION("""COMPUTED_VALUE"""),"Active")</f>
        <v>Active</v>
      </c>
      <c r="L132" s="4" t="str">
        <f>IFERROR(__xludf.DUMMYFUNCTION("""COMPUTED_VALUE"""),"BigQuery")</f>
        <v>BigQuery</v>
      </c>
    </row>
    <row r="133">
      <c r="A133" s="4" t="str">
        <f>IFERROR(__xludf.DUMMYFUNCTION("""COMPUTED_VALUE"""),"DME1438")</f>
        <v>DME1438</v>
      </c>
      <c r="B133" s="4" t="str">
        <f>IFERROR(__xludf.DUMMYFUNCTION("""COMPUTED_VALUE"""),"Abdul Salam")</f>
        <v>Abdul Salam</v>
      </c>
      <c r="C133" s="4" t="str">
        <f>IFERROR(__xludf.DUMMYFUNCTION("""COMPUTED_VALUE"""),"abdul.salam@onixnet.com")</f>
        <v>abdul.salam@onixnet.com</v>
      </c>
      <c r="D133" s="4" t="str">
        <f>IFERROR(__xludf.DUMMYFUNCTION("""COMPUTED_VALUE"""),"Active")</f>
        <v>Active</v>
      </c>
      <c r="E133" s="4" t="str">
        <f>IFERROR(__xludf.DUMMYFUNCTION("""COMPUTED_VALUE"""),"Delivery Services")</f>
        <v>Delivery Services</v>
      </c>
      <c r="F133" s="4" t="str">
        <f>IFERROR(__xludf.DUMMYFUNCTION("""COMPUTED_VALUE"""),"Sneha Bhatambrekar")</f>
        <v>Sneha Bhatambrekar</v>
      </c>
      <c r="G133" s="4" t="str">
        <f>IFERROR(__xludf.DUMMYFUNCTION("""COMPUTED_VALUE"""),"Cluster - Sandeep")</f>
        <v>Cluster - Sandeep</v>
      </c>
      <c r="H133" s="4" t="str">
        <f>IFERROR(__xludf.DUMMYFUNCTION("""COMPUTED_VALUE"""),"ONIASCLC4")</f>
        <v>ONIASCLC4</v>
      </c>
      <c r="I133" s="5">
        <f>IFERROR(__xludf.DUMMYFUNCTION("""COMPUTED_VALUE"""),54.0)</f>
        <v>54</v>
      </c>
      <c r="J133" s="4" t="str">
        <f>IFERROR(__xludf.DUMMYFUNCTION("""COMPUTED_VALUE"""),"Tier 1")</f>
        <v>Tier 1</v>
      </c>
      <c r="K133" s="4" t="str">
        <f>IFERROR(__xludf.DUMMYFUNCTION("""COMPUTED_VALUE"""),"Active")</f>
        <v>Active</v>
      </c>
      <c r="L133" s="4" t="str">
        <f>IFERROR(__xludf.DUMMYFUNCTION("""COMPUTED_VALUE"""),"BigQuery")</f>
        <v>BigQuery</v>
      </c>
    </row>
    <row r="134">
      <c r="A134" s="4" t="str">
        <f>IFERROR(__xludf.DUMMYFUNCTION("""COMPUTED_VALUE"""),"DME1436")</f>
        <v>DME1436</v>
      </c>
      <c r="B134" s="4" t="str">
        <f>IFERROR(__xludf.DUMMYFUNCTION("""COMPUTED_VALUE"""),"Ankita Jaywantrao Patil")</f>
        <v>Ankita Jaywantrao Patil</v>
      </c>
      <c r="C134" s="4" t="str">
        <f>IFERROR(__xludf.DUMMYFUNCTION("""COMPUTED_VALUE"""),"ankita.patil@onixnet.com")</f>
        <v>ankita.patil@onixnet.com</v>
      </c>
      <c r="D134" s="4" t="str">
        <f>IFERROR(__xludf.DUMMYFUNCTION("""COMPUTED_VALUE"""),"Active")</f>
        <v>Active</v>
      </c>
      <c r="E134" s="4" t="str">
        <f>IFERROR(__xludf.DUMMYFUNCTION("""COMPUTED_VALUE"""),"Product Engineering")</f>
        <v>Product Engineering</v>
      </c>
      <c r="F134" s="4" t="str">
        <f>IFERROR(__xludf.DUMMYFUNCTION("""COMPUTED_VALUE"""),"Shweta Duratkar")</f>
        <v>Shweta Duratkar</v>
      </c>
      <c r="G134" s="4" t="str">
        <f>IFERROR(__xludf.DUMMYFUNCTION("""COMPUTED_VALUE"""),"Cluster - Mayur")</f>
        <v>Cluster - Mayur</v>
      </c>
      <c r="H134" s="4" t="str">
        <f>IFERROR(__xludf.DUMMYFUNCTION("""COMPUTED_VALUE"""),"ONIAPWVH3")</f>
        <v>ONIAPWVH3</v>
      </c>
      <c r="I134" s="5">
        <f>IFERROR(__xludf.DUMMYFUNCTION("""COMPUTED_VALUE"""),33.0)</f>
        <v>33</v>
      </c>
      <c r="J134" s="4" t="str">
        <f>IFERROR(__xludf.DUMMYFUNCTION("""COMPUTED_VALUE"""),"Tier 3")</f>
        <v>Tier 3</v>
      </c>
      <c r="K134" s="4" t="str">
        <f>IFERROR(__xludf.DUMMYFUNCTION("""COMPUTED_VALUE"""),"Active")</f>
        <v>Active</v>
      </c>
      <c r="L134" s="4" t="str">
        <f>IFERROR(__xludf.DUMMYFUNCTION("""COMPUTED_VALUE"""),"AI Applications")</f>
        <v>AI Applications</v>
      </c>
    </row>
    <row r="135">
      <c r="A135" s="4" t="str">
        <f>IFERROR(__xludf.DUMMYFUNCTION("""COMPUTED_VALUE"""),"DME1435")</f>
        <v>DME1435</v>
      </c>
      <c r="B135" s="4" t="str">
        <f>IFERROR(__xludf.DUMMYFUNCTION("""COMPUTED_VALUE"""),"Amit Prithviraj Malav")</f>
        <v>Amit Prithviraj Malav</v>
      </c>
      <c r="C135" s="4" t="str">
        <f>IFERROR(__xludf.DUMMYFUNCTION("""COMPUTED_VALUE"""),"amit.malav@onixnet.com")</f>
        <v>amit.malav@onixnet.com</v>
      </c>
      <c r="D135" s="4" t="str">
        <f>IFERROR(__xludf.DUMMYFUNCTION("""COMPUTED_VALUE"""),"Active")</f>
        <v>Active</v>
      </c>
      <c r="E135" s="4" t="str">
        <f>IFERROR(__xludf.DUMMYFUNCTION("""COMPUTED_VALUE"""),"Delivery Services")</f>
        <v>Delivery Services</v>
      </c>
      <c r="F135" s="4" t="str">
        <f>IFERROR(__xludf.DUMMYFUNCTION("""COMPUTED_VALUE"""),"Amish Ojha")</f>
        <v>Amish Ojha</v>
      </c>
      <c r="G135" s="4" t="str">
        <f>IFERROR(__xludf.DUMMYFUNCTION("""COMPUTED_VALUE"""),"Cluster - Gaurav")</f>
        <v>Cluster - Gaurav</v>
      </c>
      <c r="H135" s="4" t="str">
        <f>IFERROR(__xludf.DUMMYFUNCTION("""COMPUTED_VALUE"""),"ONIAMREM3")</f>
        <v>ONIAMREM3</v>
      </c>
      <c r="I135" s="5">
        <f>IFERROR(__xludf.DUMMYFUNCTION("""COMPUTED_VALUE"""),44.0)</f>
        <v>44</v>
      </c>
      <c r="J135" s="4" t="str">
        <f>IFERROR(__xludf.DUMMYFUNCTION("""COMPUTED_VALUE"""),"Tier 2")</f>
        <v>Tier 2</v>
      </c>
      <c r="K135" s="4" t="str">
        <f>IFERROR(__xludf.DUMMYFUNCTION("""COMPUTED_VALUE"""),"Active")</f>
        <v>Active</v>
      </c>
      <c r="L135" s="4" t="str">
        <f>IFERROR(__xludf.DUMMYFUNCTION("""COMPUTED_VALUE"""),"BigQuery")</f>
        <v>BigQuery</v>
      </c>
    </row>
    <row r="136">
      <c r="A136" s="4" t="str">
        <f>IFERROR(__xludf.DUMMYFUNCTION("""COMPUTED_VALUE"""),"DME1432")</f>
        <v>DME1432</v>
      </c>
      <c r="B136" s="4" t="str">
        <f>IFERROR(__xludf.DUMMYFUNCTION("""COMPUTED_VALUE"""),"Arihant Jain")</f>
        <v>Arihant Jain</v>
      </c>
      <c r="C136" s="4" t="str">
        <f>IFERROR(__xludf.DUMMYFUNCTION("""COMPUTED_VALUE"""),"arihant.jain@onixnet.com")</f>
        <v>arihant.jain@onixnet.com</v>
      </c>
      <c r="D136" s="4" t="str">
        <f>IFERROR(__xludf.DUMMYFUNCTION("""COMPUTED_VALUE"""),"Active")</f>
        <v>Active</v>
      </c>
      <c r="E136" s="4" t="str">
        <f>IFERROR(__xludf.DUMMYFUNCTION("""COMPUTED_VALUE"""),"Eagle Assessment")</f>
        <v>Eagle Assessment</v>
      </c>
      <c r="F136" s="4" t="str">
        <f>IFERROR(__xludf.DUMMYFUNCTION("""COMPUTED_VALUE"""),"Vinod Ghogare")</f>
        <v>Vinod Ghogare</v>
      </c>
      <c r="G136" s="4" t="str">
        <f>IFERROR(__xludf.DUMMYFUNCTION("""COMPUTED_VALUE"""),"Cluster - Kalpa")</f>
        <v>Cluster - Kalpa</v>
      </c>
      <c r="H136" s="4" t="str">
        <f>IFERROR(__xludf.DUMMYFUNCTION("""COMPUTED_VALUE"""),"ONIAJMLV8")</f>
        <v>ONIAJMLV8</v>
      </c>
      <c r="I136" s="5">
        <f>IFERROR(__xludf.DUMMYFUNCTION("""COMPUTED_VALUE"""),0.0)</f>
        <v>0</v>
      </c>
      <c r="J136" s="4" t="str">
        <f>IFERROR(__xludf.DUMMYFUNCTION("""COMPUTED_VALUE"""),"Tier 4")</f>
        <v>Tier 4</v>
      </c>
      <c r="K136" s="4" t="str">
        <f>IFERROR(__xludf.DUMMYFUNCTION("""COMPUTED_VALUE"""),"ID Created DRP score 0")</f>
        <v>ID Created DRP score 0</v>
      </c>
      <c r="L136" s="4"/>
    </row>
    <row r="137">
      <c r="A137" s="4" t="str">
        <f>IFERROR(__xludf.DUMMYFUNCTION("""COMPUTED_VALUE"""),"DME1448")</f>
        <v>DME1448</v>
      </c>
      <c r="B137" s="4" t="str">
        <f>IFERROR(__xludf.DUMMYFUNCTION("""COMPUTED_VALUE"""),"Pradnya Deepak Pandit")</f>
        <v>Pradnya Deepak Pandit</v>
      </c>
      <c r="C137" s="4" t="str">
        <f>IFERROR(__xludf.DUMMYFUNCTION("""COMPUTED_VALUE"""),"pradnya.pandit@onixnet.com")</f>
        <v>pradnya.pandit@onixnet.com</v>
      </c>
      <c r="D137" s="4" t="str">
        <f>IFERROR(__xludf.DUMMYFUNCTION("""COMPUTED_VALUE"""),"Active")</f>
        <v>Active</v>
      </c>
      <c r="E137" s="4" t="str">
        <f>IFERROR(__xludf.DUMMYFUNCTION("""COMPUTED_VALUE"""),"Delivery Services")</f>
        <v>Delivery Services</v>
      </c>
      <c r="F137" s="4" t="str">
        <f>IFERROR(__xludf.DUMMYFUNCTION("""COMPUTED_VALUE"""),"Shubham Agnihotri")</f>
        <v>Shubham Agnihotri</v>
      </c>
      <c r="G137" s="4" t="str">
        <f>IFERROR(__xludf.DUMMYFUNCTION("""COMPUTED_VALUE"""),"Cluster - Gaurav")</f>
        <v>Cluster - Gaurav</v>
      </c>
      <c r="H137" s="4" t="str">
        <f>IFERROR(__xludf.DUMMYFUNCTION("""COMPUTED_VALUE"""),"ONIPPQAK9")</f>
        <v>ONIPPQAK9</v>
      </c>
      <c r="I137" s="5">
        <f>IFERROR(__xludf.DUMMYFUNCTION("""COMPUTED_VALUE"""),15.0)</f>
        <v>15</v>
      </c>
      <c r="J137" s="4" t="str">
        <f>IFERROR(__xludf.DUMMYFUNCTION("""COMPUTED_VALUE"""),"Tier 4")</f>
        <v>Tier 4</v>
      </c>
      <c r="K137" s="4" t="str">
        <f>IFERROR(__xludf.DUMMYFUNCTION("""COMPUTED_VALUE"""),"Active")</f>
        <v>Active</v>
      </c>
      <c r="L137" s="4" t="str">
        <f>IFERROR(__xludf.DUMMYFUNCTION("""COMPUTED_VALUE"""),"Google Cloud Networking")</f>
        <v>Google Cloud Networking</v>
      </c>
    </row>
    <row r="138">
      <c r="A138" s="4" t="str">
        <f>IFERROR(__xludf.DUMMYFUNCTION("""COMPUTED_VALUE"""),"DME1456")</f>
        <v>DME1456</v>
      </c>
      <c r="B138" s="4" t="str">
        <f>IFERROR(__xludf.DUMMYFUNCTION("""COMPUTED_VALUE"""),"Vikram Shivaji Nikam")</f>
        <v>Vikram Shivaji Nikam</v>
      </c>
      <c r="C138" s="4" t="str">
        <f>IFERROR(__xludf.DUMMYFUNCTION("""COMPUTED_VALUE"""),"vikram.nikam@onixnet.com")</f>
        <v>vikram.nikam@onixnet.com</v>
      </c>
      <c r="D138" s="4" t="str">
        <f>IFERROR(__xludf.DUMMYFUNCTION("""COMPUTED_VALUE"""),"Active")</f>
        <v>Active</v>
      </c>
      <c r="E138" s="4" t="str">
        <f>IFERROR(__xludf.DUMMYFUNCTION("""COMPUTED_VALUE"""),"Delivery Services")</f>
        <v>Delivery Services</v>
      </c>
      <c r="F138" s="4" t="str">
        <f>IFERROR(__xludf.DUMMYFUNCTION("""COMPUTED_VALUE"""),"Aakash Vinod Tolani")</f>
        <v>Aakash Vinod Tolani</v>
      </c>
      <c r="G138" s="4" t="str">
        <f>IFERROR(__xludf.DUMMYFUNCTION("""COMPUTED_VALUE"""),"Cluster - Shreepad")</f>
        <v>Cluster - Shreepad</v>
      </c>
      <c r="H138" s="4" t="str">
        <f>IFERROR(__xludf.DUMMYFUNCTION("""COMPUTED_VALUE"""),"DATVNFPZ0")</f>
        <v>DATVNFPZ0</v>
      </c>
      <c r="I138" s="5">
        <f>IFERROR(__xludf.DUMMYFUNCTION("""COMPUTED_VALUE"""),12.0)</f>
        <v>12</v>
      </c>
      <c r="J138" s="4" t="str">
        <f>IFERROR(__xludf.DUMMYFUNCTION("""COMPUTED_VALUE"""),"Tier 4")</f>
        <v>Tier 4</v>
      </c>
      <c r="K138" s="4" t="str">
        <f>IFERROR(__xludf.DUMMYFUNCTION("""COMPUTED_VALUE"""),"Active")</f>
        <v>Active</v>
      </c>
      <c r="L138" s="4" t="str">
        <f>IFERROR(__xludf.DUMMYFUNCTION("""COMPUTED_VALUE"""),"Google Kubernetes Engine")</f>
        <v>Google Kubernetes Engine</v>
      </c>
    </row>
    <row r="139">
      <c r="A139" s="4" t="str">
        <f>IFERROR(__xludf.DUMMYFUNCTION("""COMPUTED_VALUE"""),"DME1467")</f>
        <v>DME1467</v>
      </c>
      <c r="B139" s="4" t="str">
        <f>IFERROR(__xludf.DUMMYFUNCTION("""COMPUTED_VALUE"""),"Rahul Pandurang Shelake")</f>
        <v>Rahul Pandurang Shelake</v>
      </c>
      <c r="C139" s="4" t="str">
        <f>IFERROR(__xludf.DUMMYFUNCTION("""COMPUTED_VALUE"""),"rahul.shelake@onixnet.com")</f>
        <v>rahul.shelake@onixnet.com</v>
      </c>
      <c r="D139" s="4" t="str">
        <f>IFERROR(__xludf.DUMMYFUNCTION("""COMPUTED_VALUE"""),"Active")</f>
        <v>Active</v>
      </c>
      <c r="E139" s="4" t="str">
        <f>IFERROR(__xludf.DUMMYFUNCTION("""COMPUTED_VALUE"""),"Delivery Services")</f>
        <v>Delivery Services</v>
      </c>
      <c r="F139" s="4" t="str">
        <f>IFERROR(__xludf.DUMMYFUNCTION("""COMPUTED_VALUE"""),"Rahul Chandak")</f>
        <v>Rahul Chandak</v>
      </c>
      <c r="G139" s="4" t="str">
        <f>IFERROR(__xludf.DUMMYFUNCTION("""COMPUTED_VALUE"""),"Cluster - Sagar")</f>
        <v>Cluster - Sagar</v>
      </c>
      <c r="H139" s="4" t="str">
        <f>IFERROR(__xludf.DUMMYFUNCTION("""COMPUTED_VALUE"""),"ONIRSWFF3")</f>
        <v>ONIRSWFF3</v>
      </c>
      <c r="I139" s="5">
        <f>IFERROR(__xludf.DUMMYFUNCTION("""COMPUTED_VALUE"""),10.0)</f>
        <v>10</v>
      </c>
      <c r="J139" s="4" t="str">
        <f>IFERROR(__xludf.DUMMYFUNCTION("""COMPUTED_VALUE"""),"Tier 4")</f>
        <v>Tier 4</v>
      </c>
      <c r="K139" s="4" t="str">
        <f>IFERROR(__xludf.DUMMYFUNCTION("""COMPUTED_VALUE"""),"Active")</f>
        <v>Active</v>
      </c>
      <c r="L139" s="4" t="str">
        <f>IFERROR(__xludf.DUMMYFUNCTION("""COMPUTED_VALUE"""),"BigQuery")</f>
        <v>BigQuery</v>
      </c>
    </row>
    <row r="140">
      <c r="A140" s="4" t="str">
        <f>IFERROR(__xludf.DUMMYFUNCTION("""COMPUTED_VALUE"""),"DME1479")</f>
        <v>DME1479</v>
      </c>
      <c r="B140" s="4" t="str">
        <f>IFERROR(__xludf.DUMMYFUNCTION("""COMPUTED_VALUE"""),"Sagar Surana")</f>
        <v>Sagar Surana</v>
      </c>
      <c r="C140" s="4" t="str">
        <f>IFERROR(__xludf.DUMMYFUNCTION("""COMPUTED_VALUE"""),"sagar.surana@onixnet.com")</f>
        <v>sagar.surana@onixnet.com</v>
      </c>
      <c r="D140" s="4" t="str">
        <f>IFERROR(__xludf.DUMMYFUNCTION("""COMPUTED_VALUE"""),"Active")</f>
        <v>Active</v>
      </c>
      <c r="E140" s="4" t="str">
        <f>IFERROR(__xludf.DUMMYFUNCTION("""COMPUTED_VALUE"""),"Delivery Services")</f>
        <v>Delivery Services</v>
      </c>
      <c r="F140" s="4" t="str">
        <f>IFERROR(__xludf.DUMMYFUNCTION("""COMPUTED_VALUE"""),"Gaurav Bharara")</f>
        <v>Gaurav Bharara</v>
      </c>
      <c r="G140" s="4" t="str">
        <f>IFERROR(__xludf.DUMMYFUNCTION("""COMPUTED_VALUE"""),"Cluster - Sagar")</f>
        <v>Cluster - Sagar</v>
      </c>
      <c r="H140" s="4" t="str">
        <f>IFERROR(__xludf.DUMMYFUNCTION("""COMPUTED_VALUE"""),"ONISSCEE0")</f>
        <v>ONISSCEE0</v>
      </c>
      <c r="I140" s="5">
        <f>IFERROR(__xludf.DUMMYFUNCTION("""COMPUTED_VALUE"""),54.0)</f>
        <v>54</v>
      </c>
      <c r="J140" s="4" t="str">
        <f>IFERROR(__xludf.DUMMYFUNCTION("""COMPUTED_VALUE"""),"Tier 1")</f>
        <v>Tier 1</v>
      </c>
      <c r="K140" s="4" t="str">
        <f>IFERROR(__xludf.DUMMYFUNCTION("""COMPUTED_VALUE"""),"Active")</f>
        <v>Active</v>
      </c>
      <c r="L140" s="4" t="str">
        <f>IFERROR(__xludf.DUMMYFUNCTION("""COMPUTED_VALUE"""),"BigQuery")</f>
        <v>BigQuery</v>
      </c>
    </row>
    <row r="141">
      <c r="A141" s="4" t="str">
        <f>IFERROR(__xludf.DUMMYFUNCTION("""COMPUTED_VALUE"""),"DME1478")</f>
        <v>DME1478</v>
      </c>
      <c r="B141" s="4" t="str">
        <f>IFERROR(__xludf.DUMMYFUNCTION("""COMPUTED_VALUE"""),"Binoy Samuel")</f>
        <v>Binoy Samuel</v>
      </c>
      <c r="C141" s="4" t="str">
        <f>IFERROR(__xludf.DUMMYFUNCTION("""COMPUTED_VALUE"""),"binoy.samuel@onixnet.com")</f>
        <v>binoy.samuel@onixnet.com</v>
      </c>
      <c r="D141" s="4" t="str">
        <f>IFERROR(__xludf.DUMMYFUNCTION("""COMPUTED_VALUE"""),"Active")</f>
        <v>Active</v>
      </c>
      <c r="E141" s="4" t="str">
        <f>IFERROR(__xludf.DUMMYFUNCTION("""COMPUTED_VALUE"""),"Product Engineering")</f>
        <v>Product Engineering</v>
      </c>
      <c r="F141" s="4" t="str">
        <f>IFERROR(__xludf.DUMMYFUNCTION("""COMPUTED_VALUE"""),"Mayur Jain")</f>
        <v>Mayur Jain</v>
      </c>
      <c r="G141" s="4" t="str">
        <f>IFERROR(__xludf.DUMMYFUNCTION("""COMPUTED_VALUE"""),"Cluster - Mayur")</f>
        <v>Cluster - Mayur</v>
      </c>
      <c r="H141" s="4" t="str">
        <f>IFERROR(__xludf.DUMMYFUNCTION("""COMPUTED_VALUE"""),"DATBSMXL5")</f>
        <v>DATBSMXL5</v>
      </c>
      <c r="I141" s="5">
        <f>IFERROR(__xludf.DUMMYFUNCTION("""COMPUTED_VALUE"""),24.0)</f>
        <v>24</v>
      </c>
      <c r="J141" s="4" t="str">
        <f>IFERROR(__xludf.DUMMYFUNCTION("""COMPUTED_VALUE"""),"Tier 3")</f>
        <v>Tier 3</v>
      </c>
      <c r="K141" s="4" t="str">
        <f>IFERROR(__xludf.DUMMYFUNCTION("""COMPUTED_VALUE"""),"Active")</f>
        <v>Active</v>
      </c>
      <c r="L141" s="4" t="str">
        <f>IFERROR(__xludf.DUMMYFUNCTION("""COMPUTED_VALUE"""),"BigQuery")</f>
        <v>BigQuery</v>
      </c>
    </row>
    <row r="142">
      <c r="A142" s="4" t="str">
        <f>IFERROR(__xludf.DUMMYFUNCTION("""COMPUTED_VALUE"""),"DME1470")</f>
        <v>DME1470</v>
      </c>
      <c r="B142" s="4" t="str">
        <f>IFERROR(__xludf.DUMMYFUNCTION("""COMPUTED_VALUE"""),"Naman Jain")</f>
        <v>Naman Jain</v>
      </c>
      <c r="C142" s="4" t="str">
        <f>IFERROR(__xludf.DUMMYFUNCTION("""COMPUTED_VALUE"""),"naman.jain@onixnet.com")</f>
        <v>naman.jain@onixnet.com</v>
      </c>
      <c r="D142" s="4" t="str">
        <f>IFERROR(__xludf.DUMMYFUNCTION("""COMPUTED_VALUE"""),"Active")</f>
        <v>Active</v>
      </c>
      <c r="E142" s="4" t="str">
        <f>IFERROR(__xludf.DUMMYFUNCTION("""COMPUTED_VALUE"""),"Delivery Services")</f>
        <v>Delivery Services</v>
      </c>
      <c r="F142" s="4" t="str">
        <f>IFERROR(__xludf.DUMMYFUNCTION("""COMPUTED_VALUE"""),"Prasad Pramod Kulkarni")</f>
        <v>Prasad Pramod Kulkarni</v>
      </c>
      <c r="G142" s="4" t="str">
        <f>IFERROR(__xludf.DUMMYFUNCTION("""COMPUTED_VALUE"""),"Cluster - Sagar")</f>
        <v>Cluster - Sagar</v>
      </c>
      <c r="H142" s="4" t="str">
        <f>IFERROR(__xludf.DUMMYFUNCTION("""COMPUTED_VALUE"""),"ONINJYAH3")</f>
        <v>ONINJYAH3</v>
      </c>
      <c r="I142" s="5">
        <f>IFERROR(__xludf.DUMMYFUNCTION("""COMPUTED_VALUE"""),29.0)</f>
        <v>29</v>
      </c>
      <c r="J142" s="4" t="str">
        <f>IFERROR(__xludf.DUMMYFUNCTION("""COMPUTED_VALUE"""),"Tier 3")</f>
        <v>Tier 3</v>
      </c>
      <c r="K142" s="4" t="str">
        <f>IFERROR(__xludf.DUMMYFUNCTION("""COMPUTED_VALUE"""),"Active")</f>
        <v>Active</v>
      </c>
      <c r="L142" s="4" t="str">
        <f>IFERROR(__xludf.DUMMYFUNCTION("""COMPUTED_VALUE"""),"BigQuery")</f>
        <v>BigQuery</v>
      </c>
    </row>
    <row r="143">
      <c r="A143" s="4" t="str">
        <f>IFERROR(__xludf.DUMMYFUNCTION("""COMPUTED_VALUE"""),"DME1474")</f>
        <v>DME1474</v>
      </c>
      <c r="B143" s="4" t="str">
        <f>IFERROR(__xludf.DUMMYFUNCTION("""COMPUTED_VALUE"""),"Kiran Ramesh Shinde")</f>
        <v>Kiran Ramesh Shinde</v>
      </c>
      <c r="C143" s="4" t="str">
        <f>IFERROR(__xludf.DUMMYFUNCTION("""COMPUTED_VALUE"""),"kiran.shinde@onixnet.com")</f>
        <v>kiran.shinde@onixnet.com</v>
      </c>
      <c r="D143" s="4" t="str">
        <f>IFERROR(__xludf.DUMMYFUNCTION("""COMPUTED_VALUE"""),"Active")</f>
        <v>Active</v>
      </c>
      <c r="E143" s="4" t="str">
        <f>IFERROR(__xludf.DUMMYFUNCTION("""COMPUTED_VALUE"""),"Delivery Services")</f>
        <v>Delivery Services</v>
      </c>
      <c r="F143" s="4" t="str">
        <f>IFERROR(__xludf.DUMMYFUNCTION("""COMPUTED_VALUE"""),"Nitesh Verma")</f>
        <v>Nitesh Verma</v>
      </c>
      <c r="G143" s="4" t="str">
        <f>IFERROR(__xludf.DUMMYFUNCTION("""COMPUTED_VALUE"""),"Cluster - Gaurav")</f>
        <v>Cluster - Gaurav</v>
      </c>
      <c r="H143" s="4" t="str">
        <f>IFERROR(__xludf.DUMMYFUNCTION("""COMPUTED_VALUE"""),"ONIKSSHR0")</f>
        <v>ONIKSSHR0</v>
      </c>
      <c r="I143" s="5">
        <f>IFERROR(__xludf.DUMMYFUNCTION("""COMPUTED_VALUE"""),0.0)</f>
        <v>0</v>
      </c>
      <c r="J143" s="4" t="str">
        <f>IFERROR(__xludf.DUMMYFUNCTION("""COMPUTED_VALUE"""),"Tier 4")</f>
        <v>Tier 4</v>
      </c>
      <c r="K143" s="4" t="str">
        <f>IFERROR(__xludf.DUMMYFUNCTION("""COMPUTED_VALUE"""),"ID Created DRP score 0")</f>
        <v>ID Created DRP score 0</v>
      </c>
      <c r="L143" s="4"/>
    </row>
    <row r="144">
      <c r="A144" s="4" t="str">
        <f>IFERROR(__xludf.DUMMYFUNCTION("""COMPUTED_VALUE"""),"DME1485")</f>
        <v>DME1485</v>
      </c>
      <c r="B144" s="4" t="str">
        <f>IFERROR(__xludf.DUMMYFUNCTION("""COMPUTED_VALUE"""),"Pratik Tanaji Karpe")</f>
        <v>Pratik Tanaji Karpe</v>
      </c>
      <c r="C144" s="4" t="str">
        <f>IFERROR(__xludf.DUMMYFUNCTION("""COMPUTED_VALUE"""),"pratik.karpe@onixnet.com")</f>
        <v>pratik.karpe@onixnet.com</v>
      </c>
      <c r="D144" s="4" t="str">
        <f>IFERROR(__xludf.DUMMYFUNCTION("""COMPUTED_VALUE"""),"Active")</f>
        <v>Active</v>
      </c>
      <c r="E144" s="4" t="str">
        <f>IFERROR(__xludf.DUMMYFUNCTION("""COMPUTED_VALUE"""),"Delivery Services")</f>
        <v>Delivery Services</v>
      </c>
      <c r="F144" s="4" t="str">
        <f>IFERROR(__xludf.DUMMYFUNCTION("""COMPUTED_VALUE"""),"Nitesh Verma")</f>
        <v>Nitesh Verma</v>
      </c>
      <c r="G144" s="4" t="str">
        <f>IFERROR(__xludf.DUMMYFUNCTION("""COMPUTED_VALUE"""),"Cluster - Gaurav")</f>
        <v>Cluster - Gaurav</v>
      </c>
      <c r="H144" s="4" t="str">
        <f>IFERROR(__xludf.DUMMYFUNCTION("""COMPUTED_VALUE"""),"ONIPKFEZ3")</f>
        <v>ONIPKFEZ3</v>
      </c>
      <c r="I144" s="5">
        <f>IFERROR(__xludf.DUMMYFUNCTION("""COMPUTED_VALUE"""),10.0)</f>
        <v>10</v>
      </c>
      <c r="J144" s="4" t="str">
        <f>IFERROR(__xludf.DUMMYFUNCTION("""COMPUTED_VALUE"""),"Tier 4")</f>
        <v>Tier 4</v>
      </c>
      <c r="K144" s="4" t="str">
        <f>IFERROR(__xludf.DUMMYFUNCTION("""COMPUTED_VALUE"""),"Active")</f>
        <v>Active</v>
      </c>
      <c r="L144" s="4" t="str">
        <f>IFERROR(__xludf.DUMMYFUNCTION("""COMPUTED_VALUE"""),"BigQuery")</f>
        <v>BigQuery</v>
      </c>
    </row>
    <row r="145">
      <c r="A145" s="4" t="str">
        <f>IFERROR(__xludf.DUMMYFUNCTION("""COMPUTED_VALUE"""),"DME1482")</f>
        <v>DME1482</v>
      </c>
      <c r="B145" s="4" t="str">
        <f>IFERROR(__xludf.DUMMYFUNCTION("""COMPUTED_VALUE"""),"Sapna Shridhar Gele")</f>
        <v>Sapna Shridhar Gele</v>
      </c>
      <c r="C145" s="4" t="str">
        <f>IFERROR(__xludf.DUMMYFUNCTION("""COMPUTED_VALUE"""),"sapna.gele@onixnet.com")</f>
        <v>sapna.gele@onixnet.com</v>
      </c>
      <c r="D145" s="4" t="str">
        <f>IFERROR(__xludf.DUMMYFUNCTION("""COMPUTED_VALUE"""),"Active")</f>
        <v>Active</v>
      </c>
      <c r="E145" s="4" t="str">
        <f>IFERROR(__xludf.DUMMYFUNCTION("""COMPUTED_VALUE"""),"Delivery Services")</f>
        <v>Delivery Services</v>
      </c>
      <c r="F145" s="4" t="str">
        <f>IFERROR(__xludf.DUMMYFUNCTION("""COMPUTED_VALUE"""),"Sneha Bhatambrekar")</f>
        <v>Sneha Bhatambrekar</v>
      </c>
      <c r="G145" s="4" t="str">
        <f>IFERROR(__xludf.DUMMYFUNCTION("""COMPUTED_VALUE"""),"Cluster - Sandeep")</f>
        <v>Cluster - Sandeep</v>
      </c>
      <c r="H145" s="4" t="str">
        <f>IFERROR(__xludf.DUMMYFUNCTION("""COMPUTED_VALUE"""),"ONISGTYL8")</f>
        <v>ONISGTYL8</v>
      </c>
      <c r="I145" s="5">
        <f>IFERROR(__xludf.DUMMYFUNCTION("""COMPUTED_VALUE"""),5.0)</f>
        <v>5</v>
      </c>
      <c r="J145" s="4" t="str">
        <f>IFERROR(__xludf.DUMMYFUNCTION("""COMPUTED_VALUE"""),"Tier 4")</f>
        <v>Tier 4</v>
      </c>
      <c r="K145" s="4" t="str">
        <f>IFERROR(__xludf.DUMMYFUNCTION("""COMPUTED_VALUE"""),"Active")</f>
        <v>Active</v>
      </c>
      <c r="L145" s="4" t="str">
        <f>IFERROR(__xludf.DUMMYFUNCTION("""COMPUTED_VALUE"""),"BigQuery")</f>
        <v>BigQuery</v>
      </c>
    </row>
    <row r="146">
      <c r="A146" s="4" t="str">
        <f>IFERROR(__xludf.DUMMYFUNCTION("""COMPUTED_VALUE"""),"DME1487")</f>
        <v>DME1487</v>
      </c>
      <c r="B146" s="4" t="str">
        <f>IFERROR(__xludf.DUMMYFUNCTION("""COMPUTED_VALUE"""),"Omkar Subhash Kumbhar")</f>
        <v>Omkar Subhash Kumbhar</v>
      </c>
      <c r="C146" s="4" t="str">
        <f>IFERROR(__xludf.DUMMYFUNCTION("""COMPUTED_VALUE"""),"omkar.kumbhar@onixnet.com")</f>
        <v>omkar.kumbhar@onixnet.com</v>
      </c>
      <c r="D146" s="4" t="str">
        <f>IFERROR(__xludf.DUMMYFUNCTION("""COMPUTED_VALUE"""),"Active")</f>
        <v>Active</v>
      </c>
      <c r="E146" s="4" t="str">
        <f>IFERROR(__xludf.DUMMYFUNCTION("""COMPUTED_VALUE"""),"Delivery Services")</f>
        <v>Delivery Services</v>
      </c>
      <c r="F146" s="4" t="str">
        <f>IFERROR(__xludf.DUMMYFUNCTION("""COMPUTED_VALUE"""),"Birendra Kumar Negi")</f>
        <v>Birendra Kumar Negi</v>
      </c>
      <c r="G146" s="4" t="str">
        <f>IFERROR(__xludf.DUMMYFUNCTION("""COMPUTED_VALUE"""),"Cluster - Sachin")</f>
        <v>Cluster - Sachin</v>
      </c>
      <c r="H146" s="4" t="str">
        <f>IFERROR(__xludf.DUMMYFUNCTION("""COMPUTED_VALUE"""),"ONIOKGYV3")</f>
        <v>ONIOKGYV3</v>
      </c>
      <c r="I146" s="5">
        <f>IFERROR(__xludf.DUMMYFUNCTION("""COMPUTED_VALUE"""),54.0)</f>
        <v>54</v>
      </c>
      <c r="J146" s="4" t="str">
        <f>IFERROR(__xludf.DUMMYFUNCTION("""COMPUTED_VALUE"""),"Tier 1")</f>
        <v>Tier 1</v>
      </c>
      <c r="K146" s="4" t="str">
        <f>IFERROR(__xludf.DUMMYFUNCTION("""COMPUTED_VALUE"""),"Active")</f>
        <v>Active</v>
      </c>
      <c r="L146" s="4" t="str">
        <f>IFERROR(__xludf.DUMMYFUNCTION("""COMPUTED_VALUE"""),"BigQuery")</f>
        <v>BigQuery</v>
      </c>
    </row>
    <row r="147">
      <c r="A147" s="4" t="str">
        <f>IFERROR(__xludf.DUMMYFUNCTION("""COMPUTED_VALUE"""),"DME1496")</f>
        <v>DME1496</v>
      </c>
      <c r="B147" s="4" t="str">
        <f>IFERROR(__xludf.DUMMYFUNCTION("""COMPUTED_VALUE"""),"Shweta Sanjay Duratkar")</f>
        <v>Shweta Sanjay Duratkar</v>
      </c>
      <c r="C147" s="4" t="str">
        <f>IFERROR(__xludf.DUMMYFUNCTION("""COMPUTED_VALUE"""),"shweta.duratkar@onixnet.com")</f>
        <v>shweta.duratkar@onixnet.com</v>
      </c>
      <c r="D147" s="4" t="str">
        <f>IFERROR(__xludf.DUMMYFUNCTION("""COMPUTED_VALUE"""),"Active")</f>
        <v>Active</v>
      </c>
      <c r="E147" s="4" t="str">
        <f>IFERROR(__xludf.DUMMYFUNCTION("""COMPUTED_VALUE"""),"Product Engineering")</f>
        <v>Product Engineering</v>
      </c>
      <c r="F147" s="4" t="str">
        <f>IFERROR(__xludf.DUMMYFUNCTION("""COMPUTED_VALUE"""),"Amruta Sikchi")</f>
        <v>Amruta Sikchi</v>
      </c>
      <c r="G147" s="4" t="str">
        <f>IFERROR(__xludf.DUMMYFUNCTION("""COMPUTED_VALUE"""),"Cluster - Mayur")</f>
        <v>Cluster - Mayur</v>
      </c>
      <c r="H147" s="4" t="str">
        <f>IFERROR(__xludf.DUMMYFUNCTION("""COMPUTED_VALUE"""),"ONISDMSV9")</f>
        <v>ONISDMSV9</v>
      </c>
      <c r="I147" s="5">
        <f>IFERROR(__xludf.DUMMYFUNCTION("""COMPUTED_VALUE"""),13.0)</f>
        <v>13</v>
      </c>
      <c r="J147" s="4" t="str">
        <f>IFERROR(__xludf.DUMMYFUNCTION("""COMPUTED_VALUE"""),"Tier 4")</f>
        <v>Tier 4</v>
      </c>
      <c r="K147" s="4" t="str">
        <f>IFERROR(__xludf.DUMMYFUNCTION("""COMPUTED_VALUE"""),"Active")</f>
        <v>Active</v>
      </c>
      <c r="L147" s="4" t="str">
        <f>IFERROR(__xludf.DUMMYFUNCTION("""COMPUTED_VALUE"""),"AI Applications")</f>
        <v>AI Applications</v>
      </c>
    </row>
    <row r="148">
      <c r="A148" s="4" t="str">
        <f>IFERROR(__xludf.DUMMYFUNCTION("""COMPUTED_VALUE"""),"DME1503")</f>
        <v>DME1503</v>
      </c>
      <c r="B148" s="4" t="str">
        <f>IFERROR(__xludf.DUMMYFUNCTION("""COMPUTED_VALUE"""),"Priyanka Pise")</f>
        <v>Priyanka Pise</v>
      </c>
      <c r="C148" s="4" t="str">
        <f>IFERROR(__xludf.DUMMYFUNCTION("""COMPUTED_VALUE"""),"priyanka.pise@onixnet.com")</f>
        <v>priyanka.pise@onixnet.com</v>
      </c>
      <c r="D148" s="4" t="str">
        <f>IFERROR(__xludf.DUMMYFUNCTION("""COMPUTED_VALUE"""),"Active")</f>
        <v>Active</v>
      </c>
      <c r="E148" s="4" t="str">
        <f>IFERROR(__xludf.DUMMYFUNCTION("""COMPUTED_VALUE"""),"Delivery Services")</f>
        <v>Delivery Services</v>
      </c>
      <c r="F148" s="4" t="str">
        <f>IFERROR(__xludf.DUMMYFUNCTION("""COMPUTED_VALUE"""),"Akash Morey")</f>
        <v>Akash Morey</v>
      </c>
      <c r="G148" s="4" t="str">
        <f>IFERROR(__xludf.DUMMYFUNCTION("""COMPUTED_VALUE"""),"Cluster - Sandeep")</f>
        <v>Cluster - Sandeep</v>
      </c>
      <c r="H148" s="4" t="str">
        <f>IFERROR(__xludf.DUMMYFUNCTION("""COMPUTED_VALUE"""),"ONIPPXBS6")</f>
        <v>ONIPPXBS6</v>
      </c>
      <c r="I148" s="5">
        <f>IFERROR(__xludf.DUMMYFUNCTION("""COMPUTED_VALUE"""),15.0)</f>
        <v>15</v>
      </c>
      <c r="J148" s="4" t="str">
        <f>IFERROR(__xludf.DUMMYFUNCTION("""COMPUTED_VALUE"""),"Tier 4")</f>
        <v>Tier 4</v>
      </c>
      <c r="K148" s="4" t="str">
        <f>IFERROR(__xludf.DUMMYFUNCTION("""COMPUTED_VALUE"""),"Active")</f>
        <v>Active</v>
      </c>
      <c r="L148" s="4" t="str">
        <f>IFERROR(__xludf.DUMMYFUNCTION("""COMPUTED_VALUE"""),"AI Applications")</f>
        <v>AI Applications</v>
      </c>
    </row>
    <row r="149">
      <c r="A149" s="4" t="str">
        <f>IFERROR(__xludf.DUMMYFUNCTION("""COMPUTED_VALUE"""),"DME1525")</f>
        <v>DME1525</v>
      </c>
      <c r="B149" s="4" t="str">
        <f>IFERROR(__xludf.DUMMYFUNCTION("""COMPUTED_VALUE"""),"Rajshri Rajendra Patil")</f>
        <v>Rajshri Rajendra Patil</v>
      </c>
      <c r="C149" s="4" t="str">
        <f>IFERROR(__xludf.DUMMYFUNCTION("""COMPUTED_VALUE"""),"rajshri.patil@onixnet.com")</f>
        <v>rajshri.patil@onixnet.com</v>
      </c>
      <c r="D149" s="4" t="str">
        <f>IFERROR(__xludf.DUMMYFUNCTION("""COMPUTED_VALUE"""),"Active")</f>
        <v>Active</v>
      </c>
      <c r="E149" s="4" t="str">
        <f>IFERROR(__xludf.DUMMYFUNCTION("""COMPUTED_VALUE"""),"Delivery Services")</f>
        <v>Delivery Services</v>
      </c>
      <c r="F149" s="4" t="str">
        <f>IFERROR(__xludf.DUMMYFUNCTION("""COMPUTED_VALUE"""),"Varunesh Khandelwal")</f>
        <v>Varunesh Khandelwal</v>
      </c>
      <c r="G149" s="4" t="str">
        <f>IFERROR(__xludf.DUMMYFUNCTION("""COMPUTED_VALUE"""),"Cluster - Gaurav")</f>
        <v>Cluster - Gaurav</v>
      </c>
      <c r="H149" s="4"/>
      <c r="I149" s="5"/>
      <c r="J149" s="4"/>
      <c r="K149" s="4" t="str">
        <f>IFERROR(__xludf.DUMMYFUNCTION("""COMPUTED_VALUE"""),"ID Not Created")</f>
        <v>ID Not Created</v>
      </c>
      <c r="L149" s="4"/>
    </row>
    <row r="150">
      <c r="A150" s="4" t="str">
        <f>IFERROR(__xludf.DUMMYFUNCTION("""COMPUTED_VALUE"""),"DME1519")</f>
        <v>DME1519</v>
      </c>
      <c r="B150" s="4" t="str">
        <f>IFERROR(__xludf.DUMMYFUNCTION("""COMPUTED_VALUE"""),"Kadeer Basha Sayyad")</f>
        <v>Kadeer Basha Sayyad</v>
      </c>
      <c r="C150" s="4" t="str">
        <f>IFERROR(__xludf.DUMMYFUNCTION("""COMPUTED_VALUE"""),"kadeer.sayyad@onixnet.com")</f>
        <v>kadeer.sayyad@onixnet.com</v>
      </c>
      <c r="D150" s="4" t="str">
        <f>IFERROR(__xludf.DUMMYFUNCTION("""COMPUTED_VALUE"""),"Active")</f>
        <v>Active</v>
      </c>
      <c r="E150" s="4" t="str">
        <f>IFERROR(__xludf.DUMMYFUNCTION("""COMPUTED_VALUE"""),"Delivery Services")</f>
        <v>Delivery Services</v>
      </c>
      <c r="F150" s="4" t="str">
        <f>IFERROR(__xludf.DUMMYFUNCTION("""COMPUTED_VALUE"""),"Ravindra Pujari")</f>
        <v>Ravindra Pujari</v>
      </c>
      <c r="G150" s="4" t="str">
        <f>IFERROR(__xludf.DUMMYFUNCTION("""COMPUTED_VALUE"""),"Cluster - Sachin")</f>
        <v>Cluster - Sachin</v>
      </c>
      <c r="H150" s="4" t="str">
        <f>IFERROR(__xludf.DUMMYFUNCTION("""COMPUTED_VALUE"""),"ONIKSTDB3")</f>
        <v>ONIKSTDB3</v>
      </c>
      <c r="I150" s="5">
        <f>IFERROR(__xludf.DUMMYFUNCTION("""COMPUTED_VALUE"""),20.0)</f>
        <v>20</v>
      </c>
      <c r="J150" s="4" t="str">
        <f>IFERROR(__xludf.DUMMYFUNCTION("""COMPUTED_VALUE"""),"Tier 3")</f>
        <v>Tier 3</v>
      </c>
      <c r="K150" s="4" t="str">
        <f>IFERROR(__xludf.DUMMYFUNCTION("""COMPUTED_VALUE"""),"Active")</f>
        <v>Active</v>
      </c>
      <c r="L150" s="4" t="str">
        <f>IFERROR(__xludf.DUMMYFUNCTION("""COMPUTED_VALUE"""),"BigQuery")</f>
        <v>BigQuery</v>
      </c>
    </row>
    <row r="151">
      <c r="A151" s="4" t="str">
        <f>IFERROR(__xludf.DUMMYFUNCTION("""COMPUTED_VALUE"""),"DME1512")</f>
        <v>DME1512</v>
      </c>
      <c r="B151" s="4" t="str">
        <f>IFERROR(__xludf.DUMMYFUNCTION("""COMPUTED_VALUE"""),"Rabindra Kumar Nayak")</f>
        <v>Rabindra Kumar Nayak</v>
      </c>
      <c r="C151" s="4" t="str">
        <f>IFERROR(__xludf.DUMMYFUNCTION("""COMPUTED_VALUE"""),"rabindra.nayak@onixnet.com")</f>
        <v>rabindra.nayak@onixnet.com</v>
      </c>
      <c r="D151" s="4" t="str">
        <f>IFERROR(__xludf.DUMMYFUNCTION("""COMPUTED_VALUE"""),"Active")</f>
        <v>Active</v>
      </c>
      <c r="E151" s="4" t="str">
        <f>IFERROR(__xludf.DUMMYFUNCTION("""COMPUTED_VALUE"""),"Delivery Services")</f>
        <v>Delivery Services</v>
      </c>
      <c r="F151" s="4" t="str">
        <f>IFERROR(__xludf.DUMMYFUNCTION("""COMPUTED_VALUE"""),"Sunny Mathur")</f>
        <v>Sunny Mathur</v>
      </c>
      <c r="G151" s="4" t="str">
        <f>IFERROR(__xludf.DUMMYFUNCTION("""COMPUTED_VALUE"""),"Cluster - Sagar")</f>
        <v>Cluster - Sagar</v>
      </c>
      <c r="H151" s="4" t="str">
        <f>IFERROR(__xludf.DUMMYFUNCTION("""COMPUTED_VALUE"""),"ONIRNCXO7")</f>
        <v>ONIRNCXO7</v>
      </c>
      <c r="I151" s="5">
        <f>IFERROR(__xludf.DUMMYFUNCTION("""COMPUTED_VALUE"""),0.0)</f>
        <v>0</v>
      </c>
      <c r="J151" s="4" t="str">
        <f>IFERROR(__xludf.DUMMYFUNCTION("""COMPUTED_VALUE"""),"Tier 4")</f>
        <v>Tier 4</v>
      </c>
      <c r="K151" s="4" t="str">
        <f>IFERROR(__xludf.DUMMYFUNCTION("""COMPUTED_VALUE"""),"ID Created DRP score 0")</f>
        <v>ID Created DRP score 0</v>
      </c>
      <c r="L151" s="4"/>
    </row>
    <row r="152">
      <c r="A152" s="4" t="str">
        <f>IFERROR(__xludf.DUMMYFUNCTION("""COMPUTED_VALUE"""),"DME1511")</f>
        <v>DME1511</v>
      </c>
      <c r="B152" s="4" t="str">
        <f>IFERROR(__xludf.DUMMYFUNCTION("""COMPUTED_VALUE"""),"Amit Nitesh Parekh")</f>
        <v>Amit Nitesh Parekh</v>
      </c>
      <c r="C152" s="4" t="str">
        <f>IFERROR(__xludf.DUMMYFUNCTION("""COMPUTED_VALUE"""),"amit.parekh@onixnet.com")</f>
        <v>amit.parekh@onixnet.com</v>
      </c>
      <c r="D152" s="4" t="str">
        <f>IFERROR(__xludf.DUMMYFUNCTION("""COMPUTED_VALUE"""),"Active")</f>
        <v>Active</v>
      </c>
      <c r="E152" s="4" t="str">
        <f>IFERROR(__xludf.DUMMYFUNCTION("""COMPUTED_VALUE"""),"Delivery Services")</f>
        <v>Delivery Services</v>
      </c>
      <c r="F152" s="4" t="str">
        <f>IFERROR(__xludf.DUMMYFUNCTION("""COMPUTED_VALUE"""),"Sneha Bhatambrekar")</f>
        <v>Sneha Bhatambrekar</v>
      </c>
      <c r="G152" s="4" t="str">
        <f>IFERROR(__xludf.DUMMYFUNCTION("""COMPUTED_VALUE"""),"Cluster - Sandeep")</f>
        <v>Cluster - Sandeep</v>
      </c>
      <c r="H152" s="4" t="str">
        <f>IFERROR(__xludf.DUMMYFUNCTION("""COMPUTED_VALUE"""),"ONIAPSHY5")</f>
        <v>ONIAPSHY5</v>
      </c>
      <c r="I152" s="5">
        <f>IFERROR(__xludf.DUMMYFUNCTION("""COMPUTED_VALUE"""),24.0)</f>
        <v>24</v>
      </c>
      <c r="J152" s="4" t="str">
        <f>IFERROR(__xludf.DUMMYFUNCTION("""COMPUTED_VALUE"""),"Tier 3")</f>
        <v>Tier 3</v>
      </c>
      <c r="K152" s="4" t="str">
        <f>IFERROR(__xludf.DUMMYFUNCTION("""COMPUTED_VALUE"""),"Active")</f>
        <v>Active</v>
      </c>
      <c r="L152" s="4" t="str">
        <f>IFERROR(__xludf.DUMMYFUNCTION("""COMPUTED_VALUE"""),"BigQuery")</f>
        <v>BigQuery</v>
      </c>
    </row>
    <row r="153">
      <c r="A153" s="4" t="str">
        <f>IFERROR(__xludf.DUMMYFUNCTION("""COMPUTED_VALUE"""),"DME1510")</f>
        <v>DME1510</v>
      </c>
      <c r="B153" s="4" t="str">
        <f>IFERROR(__xludf.DUMMYFUNCTION("""COMPUTED_VALUE"""),"Pravin Abhang")</f>
        <v>Pravin Abhang</v>
      </c>
      <c r="C153" s="4" t="str">
        <f>IFERROR(__xludf.DUMMYFUNCTION("""COMPUTED_VALUE"""),"pravin.abhang@onixnet.com")</f>
        <v>pravin.abhang@onixnet.com</v>
      </c>
      <c r="D153" s="4" t="str">
        <f>IFERROR(__xludf.DUMMYFUNCTION("""COMPUTED_VALUE"""),"Active")</f>
        <v>Active</v>
      </c>
      <c r="E153" s="4" t="str">
        <f>IFERROR(__xludf.DUMMYFUNCTION("""COMPUTED_VALUE"""),"Product Engineering")</f>
        <v>Product Engineering</v>
      </c>
      <c r="F153" s="4" t="str">
        <f>IFERROR(__xludf.DUMMYFUNCTION("""COMPUTED_VALUE"""),"Amruta Sikchi")</f>
        <v>Amruta Sikchi</v>
      </c>
      <c r="G153" s="4" t="str">
        <f>IFERROR(__xludf.DUMMYFUNCTION("""COMPUTED_VALUE"""),"Cluster - Mayur")</f>
        <v>Cluster - Mayur</v>
      </c>
      <c r="H153" s="4"/>
      <c r="I153" s="5"/>
      <c r="J153" s="4"/>
      <c r="K153" s="4" t="str">
        <f>IFERROR(__xludf.DUMMYFUNCTION("""COMPUTED_VALUE"""),"ID Not Created")</f>
        <v>ID Not Created</v>
      </c>
      <c r="L153" s="4"/>
    </row>
    <row r="154">
      <c r="A154" s="4" t="str">
        <f>IFERROR(__xludf.DUMMYFUNCTION("""COMPUTED_VALUE"""),"DME1531")</f>
        <v>DME1531</v>
      </c>
      <c r="B154" s="4" t="str">
        <f>IFERROR(__xludf.DUMMYFUNCTION("""COMPUTED_VALUE"""),"Ashwini J")</f>
        <v>Ashwini J</v>
      </c>
      <c r="C154" s="4" t="str">
        <f>IFERROR(__xludf.DUMMYFUNCTION("""COMPUTED_VALUE"""),"ashwini.jayanth@onixnet.com")</f>
        <v>ashwini.jayanth@onixnet.com</v>
      </c>
      <c r="D154" s="4" t="str">
        <f>IFERROR(__xludf.DUMMYFUNCTION("""COMPUTED_VALUE"""),"Active")</f>
        <v>Active</v>
      </c>
      <c r="E154" s="4" t="str">
        <f>IFERROR(__xludf.DUMMYFUNCTION("""COMPUTED_VALUE"""),"Delivery Services")</f>
        <v>Delivery Services</v>
      </c>
      <c r="F154" s="4" t="str">
        <f>IFERROR(__xludf.DUMMYFUNCTION("""COMPUTED_VALUE"""),"Sneha Bhatambrekar")</f>
        <v>Sneha Bhatambrekar</v>
      </c>
      <c r="G154" s="4" t="str">
        <f>IFERROR(__xludf.DUMMYFUNCTION("""COMPUTED_VALUE"""),"Cluster - Sandeep")</f>
        <v>Cluster - Sandeep</v>
      </c>
      <c r="H154" s="4" t="str">
        <f>IFERROR(__xludf.DUMMYFUNCTION("""COMPUTED_VALUE"""),"ONIAJMOD5")</f>
        <v>ONIAJMOD5</v>
      </c>
      <c r="I154" s="5">
        <f>IFERROR(__xludf.DUMMYFUNCTION("""COMPUTED_VALUE"""),14.0)</f>
        <v>14</v>
      </c>
      <c r="J154" s="4" t="str">
        <f>IFERROR(__xludf.DUMMYFUNCTION("""COMPUTED_VALUE"""),"Tier 4")</f>
        <v>Tier 4</v>
      </c>
      <c r="K154" s="4" t="str">
        <f>IFERROR(__xludf.DUMMYFUNCTION("""COMPUTED_VALUE"""),"Active")</f>
        <v>Active</v>
      </c>
      <c r="L154" s="4" t="str">
        <f>IFERROR(__xludf.DUMMYFUNCTION("""COMPUTED_VALUE"""),"BigQuery")</f>
        <v>BigQuery</v>
      </c>
    </row>
    <row r="155">
      <c r="A155" s="4" t="str">
        <f>IFERROR(__xludf.DUMMYFUNCTION("""COMPUTED_VALUE"""),"DME1542")</f>
        <v>DME1542</v>
      </c>
      <c r="B155" s="4" t="str">
        <f>IFERROR(__xludf.DUMMYFUNCTION("""COMPUTED_VALUE"""),"Brajesh Kumar")</f>
        <v>Brajesh Kumar</v>
      </c>
      <c r="C155" s="4" t="str">
        <f>IFERROR(__xludf.DUMMYFUNCTION("""COMPUTED_VALUE"""),"brajesh.kumar@onixnet.com")</f>
        <v>brajesh.kumar@onixnet.com</v>
      </c>
      <c r="D155" s="4" t="str">
        <f>IFERROR(__xludf.DUMMYFUNCTION("""COMPUTED_VALUE"""),"Active")</f>
        <v>Active</v>
      </c>
      <c r="E155" s="4" t="str">
        <f>IFERROR(__xludf.DUMMYFUNCTION("""COMPUTED_VALUE"""),"Delivery Services")</f>
        <v>Delivery Services</v>
      </c>
      <c r="F155" s="4" t="str">
        <f>IFERROR(__xludf.DUMMYFUNCTION("""COMPUTED_VALUE"""),"Bhupesh Chauhan")</f>
        <v>Bhupesh Chauhan</v>
      </c>
      <c r="G155" s="4" t="str">
        <f>IFERROR(__xludf.DUMMYFUNCTION("""COMPUTED_VALUE"""),"Cluster - Sachin")</f>
        <v>Cluster - Sachin</v>
      </c>
      <c r="H155" s="4" t="str">
        <f>IFERROR(__xludf.DUMMYFUNCTION("""COMPUTED_VALUE"""),"ONIBKOUW1")</f>
        <v>ONIBKOUW1</v>
      </c>
      <c r="I155" s="5">
        <f>IFERROR(__xludf.DUMMYFUNCTION("""COMPUTED_VALUE"""),0.0)</f>
        <v>0</v>
      </c>
      <c r="J155" s="4" t="str">
        <f>IFERROR(__xludf.DUMMYFUNCTION("""COMPUTED_VALUE"""),"Tier 4")</f>
        <v>Tier 4</v>
      </c>
      <c r="K155" s="4" t="str">
        <f>IFERROR(__xludf.DUMMYFUNCTION("""COMPUTED_VALUE"""),"ID Created DRP score 0")</f>
        <v>ID Created DRP score 0</v>
      </c>
      <c r="L155" s="4"/>
    </row>
    <row r="156">
      <c r="A156" s="4" t="str">
        <f>IFERROR(__xludf.DUMMYFUNCTION("""COMPUTED_VALUE"""),"DME1540")</f>
        <v>DME1540</v>
      </c>
      <c r="B156" s="4" t="str">
        <f>IFERROR(__xludf.DUMMYFUNCTION("""COMPUTED_VALUE"""),"Bhagyashri Manoharrao Wadode")</f>
        <v>Bhagyashri Manoharrao Wadode</v>
      </c>
      <c r="C156" s="4" t="str">
        <f>IFERROR(__xludf.DUMMYFUNCTION("""COMPUTED_VALUE"""),"bhagyashri.wadode@onixnet.com")</f>
        <v>bhagyashri.wadode@onixnet.com</v>
      </c>
      <c r="D156" s="4" t="str">
        <f>IFERROR(__xludf.DUMMYFUNCTION("""COMPUTED_VALUE"""),"Active")</f>
        <v>Active</v>
      </c>
      <c r="E156" s="4" t="str">
        <f>IFERROR(__xludf.DUMMYFUNCTION("""COMPUTED_VALUE"""),"Eagle Assessment")</f>
        <v>Eagle Assessment</v>
      </c>
      <c r="F156" s="4" t="str">
        <f>IFERROR(__xludf.DUMMYFUNCTION("""COMPUTED_VALUE"""),"Ankit Khandelwal")</f>
        <v>Ankit Khandelwal</v>
      </c>
      <c r="G156" s="4" t="str">
        <f>IFERROR(__xludf.DUMMYFUNCTION("""COMPUTED_VALUE"""),"Cluster - Kalpa")</f>
        <v>Cluster - Kalpa</v>
      </c>
      <c r="H156" s="4" t="str">
        <f>IFERROR(__xludf.DUMMYFUNCTION("""COMPUTED_VALUE"""),"DATBWSLH5")</f>
        <v>DATBWSLH5</v>
      </c>
      <c r="I156" s="5">
        <f>IFERROR(__xludf.DUMMYFUNCTION("""COMPUTED_VALUE"""),27.0)</f>
        <v>27</v>
      </c>
      <c r="J156" s="4" t="str">
        <f>IFERROR(__xludf.DUMMYFUNCTION("""COMPUTED_VALUE"""),"Tier 3")</f>
        <v>Tier 3</v>
      </c>
      <c r="K156" s="4" t="str">
        <f>IFERROR(__xludf.DUMMYFUNCTION("""COMPUTED_VALUE"""),"Active")</f>
        <v>Active</v>
      </c>
      <c r="L156" s="4" t="str">
        <f>IFERROR(__xludf.DUMMYFUNCTION("""COMPUTED_VALUE"""),"BigQuery")</f>
        <v>BigQuery</v>
      </c>
    </row>
    <row r="157">
      <c r="A157" s="4" t="str">
        <f>IFERROR(__xludf.DUMMYFUNCTION("""COMPUTED_VALUE"""),"DME1557")</f>
        <v>DME1557</v>
      </c>
      <c r="B157" s="4" t="str">
        <f>IFERROR(__xludf.DUMMYFUNCTION("""COMPUTED_VALUE"""),"Jayesh Dilip Patil")</f>
        <v>Jayesh Dilip Patil</v>
      </c>
      <c r="C157" s="4" t="str">
        <f>IFERROR(__xludf.DUMMYFUNCTION("""COMPUTED_VALUE"""),"jayesh.patil1@onixnet.com")</f>
        <v>jayesh.patil1@onixnet.com</v>
      </c>
      <c r="D157" s="4" t="str">
        <f>IFERROR(__xludf.DUMMYFUNCTION("""COMPUTED_VALUE"""),"Active")</f>
        <v>Active</v>
      </c>
      <c r="E157" s="4" t="str">
        <f>IFERROR(__xludf.DUMMYFUNCTION("""COMPUTED_VALUE"""),"Delivery Services")</f>
        <v>Delivery Services</v>
      </c>
      <c r="F157" s="4" t="str">
        <f>IFERROR(__xludf.DUMMYFUNCTION("""COMPUTED_VALUE"""),"Indrajit Omprakash Bhagat")</f>
        <v>Indrajit Omprakash Bhagat</v>
      </c>
      <c r="G157" s="4" t="str">
        <f>IFERROR(__xludf.DUMMYFUNCTION("""COMPUTED_VALUE"""),"Cluster - Varun")</f>
        <v>Cluster - Varun</v>
      </c>
      <c r="H157" s="4" t="str">
        <f>IFERROR(__xludf.DUMMYFUNCTION("""COMPUTED_VALUE"""),"DATJPFJN9")</f>
        <v>DATJPFJN9</v>
      </c>
      <c r="I157" s="5">
        <f>IFERROR(__xludf.DUMMYFUNCTION("""COMPUTED_VALUE"""),64.0)</f>
        <v>64</v>
      </c>
      <c r="J157" s="4" t="str">
        <f>IFERROR(__xludf.DUMMYFUNCTION("""COMPUTED_VALUE"""),"Tier 1")</f>
        <v>Tier 1</v>
      </c>
      <c r="K157" s="4" t="str">
        <f>IFERROR(__xludf.DUMMYFUNCTION("""COMPUTED_VALUE"""),"Active")</f>
        <v>Active</v>
      </c>
      <c r="L157" s="4" t="str">
        <f>IFERROR(__xludf.DUMMYFUNCTION("""COMPUTED_VALUE"""),"Google Compute Engine")</f>
        <v>Google Compute Engine</v>
      </c>
    </row>
    <row r="158">
      <c r="A158" s="4" t="str">
        <f>IFERROR(__xludf.DUMMYFUNCTION("""COMPUTED_VALUE"""),"DME1556")</f>
        <v>DME1556</v>
      </c>
      <c r="B158" s="4" t="str">
        <f>IFERROR(__xludf.DUMMYFUNCTION("""COMPUTED_VALUE"""),"Neeta Shirish Barsainya")</f>
        <v>Neeta Shirish Barsainya</v>
      </c>
      <c r="C158" s="4" t="str">
        <f>IFERROR(__xludf.DUMMYFUNCTION("""COMPUTED_VALUE"""),"neeta.gawrha@onixnet.com")</f>
        <v>neeta.gawrha@onixnet.com</v>
      </c>
      <c r="D158" s="4" t="str">
        <f>IFERROR(__xludf.DUMMYFUNCTION("""COMPUTED_VALUE"""),"Active")</f>
        <v>Active</v>
      </c>
      <c r="E158" s="4" t="str">
        <f>IFERROR(__xludf.DUMMYFUNCTION("""COMPUTED_VALUE"""),"Delivery Services")</f>
        <v>Delivery Services</v>
      </c>
      <c r="F158" s="4" t="str">
        <f>IFERROR(__xludf.DUMMYFUNCTION("""COMPUTED_VALUE"""),"Varunesh Khandelwal")</f>
        <v>Varunesh Khandelwal</v>
      </c>
      <c r="G158" s="4" t="str">
        <f>IFERROR(__xludf.DUMMYFUNCTION("""COMPUTED_VALUE"""),"Cluster - Sachin")</f>
        <v>Cluster - Sachin</v>
      </c>
      <c r="H158" s="4" t="str">
        <f>IFERROR(__xludf.DUMMYFUNCTION("""COMPUTED_VALUE"""),"DATNGZXP2")</f>
        <v>DATNGZXP2</v>
      </c>
      <c r="I158" s="5">
        <f>IFERROR(__xludf.DUMMYFUNCTION("""COMPUTED_VALUE"""),26.0)</f>
        <v>26</v>
      </c>
      <c r="J158" s="4" t="str">
        <f>IFERROR(__xludf.DUMMYFUNCTION("""COMPUTED_VALUE"""),"Tier 3")</f>
        <v>Tier 3</v>
      </c>
      <c r="K158" s="4" t="str">
        <f>IFERROR(__xludf.DUMMYFUNCTION("""COMPUTED_VALUE"""),"Active")</f>
        <v>Active</v>
      </c>
      <c r="L158" s="4" t="str">
        <f>IFERROR(__xludf.DUMMYFUNCTION("""COMPUTED_VALUE"""),"Gemini Enterprise Agent Platform")</f>
        <v>Gemini Enterprise Agent Platform</v>
      </c>
    </row>
    <row r="159">
      <c r="A159" s="4" t="str">
        <f>IFERROR(__xludf.DUMMYFUNCTION("""COMPUTED_VALUE"""),"DME1553")</f>
        <v>DME1553</v>
      </c>
      <c r="B159" s="4" t="str">
        <f>IFERROR(__xludf.DUMMYFUNCTION("""COMPUTED_VALUE"""),"Abhishek Rajaram Naik")</f>
        <v>Abhishek Rajaram Naik</v>
      </c>
      <c r="C159" s="4" t="str">
        <f>IFERROR(__xludf.DUMMYFUNCTION("""COMPUTED_VALUE"""),"abhishek.naik@onixnet.com")</f>
        <v>abhishek.naik@onixnet.com</v>
      </c>
      <c r="D159" s="4" t="str">
        <f>IFERROR(__xludf.DUMMYFUNCTION("""COMPUTED_VALUE"""),"Active")</f>
        <v>Active</v>
      </c>
      <c r="E159" s="4" t="str">
        <f>IFERROR(__xludf.DUMMYFUNCTION("""COMPUTED_VALUE"""),"Delivery Services")</f>
        <v>Delivery Services</v>
      </c>
      <c r="F159" s="4" t="str">
        <f>IFERROR(__xludf.DUMMYFUNCTION("""COMPUTED_VALUE"""),"Amit Malav")</f>
        <v>Amit Malav</v>
      </c>
      <c r="G159" s="4" t="str">
        <f>IFERROR(__xludf.DUMMYFUNCTION("""COMPUTED_VALUE"""),"Cluster - Gaurav")</f>
        <v>Cluster - Gaurav</v>
      </c>
      <c r="H159" s="4" t="str">
        <f>IFERROR(__xludf.DUMMYFUNCTION("""COMPUTED_VALUE"""),"ONIANMNI2")</f>
        <v>ONIANMNI2</v>
      </c>
      <c r="I159" s="5">
        <f>IFERROR(__xludf.DUMMYFUNCTION("""COMPUTED_VALUE"""),15.0)</f>
        <v>15</v>
      </c>
      <c r="J159" s="4" t="str">
        <f>IFERROR(__xludf.DUMMYFUNCTION("""COMPUTED_VALUE"""),"Tier 4")</f>
        <v>Tier 4</v>
      </c>
      <c r="K159" s="4" t="str">
        <f>IFERROR(__xludf.DUMMYFUNCTION("""COMPUTED_VALUE"""),"Active")</f>
        <v>Active</v>
      </c>
      <c r="L159" s="4" t="str">
        <f>IFERROR(__xludf.DUMMYFUNCTION("""COMPUTED_VALUE"""),"Google Kubernetes Engine")</f>
        <v>Google Kubernetes Engine</v>
      </c>
    </row>
    <row r="160">
      <c r="A160" s="4" t="str">
        <f>IFERROR(__xludf.DUMMYFUNCTION("""COMPUTED_VALUE"""),"DME1546")</f>
        <v>DME1546</v>
      </c>
      <c r="B160" s="4" t="str">
        <f>IFERROR(__xludf.DUMMYFUNCTION("""COMPUTED_VALUE"""),"Gauri Santosh Jadhav")</f>
        <v>Gauri Santosh Jadhav</v>
      </c>
      <c r="C160" s="4" t="str">
        <f>IFERROR(__xludf.DUMMYFUNCTION("""COMPUTED_VALUE"""),"gauri.jadhav@onixnet.com")</f>
        <v>gauri.jadhav@onixnet.com</v>
      </c>
      <c r="D160" s="4" t="str">
        <f>IFERROR(__xludf.DUMMYFUNCTION("""COMPUTED_VALUE"""),"Active")</f>
        <v>Active</v>
      </c>
      <c r="E160" s="4" t="str">
        <f>IFERROR(__xludf.DUMMYFUNCTION("""COMPUTED_VALUE"""),"Delivery Services")</f>
        <v>Delivery Services</v>
      </c>
      <c r="F160" s="4" t="str">
        <f>IFERROR(__xludf.DUMMYFUNCTION("""COMPUTED_VALUE"""),"Shubham Agnihotri")</f>
        <v>Shubham Agnihotri</v>
      </c>
      <c r="G160" s="4" t="str">
        <f>IFERROR(__xludf.DUMMYFUNCTION("""COMPUTED_VALUE"""),"Cluster - Gaurav")</f>
        <v>Cluster - Gaurav</v>
      </c>
      <c r="H160" s="4" t="str">
        <f>IFERROR(__xludf.DUMMYFUNCTION("""COMPUTED_VALUE"""),"ONIGJYLQ2")</f>
        <v>ONIGJYLQ2</v>
      </c>
      <c r="I160" s="5">
        <f>IFERROR(__xludf.DUMMYFUNCTION("""COMPUTED_VALUE"""),24.0)</f>
        <v>24</v>
      </c>
      <c r="J160" s="4" t="str">
        <f>IFERROR(__xludf.DUMMYFUNCTION("""COMPUTED_VALUE"""),"Tier 3")</f>
        <v>Tier 3</v>
      </c>
      <c r="K160" s="4" t="str">
        <f>IFERROR(__xludf.DUMMYFUNCTION("""COMPUTED_VALUE"""),"Active")</f>
        <v>Active</v>
      </c>
      <c r="L160" s="4" t="str">
        <f>IFERROR(__xludf.DUMMYFUNCTION("""COMPUTED_VALUE"""),"Google Kubernetes Engine")</f>
        <v>Google Kubernetes Engine</v>
      </c>
    </row>
    <row r="161">
      <c r="A161" s="4" t="str">
        <f>IFERROR(__xludf.DUMMYFUNCTION("""COMPUTED_VALUE"""),"DME1545")</f>
        <v>DME1545</v>
      </c>
      <c r="B161" s="4" t="str">
        <f>IFERROR(__xludf.DUMMYFUNCTION("""COMPUTED_VALUE"""),"Lanyo Francis")</f>
        <v>Lanyo Francis</v>
      </c>
      <c r="C161" s="4" t="str">
        <f>IFERROR(__xludf.DUMMYFUNCTION("""COMPUTED_VALUE"""),"lanyo.francis@onixnet.com")</f>
        <v>lanyo.francis@onixnet.com</v>
      </c>
      <c r="D161" s="4" t="str">
        <f>IFERROR(__xludf.DUMMYFUNCTION("""COMPUTED_VALUE"""),"Active")</f>
        <v>Active</v>
      </c>
      <c r="E161" s="4" t="str">
        <f>IFERROR(__xludf.DUMMYFUNCTION("""COMPUTED_VALUE"""),"Delivery Services")</f>
        <v>Delivery Services</v>
      </c>
      <c r="F161" s="4" t="str">
        <f>IFERROR(__xludf.DUMMYFUNCTION("""COMPUTED_VALUE"""),"Devayani Girish Pillai")</f>
        <v>Devayani Girish Pillai</v>
      </c>
      <c r="G161" s="4" t="str">
        <f>IFERROR(__xludf.DUMMYFUNCTION("""COMPUTED_VALUE"""),"Cluster - Devayani")</f>
        <v>Cluster - Devayani</v>
      </c>
      <c r="H161" s="4" t="str">
        <f>IFERROR(__xludf.DUMMYFUNCTION("""COMPUTED_VALUE"""),"ONILFZBQ3")</f>
        <v>ONILFZBQ3</v>
      </c>
      <c r="I161" s="5">
        <f>IFERROR(__xludf.DUMMYFUNCTION("""COMPUTED_VALUE"""),54.0)</f>
        <v>54</v>
      </c>
      <c r="J161" s="4" t="str">
        <f>IFERROR(__xludf.DUMMYFUNCTION("""COMPUTED_VALUE"""),"Tier 1")</f>
        <v>Tier 1</v>
      </c>
      <c r="K161" s="4" t="str">
        <f>IFERROR(__xludf.DUMMYFUNCTION("""COMPUTED_VALUE"""),"Active")</f>
        <v>Active</v>
      </c>
      <c r="L161" s="4" t="str">
        <f>IFERROR(__xludf.DUMMYFUNCTION("""COMPUTED_VALUE"""),"AI Applications")</f>
        <v>AI Applications</v>
      </c>
    </row>
    <row r="162">
      <c r="A162" s="4" t="str">
        <f>IFERROR(__xludf.DUMMYFUNCTION("""COMPUTED_VALUE"""),"DME1561")</f>
        <v>DME1561</v>
      </c>
      <c r="B162" s="4" t="str">
        <f>IFERROR(__xludf.DUMMYFUNCTION("""COMPUTED_VALUE"""),"Akash Gulab Dhanave")</f>
        <v>Akash Gulab Dhanave</v>
      </c>
      <c r="C162" s="4" t="str">
        <f>IFERROR(__xludf.DUMMYFUNCTION("""COMPUTED_VALUE"""),"akash.dhanave@onixnet.com")</f>
        <v>akash.dhanave@onixnet.com</v>
      </c>
      <c r="D162" s="4" t="str">
        <f>IFERROR(__xludf.DUMMYFUNCTION("""COMPUTED_VALUE"""),"Active")</f>
        <v>Active</v>
      </c>
      <c r="E162" s="4" t="str">
        <f>IFERROR(__xludf.DUMMYFUNCTION("""COMPUTED_VALUE"""),"Delivery Services")</f>
        <v>Delivery Services</v>
      </c>
      <c r="F162" s="4" t="str">
        <f>IFERROR(__xludf.DUMMYFUNCTION("""COMPUTED_VALUE"""),"Priyanka Parab")</f>
        <v>Priyanka Parab</v>
      </c>
      <c r="G162" s="4" t="str">
        <f>IFERROR(__xludf.DUMMYFUNCTION("""COMPUTED_VALUE"""),"Cluster - Sagar")</f>
        <v>Cluster - Sagar</v>
      </c>
      <c r="H162" s="4" t="str">
        <f>IFERROR(__xludf.DUMMYFUNCTION("""COMPUTED_VALUE"""),"DATADNBL0")</f>
        <v>DATADNBL0</v>
      </c>
      <c r="I162" s="5">
        <f>IFERROR(__xludf.DUMMYFUNCTION("""COMPUTED_VALUE"""),22.0)</f>
        <v>22</v>
      </c>
      <c r="J162" s="4" t="str">
        <f>IFERROR(__xludf.DUMMYFUNCTION("""COMPUTED_VALUE"""),"Tier 3")</f>
        <v>Tier 3</v>
      </c>
      <c r="K162" s="4" t="str">
        <f>IFERROR(__xludf.DUMMYFUNCTION("""COMPUTED_VALUE"""),"Active")</f>
        <v>Active</v>
      </c>
      <c r="L162" s="4" t="str">
        <f>IFERROR(__xludf.DUMMYFUNCTION("""COMPUTED_VALUE"""),"Gemini Enterprise Agent Platform")</f>
        <v>Gemini Enterprise Agent Platform</v>
      </c>
    </row>
    <row r="163">
      <c r="A163" s="4" t="str">
        <f>IFERROR(__xludf.DUMMYFUNCTION("""COMPUTED_VALUE"""),"DME1565")</f>
        <v>DME1565</v>
      </c>
      <c r="B163" s="4" t="str">
        <f>IFERROR(__xludf.DUMMYFUNCTION("""COMPUTED_VALUE"""),"Komal Ketan Kamthe")</f>
        <v>Komal Ketan Kamthe</v>
      </c>
      <c r="C163" s="4" t="str">
        <f>IFERROR(__xludf.DUMMYFUNCTION("""COMPUTED_VALUE"""),"komal.dabhade@onixnet.com")</f>
        <v>komal.dabhade@onixnet.com</v>
      </c>
      <c r="D163" s="4" t="str">
        <f>IFERROR(__xludf.DUMMYFUNCTION("""COMPUTED_VALUE"""),"Active")</f>
        <v>Active</v>
      </c>
      <c r="E163" s="4" t="str">
        <f>IFERROR(__xludf.DUMMYFUNCTION("""COMPUTED_VALUE"""),"Delivery Services")</f>
        <v>Delivery Services</v>
      </c>
      <c r="F163" s="4" t="str">
        <f>IFERROR(__xludf.DUMMYFUNCTION("""COMPUTED_VALUE"""),"Naveen Harish")</f>
        <v>Naveen Harish</v>
      </c>
      <c r="G163" s="4" t="str">
        <f>IFERROR(__xludf.DUMMYFUNCTION("""COMPUTED_VALUE"""),"Cluster - Varun")</f>
        <v>Cluster - Varun</v>
      </c>
      <c r="H163" s="4" t="str">
        <f>IFERROR(__xludf.DUMMYFUNCTION("""COMPUTED_VALUE"""),"ONIKKCKG9")</f>
        <v>ONIKKCKG9</v>
      </c>
      <c r="I163" s="5">
        <f>IFERROR(__xludf.DUMMYFUNCTION("""COMPUTED_VALUE"""),19.0)</f>
        <v>19</v>
      </c>
      <c r="J163" s="4" t="str">
        <f>IFERROR(__xludf.DUMMYFUNCTION("""COMPUTED_VALUE"""),"Tier 4")</f>
        <v>Tier 4</v>
      </c>
      <c r="K163" s="4" t="str">
        <f>IFERROR(__xludf.DUMMYFUNCTION("""COMPUTED_VALUE"""),"Active")</f>
        <v>Active</v>
      </c>
      <c r="L163" s="4" t="str">
        <f>IFERROR(__xludf.DUMMYFUNCTION("""COMPUTED_VALUE"""),"BigQuery")</f>
        <v>BigQuery</v>
      </c>
    </row>
    <row r="164">
      <c r="A164" s="4" t="str">
        <f>IFERROR(__xludf.DUMMYFUNCTION("""COMPUTED_VALUE"""),"DME1574")</f>
        <v>DME1574</v>
      </c>
      <c r="B164" s="4" t="str">
        <f>IFERROR(__xludf.DUMMYFUNCTION("""COMPUTED_VALUE"""),"Anurag Saxena")</f>
        <v>Anurag Saxena</v>
      </c>
      <c r="C164" s="4" t="str">
        <f>IFERROR(__xludf.DUMMYFUNCTION("""COMPUTED_VALUE"""),"anurag.saxena@onixnet.com")</f>
        <v>anurag.saxena@onixnet.com</v>
      </c>
      <c r="D164" s="4" t="str">
        <f>IFERROR(__xludf.DUMMYFUNCTION("""COMPUTED_VALUE"""),"Active")</f>
        <v>Active</v>
      </c>
      <c r="E164" s="4" t="str">
        <f>IFERROR(__xludf.DUMMYFUNCTION("""COMPUTED_VALUE"""),"Product Engineering")</f>
        <v>Product Engineering</v>
      </c>
      <c r="F164" s="4" t="str">
        <f>IFERROR(__xludf.DUMMYFUNCTION("""COMPUTED_VALUE"""),"Anand Sharma")</f>
        <v>Anand Sharma</v>
      </c>
      <c r="G164" s="4" t="str">
        <f>IFERROR(__xludf.DUMMYFUNCTION("""COMPUTED_VALUE"""),"Cluster - Mayur")</f>
        <v>Cluster - Mayur</v>
      </c>
      <c r="H164" s="4"/>
      <c r="I164" s="5"/>
      <c r="J164" s="4"/>
      <c r="K164" s="4" t="str">
        <f>IFERROR(__xludf.DUMMYFUNCTION("""COMPUTED_VALUE"""),"ID Not Created")</f>
        <v>ID Not Created</v>
      </c>
      <c r="L164" s="4"/>
    </row>
    <row r="165">
      <c r="A165" s="4" t="str">
        <f>IFERROR(__xludf.DUMMYFUNCTION("""COMPUTED_VALUE"""),"DME1578")</f>
        <v>DME1578</v>
      </c>
      <c r="B165" s="4" t="str">
        <f>IFERROR(__xludf.DUMMYFUNCTION("""COMPUTED_VALUE"""),"Satya Siva Suri Prakash Sarakam")</f>
        <v>Satya Siva Suri Prakash Sarakam</v>
      </c>
      <c r="C165" s="4" t="str">
        <f>IFERROR(__xludf.DUMMYFUNCTION("""COMPUTED_VALUE"""),"prakash.sarakam@onixnet.com")</f>
        <v>prakash.sarakam@onixnet.com</v>
      </c>
      <c r="D165" s="4" t="str">
        <f>IFERROR(__xludf.DUMMYFUNCTION("""COMPUTED_VALUE"""),"Active")</f>
        <v>Active</v>
      </c>
      <c r="E165" s="4" t="str">
        <f>IFERROR(__xludf.DUMMYFUNCTION("""COMPUTED_VALUE"""),"Delivery Services")</f>
        <v>Delivery Services</v>
      </c>
      <c r="F165" s="4" t="str">
        <f>IFERROR(__xludf.DUMMYFUNCTION("""COMPUTED_VALUE"""),"Shreepad Dhok")</f>
        <v>Shreepad Dhok</v>
      </c>
      <c r="G165" s="4" t="str">
        <f>IFERROR(__xludf.DUMMYFUNCTION("""COMPUTED_VALUE"""),"Cluster - Shreepad")</f>
        <v>Cluster - Shreepad</v>
      </c>
      <c r="H165" s="4" t="str">
        <f>IFERROR(__xludf.DUMMYFUNCTION("""COMPUTED_VALUE"""),"ONIPSBKH7")</f>
        <v>ONIPSBKH7</v>
      </c>
      <c r="I165" s="5">
        <f>IFERROR(__xludf.DUMMYFUNCTION("""COMPUTED_VALUE"""),29.0)</f>
        <v>29</v>
      </c>
      <c r="J165" s="4" t="str">
        <f>IFERROR(__xludf.DUMMYFUNCTION("""COMPUTED_VALUE"""),"Tier 3")</f>
        <v>Tier 3</v>
      </c>
      <c r="K165" s="4" t="str">
        <f>IFERROR(__xludf.DUMMYFUNCTION("""COMPUTED_VALUE"""),"Active")</f>
        <v>Active</v>
      </c>
      <c r="L165" s="4" t="str">
        <f>IFERROR(__xludf.DUMMYFUNCTION("""COMPUTED_VALUE"""),"BigQuery")</f>
        <v>BigQuery</v>
      </c>
    </row>
    <row r="166">
      <c r="A166" s="4" t="str">
        <f>IFERROR(__xludf.DUMMYFUNCTION("""COMPUTED_VALUE"""),"DME1580")</f>
        <v>DME1580</v>
      </c>
      <c r="B166" s="4" t="str">
        <f>IFERROR(__xludf.DUMMYFUNCTION("""COMPUTED_VALUE"""),"Uday Ajinath Hajare")</f>
        <v>Uday Ajinath Hajare</v>
      </c>
      <c r="C166" s="4" t="str">
        <f>IFERROR(__xludf.DUMMYFUNCTION("""COMPUTED_VALUE"""),"uday.hajare@onixnet.com")</f>
        <v>uday.hajare@onixnet.com</v>
      </c>
      <c r="D166" s="4" t="str">
        <f>IFERROR(__xludf.DUMMYFUNCTION("""COMPUTED_VALUE"""),"Active")</f>
        <v>Active</v>
      </c>
      <c r="E166" s="4" t="str">
        <f>IFERROR(__xludf.DUMMYFUNCTION("""COMPUTED_VALUE"""),"Product Engineering")</f>
        <v>Product Engineering</v>
      </c>
      <c r="F166" s="4" t="str">
        <f>IFERROR(__xludf.DUMMYFUNCTION("""COMPUTED_VALUE"""),"Jayesh Shukla")</f>
        <v>Jayesh Shukla</v>
      </c>
      <c r="G166" s="4" t="str">
        <f>IFERROR(__xludf.DUMMYFUNCTION("""COMPUTED_VALUE"""),"Cluster - Mayur")</f>
        <v>Cluster - Mayur</v>
      </c>
      <c r="H166" s="4" t="str">
        <f>IFERROR(__xludf.DUMMYFUNCTION("""COMPUTED_VALUE"""),"ONIUHOWG2")</f>
        <v>ONIUHOWG2</v>
      </c>
      <c r="I166" s="5">
        <f>IFERROR(__xludf.DUMMYFUNCTION("""COMPUTED_VALUE"""),20.0)</f>
        <v>20</v>
      </c>
      <c r="J166" s="4" t="str">
        <f>IFERROR(__xludf.DUMMYFUNCTION("""COMPUTED_VALUE"""),"Tier 3")</f>
        <v>Tier 3</v>
      </c>
      <c r="K166" s="4" t="str">
        <f>IFERROR(__xludf.DUMMYFUNCTION("""COMPUTED_VALUE"""),"Active")</f>
        <v>Active</v>
      </c>
      <c r="L166" s="4" t="str">
        <f>IFERROR(__xludf.DUMMYFUNCTION("""COMPUTED_VALUE"""),"AI Applications")</f>
        <v>AI Applications</v>
      </c>
    </row>
    <row r="167">
      <c r="A167" s="4" t="str">
        <f>IFERROR(__xludf.DUMMYFUNCTION("""COMPUTED_VALUE"""),"DME1606")</f>
        <v>DME1606</v>
      </c>
      <c r="B167" s="4" t="str">
        <f>IFERROR(__xludf.DUMMYFUNCTION("""COMPUTED_VALUE"""),"Rani Narayan Bagade")</f>
        <v>Rani Narayan Bagade</v>
      </c>
      <c r="C167" s="4" t="str">
        <f>IFERROR(__xludf.DUMMYFUNCTION("""COMPUTED_VALUE"""),"rani.bagade@onixnet.com")</f>
        <v>rani.bagade@onixnet.com</v>
      </c>
      <c r="D167" s="4" t="str">
        <f>IFERROR(__xludf.DUMMYFUNCTION("""COMPUTED_VALUE"""),"Active")</f>
        <v>Active</v>
      </c>
      <c r="E167" s="4" t="str">
        <f>IFERROR(__xludf.DUMMYFUNCTION("""COMPUTED_VALUE"""),"Delivery Services")</f>
        <v>Delivery Services</v>
      </c>
      <c r="F167" s="4" t="str">
        <f>IFERROR(__xludf.DUMMYFUNCTION("""COMPUTED_VALUE"""),"Priyanka Jain")</f>
        <v>Priyanka Jain</v>
      </c>
      <c r="G167" s="4" t="str">
        <f>IFERROR(__xludf.DUMMYFUNCTION("""COMPUTED_VALUE"""),"Cluster - Sagar")</f>
        <v>Cluster - Sagar</v>
      </c>
      <c r="H167" s="4" t="str">
        <f>IFERROR(__xludf.DUMMYFUNCTION("""COMPUTED_VALUE"""),"DATRBAFS9")</f>
        <v>DATRBAFS9</v>
      </c>
      <c r="I167" s="5">
        <f>IFERROR(__xludf.DUMMYFUNCTION("""COMPUTED_VALUE"""),36.0)</f>
        <v>36</v>
      </c>
      <c r="J167" s="4" t="str">
        <f>IFERROR(__xludf.DUMMYFUNCTION("""COMPUTED_VALUE"""),"Tier 2")</f>
        <v>Tier 2</v>
      </c>
      <c r="K167" s="4" t="str">
        <f>IFERROR(__xludf.DUMMYFUNCTION("""COMPUTED_VALUE"""),"Active")</f>
        <v>Active</v>
      </c>
      <c r="L167" s="4" t="str">
        <f>IFERROR(__xludf.DUMMYFUNCTION("""COMPUTED_VALUE"""),"BigQuery")</f>
        <v>BigQuery</v>
      </c>
    </row>
    <row r="168">
      <c r="A168" s="4" t="str">
        <f>IFERROR(__xludf.DUMMYFUNCTION("""COMPUTED_VALUE"""),"DME1603")</f>
        <v>DME1603</v>
      </c>
      <c r="B168" s="4" t="str">
        <f>IFERROR(__xludf.DUMMYFUNCTION("""COMPUTED_VALUE"""),"Renuka Kiran Kadale")</f>
        <v>Renuka Kiran Kadale</v>
      </c>
      <c r="C168" s="4" t="str">
        <f>IFERROR(__xludf.DUMMYFUNCTION("""COMPUTED_VALUE"""),"renuka.kadale@onixnet.com")</f>
        <v>renuka.kadale@onixnet.com</v>
      </c>
      <c r="D168" s="4" t="str">
        <f>IFERROR(__xludf.DUMMYFUNCTION("""COMPUTED_VALUE"""),"Active")</f>
        <v>Active</v>
      </c>
      <c r="E168" s="4" t="str">
        <f>IFERROR(__xludf.DUMMYFUNCTION("""COMPUTED_VALUE"""),"Delivery Services")</f>
        <v>Delivery Services</v>
      </c>
      <c r="F168" s="4" t="str">
        <f>IFERROR(__xludf.DUMMYFUNCTION("""COMPUTED_VALUE"""),"Anand Saraf")</f>
        <v>Anand Saraf</v>
      </c>
      <c r="G168" s="4" t="str">
        <f>IFERROR(__xludf.DUMMYFUNCTION("""COMPUTED_VALUE"""),"Cluster - Sachin")</f>
        <v>Cluster - Sachin</v>
      </c>
      <c r="H168" s="4" t="str">
        <f>IFERROR(__xludf.DUMMYFUNCTION("""COMPUTED_VALUE"""),"ONIRKCAU1")</f>
        <v>ONIRKCAU1</v>
      </c>
      <c r="I168" s="5">
        <f>IFERROR(__xludf.DUMMYFUNCTION("""COMPUTED_VALUE"""),5.0)</f>
        <v>5</v>
      </c>
      <c r="J168" s="4" t="str">
        <f>IFERROR(__xludf.DUMMYFUNCTION("""COMPUTED_VALUE"""),"Tier 4")</f>
        <v>Tier 4</v>
      </c>
      <c r="K168" s="4" t="str">
        <f>IFERROR(__xludf.DUMMYFUNCTION("""COMPUTED_VALUE"""),"Active")</f>
        <v>Active</v>
      </c>
      <c r="L168" s="4" t="str">
        <f>IFERROR(__xludf.DUMMYFUNCTION("""COMPUTED_VALUE"""),"Gemini Enterprise Agent Platform")</f>
        <v>Gemini Enterprise Agent Platform</v>
      </c>
    </row>
    <row r="169">
      <c r="A169" s="4" t="str">
        <f>IFERROR(__xludf.DUMMYFUNCTION("""COMPUTED_VALUE"""),"DME1602")</f>
        <v>DME1602</v>
      </c>
      <c r="B169" s="4" t="str">
        <f>IFERROR(__xludf.DUMMYFUNCTION("""COMPUTED_VALUE"""),"Shubham Dattatraya Veer")</f>
        <v>Shubham Dattatraya Veer</v>
      </c>
      <c r="C169" s="4" t="str">
        <f>IFERROR(__xludf.DUMMYFUNCTION("""COMPUTED_VALUE"""),"shubham.veer@onixnet.com")</f>
        <v>shubham.veer@onixnet.com</v>
      </c>
      <c r="D169" s="4" t="str">
        <f>IFERROR(__xludf.DUMMYFUNCTION("""COMPUTED_VALUE"""),"Active")</f>
        <v>Active</v>
      </c>
      <c r="E169" s="4" t="str">
        <f>IFERROR(__xludf.DUMMYFUNCTION("""COMPUTED_VALUE"""),"Product Engineering")</f>
        <v>Product Engineering</v>
      </c>
      <c r="F169" s="4" t="str">
        <f>IFERROR(__xludf.DUMMYFUNCTION("""COMPUTED_VALUE"""),"Sajid Patel")</f>
        <v>Sajid Patel</v>
      </c>
      <c r="G169" s="4" t="str">
        <f>IFERROR(__xludf.DUMMYFUNCTION("""COMPUTED_VALUE"""),"Cluster - Mayur")</f>
        <v>Cluster - Mayur</v>
      </c>
      <c r="H169" s="4" t="str">
        <f>IFERROR(__xludf.DUMMYFUNCTION("""COMPUTED_VALUE"""),"ONISVRCD4")</f>
        <v>ONISVRCD4</v>
      </c>
      <c r="I169" s="5">
        <f>IFERROR(__xludf.DUMMYFUNCTION("""COMPUTED_VALUE"""),0.0)</f>
        <v>0</v>
      </c>
      <c r="J169" s="4" t="str">
        <f>IFERROR(__xludf.DUMMYFUNCTION("""COMPUTED_VALUE"""),"Tier 4")</f>
        <v>Tier 4</v>
      </c>
      <c r="K169" s="4" t="str">
        <f>IFERROR(__xludf.DUMMYFUNCTION("""COMPUTED_VALUE"""),"ID Created DRP score 0")</f>
        <v>ID Created DRP score 0</v>
      </c>
      <c r="L169" s="4"/>
    </row>
    <row r="170">
      <c r="A170" s="4" t="str">
        <f>IFERROR(__xludf.DUMMYFUNCTION("""COMPUTED_VALUE"""),"DME1587")</f>
        <v>DME1587</v>
      </c>
      <c r="B170" s="4" t="str">
        <f>IFERROR(__xludf.DUMMYFUNCTION("""COMPUTED_VALUE"""),"Rajat Jitendra Shinde")</f>
        <v>Rajat Jitendra Shinde</v>
      </c>
      <c r="C170" s="4" t="str">
        <f>IFERROR(__xludf.DUMMYFUNCTION("""COMPUTED_VALUE"""),"rajat.shinde@onixnet.com")</f>
        <v>rajat.shinde@onixnet.com</v>
      </c>
      <c r="D170" s="4" t="str">
        <f>IFERROR(__xludf.DUMMYFUNCTION("""COMPUTED_VALUE"""),"Active")</f>
        <v>Active</v>
      </c>
      <c r="E170" s="4" t="str">
        <f>IFERROR(__xludf.DUMMYFUNCTION("""COMPUTED_VALUE"""),"Delivery Services")</f>
        <v>Delivery Services</v>
      </c>
      <c r="F170" s="4" t="str">
        <f>IFERROR(__xludf.DUMMYFUNCTION("""COMPUTED_VALUE"""),"Shubham Agnihotri")</f>
        <v>Shubham Agnihotri</v>
      </c>
      <c r="G170" s="4" t="str">
        <f>IFERROR(__xludf.DUMMYFUNCTION("""COMPUTED_VALUE"""),"Cluster - Gaurav")</f>
        <v>Cluster - Gaurav</v>
      </c>
      <c r="H170" s="4" t="str">
        <f>IFERROR(__xludf.DUMMYFUNCTION("""COMPUTED_VALUE"""),"ONIRSMCT0")</f>
        <v>ONIRSMCT0</v>
      </c>
      <c r="I170" s="5">
        <f>IFERROR(__xludf.DUMMYFUNCTION("""COMPUTED_VALUE"""),10.0)</f>
        <v>10</v>
      </c>
      <c r="J170" s="4" t="str">
        <f>IFERROR(__xludf.DUMMYFUNCTION("""COMPUTED_VALUE"""),"Tier 4")</f>
        <v>Tier 4</v>
      </c>
      <c r="K170" s="4" t="str">
        <f>IFERROR(__xludf.DUMMYFUNCTION("""COMPUTED_VALUE"""),"Active")</f>
        <v>Active</v>
      </c>
      <c r="L170" s="4" t="str">
        <f>IFERROR(__xludf.DUMMYFUNCTION("""COMPUTED_VALUE"""),"BigQuery")</f>
        <v>BigQuery</v>
      </c>
    </row>
    <row r="171">
      <c r="A171" s="4" t="str">
        <f>IFERROR(__xludf.DUMMYFUNCTION("""COMPUTED_VALUE"""),"DME1597")</f>
        <v>DME1597</v>
      </c>
      <c r="B171" s="4" t="str">
        <f>IFERROR(__xludf.DUMMYFUNCTION("""COMPUTED_VALUE"""),"Kaustubh Vishnu Thakre")</f>
        <v>Kaustubh Vishnu Thakre</v>
      </c>
      <c r="C171" s="4" t="str">
        <f>IFERROR(__xludf.DUMMYFUNCTION("""COMPUTED_VALUE"""),"kaustubh.thakre@onixnet.com")</f>
        <v>kaustubh.thakre@onixnet.com</v>
      </c>
      <c r="D171" s="4" t="str">
        <f>IFERROR(__xludf.DUMMYFUNCTION("""COMPUTED_VALUE"""),"Active")</f>
        <v>Active</v>
      </c>
      <c r="E171" s="4" t="str">
        <f>IFERROR(__xludf.DUMMYFUNCTION("""COMPUTED_VALUE"""),"Delivery Services")</f>
        <v>Delivery Services</v>
      </c>
      <c r="F171" s="4" t="str">
        <f>IFERROR(__xludf.DUMMYFUNCTION("""COMPUTED_VALUE"""),"Marut Misra")</f>
        <v>Marut Misra</v>
      </c>
      <c r="G171" s="4" t="str">
        <f>IFERROR(__xludf.DUMMYFUNCTION("""COMPUTED_VALUE"""),"Cluster - Sachin")</f>
        <v>Cluster - Sachin</v>
      </c>
      <c r="H171" s="4" t="str">
        <f>IFERROR(__xludf.DUMMYFUNCTION("""COMPUTED_VALUE"""),"ONIKTXGS7")</f>
        <v>ONIKTXGS7</v>
      </c>
      <c r="I171" s="5">
        <f>IFERROR(__xludf.DUMMYFUNCTION("""COMPUTED_VALUE"""),10.0)</f>
        <v>10</v>
      </c>
      <c r="J171" s="4" t="str">
        <f>IFERROR(__xludf.DUMMYFUNCTION("""COMPUTED_VALUE"""),"Tier 4")</f>
        <v>Tier 4</v>
      </c>
      <c r="K171" s="4" t="str">
        <f>IFERROR(__xludf.DUMMYFUNCTION("""COMPUTED_VALUE"""),"Active")</f>
        <v>Active</v>
      </c>
      <c r="L171" s="4" t="str">
        <f>IFERROR(__xludf.DUMMYFUNCTION("""COMPUTED_VALUE"""),"BigQuery")</f>
        <v>BigQuery</v>
      </c>
    </row>
    <row r="172">
      <c r="A172" s="4" t="str">
        <f>IFERROR(__xludf.DUMMYFUNCTION("""COMPUTED_VALUE"""),"DME1598")</f>
        <v>DME1598</v>
      </c>
      <c r="B172" s="4" t="str">
        <f>IFERROR(__xludf.DUMMYFUNCTION("""COMPUTED_VALUE"""),"Suryakanta Mishra")</f>
        <v>Suryakanta Mishra</v>
      </c>
      <c r="C172" s="4" t="str">
        <f>IFERROR(__xludf.DUMMYFUNCTION("""COMPUTED_VALUE"""),"suryakanta.mishra@onixnet.com")</f>
        <v>suryakanta.mishra@onixnet.com</v>
      </c>
      <c r="D172" s="4" t="str">
        <f>IFERROR(__xludf.DUMMYFUNCTION("""COMPUTED_VALUE"""),"Active")</f>
        <v>Active</v>
      </c>
      <c r="E172" s="4" t="str">
        <f>IFERROR(__xludf.DUMMYFUNCTION("""COMPUTED_VALUE"""),"Delivery Services")</f>
        <v>Delivery Services</v>
      </c>
      <c r="F172" s="4" t="str">
        <f>IFERROR(__xludf.DUMMYFUNCTION("""COMPUTED_VALUE"""),"Sneha Bhatambrekar")</f>
        <v>Sneha Bhatambrekar</v>
      </c>
      <c r="G172" s="4" t="str">
        <f>IFERROR(__xludf.DUMMYFUNCTION("""COMPUTED_VALUE"""),"Cluster - Sandeep")</f>
        <v>Cluster - Sandeep</v>
      </c>
      <c r="H172" s="4" t="str">
        <f>IFERROR(__xludf.DUMMYFUNCTION("""COMPUTED_VALUE"""),"ONISMVRB2")</f>
        <v>ONISMVRB2</v>
      </c>
      <c r="I172" s="5">
        <f>IFERROR(__xludf.DUMMYFUNCTION("""COMPUTED_VALUE"""),0.0)</f>
        <v>0</v>
      </c>
      <c r="J172" s="4" t="str">
        <f>IFERROR(__xludf.DUMMYFUNCTION("""COMPUTED_VALUE"""),"Tier 4")</f>
        <v>Tier 4</v>
      </c>
      <c r="K172" s="4" t="str">
        <f>IFERROR(__xludf.DUMMYFUNCTION("""COMPUTED_VALUE"""),"ID Created DRP score 0")</f>
        <v>ID Created DRP score 0</v>
      </c>
      <c r="L172" s="4"/>
    </row>
    <row r="173">
      <c r="A173" s="4" t="str">
        <f>IFERROR(__xludf.DUMMYFUNCTION("""COMPUTED_VALUE"""),"DME1608")</f>
        <v>DME1608</v>
      </c>
      <c r="B173" s="4" t="str">
        <f>IFERROR(__xludf.DUMMYFUNCTION("""COMPUTED_VALUE"""),"Rahul Chandak")</f>
        <v>Rahul Chandak</v>
      </c>
      <c r="C173" s="4" t="str">
        <f>IFERROR(__xludf.DUMMYFUNCTION("""COMPUTED_VALUE"""),"rahul.chandak@onixnet.com")</f>
        <v>rahul.chandak@onixnet.com</v>
      </c>
      <c r="D173" s="4" t="str">
        <f>IFERROR(__xludf.DUMMYFUNCTION("""COMPUTED_VALUE"""),"Active")</f>
        <v>Active</v>
      </c>
      <c r="E173" s="4" t="str">
        <f>IFERROR(__xludf.DUMMYFUNCTION("""COMPUTED_VALUE"""),"Delivery Services")</f>
        <v>Delivery Services</v>
      </c>
      <c r="F173" s="4" t="str">
        <f>IFERROR(__xludf.DUMMYFUNCTION("""COMPUTED_VALUE"""),"Prasad Pramod Kulkarni")</f>
        <v>Prasad Pramod Kulkarni</v>
      </c>
      <c r="G173" s="4" t="str">
        <f>IFERROR(__xludf.DUMMYFUNCTION("""COMPUTED_VALUE"""),"Cluster - Sagar")</f>
        <v>Cluster - Sagar</v>
      </c>
      <c r="H173" s="4" t="str">
        <f>IFERROR(__xludf.DUMMYFUNCTION("""COMPUTED_VALUE"""),"ONIRCJDR8")</f>
        <v>ONIRCJDR8</v>
      </c>
      <c r="I173" s="5">
        <f>IFERROR(__xludf.DUMMYFUNCTION("""COMPUTED_VALUE"""),38.0)</f>
        <v>38</v>
      </c>
      <c r="J173" s="4" t="str">
        <f>IFERROR(__xludf.DUMMYFUNCTION("""COMPUTED_VALUE"""),"Tier 2")</f>
        <v>Tier 2</v>
      </c>
      <c r="K173" s="4" t="str">
        <f>IFERROR(__xludf.DUMMYFUNCTION("""COMPUTED_VALUE"""),"Active")</f>
        <v>Active</v>
      </c>
      <c r="L173" s="4" t="str">
        <f>IFERROR(__xludf.DUMMYFUNCTION("""COMPUTED_VALUE"""),"BigQuery")</f>
        <v>BigQuery</v>
      </c>
    </row>
    <row r="174">
      <c r="A174" s="4" t="str">
        <f>IFERROR(__xludf.DUMMYFUNCTION("""COMPUTED_VALUE"""),"DME1618")</f>
        <v>DME1618</v>
      </c>
      <c r="B174" s="4" t="str">
        <f>IFERROR(__xludf.DUMMYFUNCTION("""COMPUTED_VALUE"""),"Ankit Khandelwal")</f>
        <v>Ankit Khandelwal</v>
      </c>
      <c r="C174" s="4" t="str">
        <f>IFERROR(__xludf.DUMMYFUNCTION("""COMPUTED_VALUE"""),"ankit.khandelwal@onixnet.com")</f>
        <v>ankit.khandelwal@onixnet.com</v>
      </c>
      <c r="D174" s="4" t="str">
        <f>IFERROR(__xludf.DUMMYFUNCTION("""COMPUTED_VALUE"""),"Active")</f>
        <v>Active</v>
      </c>
      <c r="E174" s="4" t="str">
        <f>IFERROR(__xludf.DUMMYFUNCTION("""COMPUTED_VALUE"""),"Eagle Assessment")</f>
        <v>Eagle Assessment</v>
      </c>
      <c r="F174" s="4" t="str">
        <f>IFERROR(__xludf.DUMMYFUNCTION("""COMPUTED_VALUE"""),"Ashish Taman")</f>
        <v>Ashish Taman</v>
      </c>
      <c r="G174" s="4" t="str">
        <f>IFERROR(__xludf.DUMMYFUNCTION("""COMPUTED_VALUE"""),"Cluster - Kalpa")</f>
        <v>Cluster - Kalpa</v>
      </c>
      <c r="H174" s="4" t="str">
        <f>IFERROR(__xludf.DUMMYFUNCTION("""COMPUTED_VALUE"""),"DATAKHJG1")</f>
        <v>DATAKHJG1</v>
      </c>
      <c r="I174" s="5">
        <f>IFERROR(__xludf.DUMMYFUNCTION("""COMPUTED_VALUE"""),0.0)</f>
        <v>0</v>
      </c>
      <c r="J174" s="4" t="str">
        <f>IFERROR(__xludf.DUMMYFUNCTION("""COMPUTED_VALUE"""),"Tier 4")</f>
        <v>Tier 4</v>
      </c>
      <c r="K174" s="4" t="str">
        <f>IFERROR(__xludf.DUMMYFUNCTION("""COMPUTED_VALUE"""),"ID Created DRP score 0")</f>
        <v>ID Created DRP score 0</v>
      </c>
      <c r="L174" s="4"/>
    </row>
    <row r="175">
      <c r="A175" s="4" t="str">
        <f>IFERROR(__xludf.DUMMYFUNCTION("""COMPUTED_VALUE"""),"DME1616")</f>
        <v>DME1616</v>
      </c>
      <c r="B175" s="4" t="str">
        <f>IFERROR(__xludf.DUMMYFUNCTION("""COMPUTED_VALUE"""),"Deepak Kumar")</f>
        <v>Deepak Kumar</v>
      </c>
      <c r="C175" s="4" t="str">
        <f>IFERROR(__xludf.DUMMYFUNCTION("""COMPUTED_VALUE"""),"deepak.k@onixnet.com")</f>
        <v>deepak.k@onixnet.com</v>
      </c>
      <c r="D175" s="4" t="str">
        <f>IFERROR(__xludf.DUMMYFUNCTION("""COMPUTED_VALUE"""),"Active")</f>
        <v>Active</v>
      </c>
      <c r="E175" s="4" t="str">
        <f>IFERROR(__xludf.DUMMYFUNCTION("""COMPUTED_VALUE"""),"Product Engineering")</f>
        <v>Product Engineering</v>
      </c>
      <c r="F175" s="4" t="str">
        <f>IFERROR(__xludf.DUMMYFUNCTION("""COMPUTED_VALUE"""),"Pooja Kore")</f>
        <v>Pooja Kore</v>
      </c>
      <c r="G175" s="4" t="str">
        <f>IFERROR(__xludf.DUMMYFUNCTION("""COMPUTED_VALUE"""),"Cluster - Mayur")</f>
        <v>Cluster - Mayur</v>
      </c>
      <c r="H175" s="4" t="str">
        <f>IFERROR(__xludf.DUMMYFUNCTION("""COMPUTED_VALUE"""),"ONIDKZGU8")</f>
        <v>ONIDKZGU8</v>
      </c>
      <c r="I175" s="5">
        <f>IFERROR(__xludf.DUMMYFUNCTION("""COMPUTED_VALUE"""),25.0)</f>
        <v>25</v>
      </c>
      <c r="J175" s="4" t="str">
        <f>IFERROR(__xludf.DUMMYFUNCTION("""COMPUTED_VALUE"""),"Tier 3")</f>
        <v>Tier 3</v>
      </c>
      <c r="K175" s="4" t="str">
        <f>IFERROR(__xludf.DUMMYFUNCTION("""COMPUTED_VALUE"""),"Active")</f>
        <v>Active</v>
      </c>
      <c r="L175" s="4" t="str">
        <f>IFERROR(__xludf.DUMMYFUNCTION("""COMPUTED_VALUE"""),"BigQuery")</f>
        <v>BigQuery</v>
      </c>
    </row>
    <row r="176">
      <c r="A176" s="4" t="str">
        <f>IFERROR(__xludf.DUMMYFUNCTION("""COMPUTED_VALUE"""),"DME1617")</f>
        <v>DME1617</v>
      </c>
      <c r="B176" s="4" t="str">
        <f>IFERROR(__xludf.DUMMYFUNCTION("""COMPUTED_VALUE"""),"Yogesh Dilip Phalke")</f>
        <v>Yogesh Dilip Phalke</v>
      </c>
      <c r="C176" s="4" t="str">
        <f>IFERROR(__xludf.DUMMYFUNCTION("""COMPUTED_VALUE"""),"yogesh.phalke@onixnet.com")</f>
        <v>yogesh.phalke@onixnet.com</v>
      </c>
      <c r="D176" s="4" t="str">
        <f>IFERROR(__xludf.DUMMYFUNCTION("""COMPUTED_VALUE"""),"Active")</f>
        <v>Active</v>
      </c>
      <c r="E176" s="4" t="str">
        <f>IFERROR(__xludf.DUMMYFUNCTION("""COMPUTED_VALUE"""),"Delivery Services")</f>
        <v>Delivery Services</v>
      </c>
      <c r="F176" s="4" t="str">
        <f>IFERROR(__xludf.DUMMYFUNCTION("""COMPUTED_VALUE"""),"Prasad Pramod Kulkarni")</f>
        <v>Prasad Pramod Kulkarni</v>
      </c>
      <c r="G176" s="4" t="str">
        <f>IFERROR(__xludf.DUMMYFUNCTION("""COMPUTED_VALUE"""),"Cluster - Sagar")</f>
        <v>Cluster - Sagar</v>
      </c>
      <c r="H176" s="4" t="str">
        <f>IFERROR(__xludf.DUMMYFUNCTION("""COMPUTED_VALUE"""),"ONIYPSRY9")</f>
        <v>ONIYPSRY9</v>
      </c>
      <c r="I176" s="5">
        <f>IFERROR(__xludf.DUMMYFUNCTION("""COMPUTED_VALUE"""),23.0)</f>
        <v>23</v>
      </c>
      <c r="J176" s="4" t="str">
        <f>IFERROR(__xludf.DUMMYFUNCTION("""COMPUTED_VALUE"""),"Tier 3")</f>
        <v>Tier 3</v>
      </c>
      <c r="K176" s="4" t="str">
        <f>IFERROR(__xludf.DUMMYFUNCTION("""COMPUTED_VALUE"""),"Active")</f>
        <v>Active</v>
      </c>
      <c r="L176" s="4" t="str">
        <f>IFERROR(__xludf.DUMMYFUNCTION("""COMPUTED_VALUE"""),"BigQuery")</f>
        <v>BigQuery</v>
      </c>
    </row>
    <row r="177">
      <c r="A177" s="4" t="str">
        <f>IFERROR(__xludf.DUMMYFUNCTION("""COMPUTED_VALUE"""),"DME1626")</f>
        <v>DME1626</v>
      </c>
      <c r="B177" s="4" t="str">
        <f>IFERROR(__xludf.DUMMYFUNCTION("""COMPUTED_VALUE"""),"Tushar Prakash Pethkar")</f>
        <v>Tushar Prakash Pethkar</v>
      </c>
      <c r="C177" s="4" t="str">
        <f>IFERROR(__xludf.DUMMYFUNCTION("""COMPUTED_VALUE"""),"tushar.pethkar@onixnet.com")</f>
        <v>tushar.pethkar@onixnet.com</v>
      </c>
      <c r="D177" s="4" t="str">
        <f>IFERROR(__xludf.DUMMYFUNCTION("""COMPUTED_VALUE"""),"Active")</f>
        <v>Active</v>
      </c>
      <c r="E177" s="4" t="str">
        <f>IFERROR(__xludf.DUMMYFUNCTION("""COMPUTED_VALUE"""),"Delivery Services")</f>
        <v>Delivery Services</v>
      </c>
      <c r="F177" s="4" t="str">
        <f>IFERROR(__xludf.DUMMYFUNCTION("""COMPUTED_VALUE"""),"Rahul Chandak")</f>
        <v>Rahul Chandak</v>
      </c>
      <c r="G177" s="4" t="str">
        <f>IFERROR(__xludf.DUMMYFUNCTION("""COMPUTED_VALUE"""),"Cluster - Sagar")</f>
        <v>Cluster - Sagar</v>
      </c>
      <c r="H177" s="4" t="str">
        <f>IFERROR(__xludf.DUMMYFUNCTION("""COMPUTED_VALUE"""),"ONITPLJV3")</f>
        <v>ONITPLJV3</v>
      </c>
      <c r="I177" s="5">
        <f>IFERROR(__xludf.DUMMYFUNCTION("""COMPUTED_VALUE"""),0.0)</f>
        <v>0</v>
      </c>
      <c r="J177" s="4" t="str">
        <f>IFERROR(__xludf.DUMMYFUNCTION("""COMPUTED_VALUE"""),"Tier 4")</f>
        <v>Tier 4</v>
      </c>
      <c r="K177" s="4" t="str">
        <f>IFERROR(__xludf.DUMMYFUNCTION("""COMPUTED_VALUE"""),"ID Created DRP score 0")</f>
        <v>ID Created DRP score 0</v>
      </c>
      <c r="L177" s="4"/>
    </row>
    <row r="178">
      <c r="A178" s="4" t="str">
        <f>IFERROR(__xludf.DUMMYFUNCTION("""COMPUTED_VALUE"""),"DME1621")</f>
        <v>DME1621</v>
      </c>
      <c r="B178" s="4" t="str">
        <f>IFERROR(__xludf.DUMMYFUNCTION("""COMPUTED_VALUE"""),"Somnath Ashit Chouwdhury")</f>
        <v>Somnath Ashit Chouwdhury</v>
      </c>
      <c r="C178" s="4" t="str">
        <f>IFERROR(__xludf.DUMMYFUNCTION("""COMPUTED_VALUE"""),"somnath.c@onixnet.com")</f>
        <v>somnath.c@onixnet.com</v>
      </c>
      <c r="D178" s="4" t="str">
        <f>IFERROR(__xludf.DUMMYFUNCTION("""COMPUTED_VALUE"""),"Active")</f>
        <v>Active</v>
      </c>
      <c r="E178" s="4" t="str">
        <f>IFERROR(__xludf.DUMMYFUNCTION("""COMPUTED_VALUE"""),"Product Engineering")</f>
        <v>Product Engineering</v>
      </c>
      <c r="F178" s="4" t="str">
        <f>IFERROR(__xludf.DUMMYFUNCTION("""COMPUTED_VALUE"""),"Deepak Kadam")</f>
        <v>Deepak Kadam</v>
      </c>
      <c r="G178" s="4" t="str">
        <f>IFERROR(__xludf.DUMMYFUNCTION("""COMPUTED_VALUE"""),"Cluster - Mayur")</f>
        <v>Cluster - Mayur</v>
      </c>
      <c r="H178" s="4" t="str">
        <f>IFERROR(__xludf.DUMMYFUNCTION("""COMPUTED_VALUE"""),"ONISCFIY6")</f>
        <v>ONISCFIY6</v>
      </c>
      <c r="I178" s="5">
        <f>IFERROR(__xludf.DUMMYFUNCTION("""COMPUTED_VALUE"""),0.0)</f>
        <v>0</v>
      </c>
      <c r="J178" s="4" t="str">
        <f>IFERROR(__xludf.DUMMYFUNCTION("""COMPUTED_VALUE"""),"Tier 4")</f>
        <v>Tier 4</v>
      </c>
      <c r="K178" s="4" t="str">
        <f>IFERROR(__xludf.DUMMYFUNCTION("""COMPUTED_VALUE"""),"ID Created DRP score 0")</f>
        <v>ID Created DRP score 0</v>
      </c>
      <c r="L178" s="4"/>
    </row>
    <row r="179">
      <c r="A179" s="4" t="str">
        <f>IFERROR(__xludf.DUMMYFUNCTION("""COMPUTED_VALUE"""),"DME1620")</f>
        <v>DME1620</v>
      </c>
      <c r="B179" s="4" t="str">
        <f>IFERROR(__xludf.DUMMYFUNCTION("""COMPUTED_VALUE"""),"Suleman Naeem Shaikh")</f>
        <v>Suleman Naeem Shaikh</v>
      </c>
      <c r="C179" s="4" t="str">
        <f>IFERROR(__xludf.DUMMYFUNCTION("""COMPUTED_VALUE"""),"suleman.shaikh@onixnet.com")</f>
        <v>suleman.shaikh@onixnet.com</v>
      </c>
      <c r="D179" s="4" t="str">
        <f>IFERROR(__xludf.DUMMYFUNCTION("""COMPUTED_VALUE"""),"Active")</f>
        <v>Active</v>
      </c>
      <c r="E179" s="4" t="str">
        <f>IFERROR(__xludf.DUMMYFUNCTION("""COMPUTED_VALUE"""),"Delivery Services")</f>
        <v>Delivery Services</v>
      </c>
      <c r="F179" s="4" t="str">
        <f>IFERROR(__xludf.DUMMYFUNCTION("""COMPUTED_VALUE"""),"Marut Misra")</f>
        <v>Marut Misra</v>
      </c>
      <c r="G179" s="4" t="str">
        <f>IFERROR(__xludf.DUMMYFUNCTION("""COMPUTED_VALUE"""),"Cluster - Sachin")</f>
        <v>Cluster - Sachin</v>
      </c>
      <c r="H179" s="4" t="str">
        <f>IFERROR(__xludf.DUMMYFUNCTION("""COMPUTED_VALUE"""),"DATSSYQT5")</f>
        <v>DATSSYQT5</v>
      </c>
      <c r="I179" s="5">
        <f>IFERROR(__xludf.DUMMYFUNCTION("""COMPUTED_VALUE"""),14.0)</f>
        <v>14</v>
      </c>
      <c r="J179" s="4" t="str">
        <f>IFERROR(__xludf.DUMMYFUNCTION("""COMPUTED_VALUE"""),"Tier 4")</f>
        <v>Tier 4</v>
      </c>
      <c r="K179" s="4" t="str">
        <f>IFERROR(__xludf.DUMMYFUNCTION("""COMPUTED_VALUE"""),"Active")</f>
        <v>Active</v>
      </c>
      <c r="L179" s="4" t="str">
        <f>IFERROR(__xludf.DUMMYFUNCTION("""COMPUTED_VALUE"""),"Gemini Enterprise Agent Platform")</f>
        <v>Gemini Enterprise Agent Platform</v>
      </c>
    </row>
    <row r="180">
      <c r="A180" s="4" t="str">
        <f>IFERROR(__xludf.DUMMYFUNCTION("""COMPUTED_VALUE"""),"DME1639")</f>
        <v>DME1639</v>
      </c>
      <c r="B180" s="4" t="str">
        <f>IFERROR(__xludf.DUMMYFUNCTION("""COMPUTED_VALUE"""),"Mahesh Shardaprasad Mishra")</f>
        <v>Mahesh Shardaprasad Mishra</v>
      </c>
      <c r="C180" s="4" t="str">
        <f>IFERROR(__xludf.DUMMYFUNCTION("""COMPUTED_VALUE"""),"mahesh.mishra@onixnet.com")</f>
        <v>mahesh.mishra@onixnet.com</v>
      </c>
      <c r="D180" s="4" t="str">
        <f>IFERROR(__xludf.DUMMYFUNCTION("""COMPUTED_VALUE"""),"Active")</f>
        <v>Active</v>
      </c>
      <c r="E180" s="4" t="str">
        <f>IFERROR(__xludf.DUMMYFUNCTION("""COMPUTED_VALUE"""),"Product Engineering")</f>
        <v>Product Engineering</v>
      </c>
      <c r="F180" s="4" t="str">
        <f>IFERROR(__xludf.DUMMYFUNCTION("""COMPUTED_VALUE"""),"Jayesh Shukla")</f>
        <v>Jayesh Shukla</v>
      </c>
      <c r="G180" s="4" t="str">
        <f>IFERROR(__xludf.DUMMYFUNCTION("""COMPUTED_VALUE"""),"Cluster - Mayur")</f>
        <v>Cluster - Mayur</v>
      </c>
      <c r="H180" s="4" t="str">
        <f>IFERROR(__xludf.DUMMYFUNCTION("""COMPUTED_VALUE"""),"ONIMMEBX2")</f>
        <v>ONIMMEBX2</v>
      </c>
      <c r="I180" s="5">
        <f>IFERROR(__xludf.DUMMYFUNCTION("""COMPUTED_VALUE"""),20.0)</f>
        <v>20</v>
      </c>
      <c r="J180" s="4" t="str">
        <f>IFERROR(__xludf.DUMMYFUNCTION("""COMPUTED_VALUE"""),"Tier 3")</f>
        <v>Tier 3</v>
      </c>
      <c r="K180" s="4" t="str">
        <f>IFERROR(__xludf.DUMMYFUNCTION("""COMPUTED_VALUE"""),"Active")</f>
        <v>Active</v>
      </c>
      <c r="L180" s="4" t="str">
        <f>IFERROR(__xludf.DUMMYFUNCTION("""COMPUTED_VALUE"""),"Gemini Enterprise")</f>
        <v>Gemini Enterprise</v>
      </c>
    </row>
    <row r="181">
      <c r="A181" s="4" t="str">
        <f>IFERROR(__xludf.DUMMYFUNCTION("""COMPUTED_VALUE"""),"DME1636")</f>
        <v>DME1636</v>
      </c>
      <c r="B181" s="4" t="str">
        <f>IFERROR(__xludf.DUMMYFUNCTION("""COMPUTED_VALUE"""),"Vishal Rameshrao Khare")</f>
        <v>Vishal Rameshrao Khare</v>
      </c>
      <c r="C181" s="4" t="str">
        <f>IFERROR(__xludf.DUMMYFUNCTION("""COMPUTED_VALUE"""),"vishal.khare@onixnet.com")</f>
        <v>vishal.khare@onixnet.com</v>
      </c>
      <c r="D181" s="4" t="str">
        <f>IFERROR(__xludf.DUMMYFUNCTION("""COMPUTED_VALUE"""),"Active")</f>
        <v>Active</v>
      </c>
      <c r="E181" s="4" t="str">
        <f>IFERROR(__xludf.DUMMYFUNCTION("""COMPUTED_VALUE"""),"Delivery Services")</f>
        <v>Delivery Services</v>
      </c>
      <c r="F181" s="4" t="str">
        <f>IFERROR(__xludf.DUMMYFUNCTION("""COMPUTED_VALUE"""),"Rahul Chandak")</f>
        <v>Rahul Chandak</v>
      </c>
      <c r="G181" s="4" t="str">
        <f>IFERROR(__xludf.DUMMYFUNCTION("""COMPUTED_VALUE"""),"Cluster - Sagar")</f>
        <v>Cluster - Sagar</v>
      </c>
      <c r="H181" s="4" t="str">
        <f>IFERROR(__xludf.DUMMYFUNCTION("""COMPUTED_VALUE"""),"ONIVKHNN9")</f>
        <v>ONIVKHNN9</v>
      </c>
      <c r="I181" s="5">
        <f>IFERROR(__xludf.DUMMYFUNCTION("""COMPUTED_VALUE"""),24.0)</f>
        <v>24</v>
      </c>
      <c r="J181" s="4" t="str">
        <f>IFERROR(__xludf.DUMMYFUNCTION("""COMPUTED_VALUE"""),"Tier 3")</f>
        <v>Tier 3</v>
      </c>
      <c r="K181" s="4" t="str">
        <f>IFERROR(__xludf.DUMMYFUNCTION("""COMPUTED_VALUE"""),"Active")</f>
        <v>Active</v>
      </c>
      <c r="L181" s="4" t="str">
        <f>IFERROR(__xludf.DUMMYFUNCTION("""COMPUTED_VALUE"""),"BigQuery")</f>
        <v>BigQuery</v>
      </c>
    </row>
    <row r="182">
      <c r="A182" s="4" t="str">
        <f>IFERROR(__xludf.DUMMYFUNCTION("""COMPUTED_VALUE"""),"DME1642")</f>
        <v>DME1642</v>
      </c>
      <c r="B182" s="4" t="str">
        <f>IFERROR(__xludf.DUMMYFUNCTION("""COMPUTED_VALUE"""),"Anand Sharma")</f>
        <v>Anand Sharma</v>
      </c>
      <c r="C182" s="4" t="str">
        <f>IFERROR(__xludf.DUMMYFUNCTION("""COMPUTED_VALUE"""),"anand.sharma@onixnet.com")</f>
        <v>anand.sharma@onixnet.com</v>
      </c>
      <c r="D182" s="4" t="str">
        <f>IFERROR(__xludf.DUMMYFUNCTION("""COMPUTED_VALUE"""),"Active")</f>
        <v>Active</v>
      </c>
      <c r="E182" s="4" t="str">
        <f>IFERROR(__xludf.DUMMYFUNCTION("""COMPUTED_VALUE"""),"Product Engineering")</f>
        <v>Product Engineering</v>
      </c>
      <c r="F182" s="4" t="str">
        <f>IFERROR(__xludf.DUMMYFUNCTION("""COMPUTED_VALUE"""),"Mayur Jain")</f>
        <v>Mayur Jain</v>
      </c>
      <c r="G182" s="4" t="str">
        <f>IFERROR(__xludf.DUMMYFUNCTION("""COMPUTED_VALUE"""),"Cluster - Mayur")</f>
        <v>Cluster - Mayur</v>
      </c>
      <c r="H182" s="4"/>
      <c r="I182" s="5"/>
      <c r="J182" s="4"/>
      <c r="K182" s="4" t="str">
        <f>IFERROR(__xludf.DUMMYFUNCTION("""COMPUTED_VALUE"""),"ID Not Created")</f>
        <v>ID Not Created</v>
      </c>
      <c r="L182" s="4"/>
    </row>
    <row r="183">
      <c r="A183" s="4" t="str">
        <f>IFERROR(__xludf.DUMMYFUNCTION("""COMPUTED_VALUE"""),"DME1646")</f>
        <v>DME1646</v>
      </c>
      <c r="B183" s="4" t="str">
        <f>IFERROR(__xludf.DUMMYFUNCTION("""COMPUTED_VALUE"""),"Snehal Prasannakumar Deokar")</f>
        <v>Snehal Prasannakumar Deokar</v>
      </c>
      <c r="C183" s="4" t="str">
        <f>IFERROR(__xludf.DUMMYFUNCTION("""COMPUTED_VALUE"""),"snehal.deokar@onixnet.com")</f>
        <v>snehal.deokar@onixnet.com</v>
      </c>
      <c r="D183" s="4" t="str">
        <f>IFERROR(__xludf.DUMMYFUNCTION("""COMPUTED_VALUE"""),"Active")</f>
        <v>Active</v>
      </c>
      <c r="E183" s="4" t="str">
        <f>IFERROR(__xludf.DUMMYFUNCTION("""COMPUTED_VALUE"""),"Delivery Services")</f>
        <v>Delivery Services</v>
      </c>
      <c r="F183" s="4" t="str">
        <f>IFERROR(__xludf.DUMMYFUNCTION("""COMPUTED_VALUE"""),"Vipul Nilapwar")</f>
        <v>Vipul Nilapwar</v>
      </c>
      <c r="G183" s="4" t="str">
        <f>IFERROR(__xludf.DUMMYFUNCTION("""COMPUTED_VALUE"""),"Cluster - Sachin")</f>
        <v>Cluster - Sachin</v>
      </c>
      <c r="H183" s="4" t="str">
        <f>IFERROR(__xludf.DUMMYFUNCTION("""COMPUTED_VALUE"""),"ONISDCPG3")</f>
        <v>ONISDCPG3</v>
      </c>
      <c r="I183" s="5">
        <f>IFERROR(__xludf.DUMMYFUNCTION("""COMPUTED_VALUE"""),9.0)</f>
        <v>9</v>
      </c>
      <c r="J183" s="4" t="str">
        <f>IFERROR(__xludf.DUMMYFUNCTION("""COMPUTED_VALUE"""),"Tier 4")</f>
        <v>Tier 4</v>
      </c>
      <c r="K183" s="4" t="str">
        <f>IFERROR(__xludf.DUMMYFUNCTION("""COMPUTED_VALUE"""),"Active")</f>
        <v>Active</v>
      </c>
      <c r="L183" s="4" t="str">
        <f>IFERROR(__xludf.DUMMYFUNCTION("""COMPUTED_VALUE"""),"BigQuery")</f>
        <v>BigQuery</v>
      </c>
    </row>
    <row r="184">
      <c r="A184" s="4" t="str">
        <f>IFERROR(__xludf.DUMMYFUNCTION("""COMPUTED_VALUE"""),"DME1648")</f>
        <v>DME1648</v>
      </c>
      <c r="B184" s="4" t="str">
        <f>IFERROR(__xludf.DUMMYFUNCTION("""COMPUTED_VALUE"""),"Sayali Satyajit Kulkarni")</f>
        <v>Sayali Satyajit Kulkarni</v>
      </c>
      <c r="C184" s="4" t="str">
        <f>IFERROR(__xludf.DUMMYFUNCTION("""COMPUTED_VALUE"""),"sayali.kulkarni@onixnet.com")</f>
        <v>sayali.kulkarni@onixnet.com</v>
      </c>
      <c r="D184" s="4" t="str">
        <f>IFERROR(__xludf.DUMMYFUNCTION("""COMPUTED_VALUE"""),"Active")</f>
        <v>Active</v>
      </c>
      <c r="E184" s="4" t="str">
        <f>IFERROR(__xludf.DUMMYFUNCTION("""COMPUTED_VALUE"""),"Product Engineering")</f>
        <v>Product Engineering</v>
      </c>
      <c r="F184" s="4" t="str">
        <f>IFERROR(__xludf.DUMMYFUNCTION("""COMPUTED_VALUE"""),"Shantanu Charpe")</f>
        <v>Shantanu Charpe</v>
      </c>
      <c r="G184" s="4" t="str">
        <f>IFERROR(__xludf.DUMMYFUNCTION("""COMPUTED_VALUE"""),"Cluster - Mayur")</f>
        <v>Cluster - Mayur</v>
      </c>
      <c r="H184" s="4"/>
      <c r="I184" s="5"/>
      <c r="J184" s="4"/>
      <c r="K184" s="4" t="str">
        <f>IFERROR(__xludf.DUMMYFUNCTION("""COMPUTED_VALUE"""),"ID Not Created")</f>
        <v>ID Not Created</v>
      </c>
      <c r="L184" s="4"/>
    </row>
    <row r="185">
      <c r="A185" s="4" t="str">
        <f>IFERROR(__xludf.DUMMYFUNCTION("""COMPUTED_VALUE"""),"DME1650")</f>
        <v>DME1650</v>
      </c>
      <c r="B185" s="4" t="str">
        <f>IFERROR(__xludf.DUMMYFUNCTION("""COMPUTED_VALUE"""),"Akash Sudhakar Pawar")</f>
        <v>Akash Sudhakar Pawar</v>
      </c>
      <c r="C185" s="4" t="str">
        <f>IFERROR(__xludf.DUMMYFUNCTION("""COMPUTED_VALUE"""),"akash.pawar1@onixnet.com")</f>
        <v>akash.pawar1@onixnet.com</v>
      </c>
      <c r="D185" s="4" t="str">
        <f>IFERROR(__xludf.DUMMYFUNCTION("""COMPUTED_VALUE"""),"Active")</f>
        <v>Active</v>
      </c>
      <c r="E185" s="4" t="str">
        <f>IFERROR(__xludf.DUMMYFUNCTION("""COMPUTED_VALUE"""),"Product Engineering")</f>
        <v>Product Engineering</v>
      </c>
      <c r="F185" s="4" t="str">
        <f>IFERROR(__xludf.DUMMYFUNCTION("""COMPUTED_VALUE"""),"Deepak Kadam")</f>
        <v>Deepak Kadam</v>
      </c>
      <c r="G185" s="4" t="str">
        <f>IFERROR(__xludf.DUMMYFUNCTION("""COMPUTED_VALUE"""),"Cluster - Mayur")</f>
        <v>Cluster - Mayur</v>
      </c>
      <c r="H185" s="4" t="str">
        <f>IFERROR(__xludf.DUMMYFUNCTION("""COMPUTED_VALUE"""),"ONIAPCXR4")</f>
        <v>ONIAPCXR4</v>
      </c>
      <c r="I185" s="5">
        <f>IFERROR(__xludf.DUMMYFUNCTION("""COMPUTED_VALUE"""),0.0)</f>
        <v>0</v>
      </c>
      <c r="J185" s="4" t="str">
        <f>IFERROR(__xludf.DUMMYFUNCTION("""COMPUTED_VALUE"""),"Tier 4")</f>
        <v>Tier 4</v>
      </c>
      <c r="K185" s="4" t="str">
        <f>IFERROR(__xludf.DUMMYFUNCTION("""COMPUTED_VALUE"""),"ID Created DRP score 0")</f>
        <v>ID Created DRP score 0</v>
      </c>
      <c r="L185" s="4"/>
    </row>
    <row r="186">
      <c r="A186" s="4" t="str">
        <f>IFERROR(__xludf.DUMMYFUNCTION("""COMPUTED_VALUE"""),"DME1655")</f>
        <v>DME1655</v>
      </c>
      <c r="B186" s="4" t="str">
        <f>IFERROR(__xludf.DUMMYFUNCTION("""COMPUTED_VALUE"""),"Supriya Sunil Paradkar")</f>
        <v>Supriya Sunil Paradkar</v>
      </c>
      <c r="C186" s="4" t="str">
        <f>IFERROR(__xludf.DUMMYFUNCTION("""COMPUTED_VALUE"""),"supriya.paradkar@onixnet.com")</f>
        <v>supriya.paradkar@onixnet.com</v>
      </c>
      <c r="D186" s="4" t="str">
        <f>IFERROR(__xludf.DUMMYFUNCTION("""COMPUTED_VALUE"""),"Active")</f>
        <v>Active</v>
      </c>
      <c r="E186" s="4" t="str">
        <f>IFERROR(__xludf.DUMMYFUNCTION("""COMPUTED_VALUE"""),"Product Engineering")</f>
        <v>Product Engineering</v>
      </c>
      <c r="F186" s="4" t="str">
        <f>IFERROR(__xludf.DUMMYFUNCTION("""COMPUTED_VALUE"""),"Yogendra Singh")</f>
        <v>Yogendra Singh</v>
      </c>
      <c r="G186" s="4" t="str">
        <f>IFERROR(__xludf.DUMMYFUNCTION("""COMPUTED_VALUE"""),"Cluster - Mayur")</f>
        <v>Cluster - Mayur</v>
      </c>
      <c r="H186" s="4" t="str">
        <f>IFERROR(__xludf.DUMMYFUNCTION("""COMPUTED_VALUE"""),"ONISPBTT6")</f>
        <v>ONISPBTT6</v>
      </c>
      <c r="I186" s="5">
        <f>IFERROR(__xludf.DUMMYFUNCTION("""COMPUTED_VALUE"""),15.0)</f>
        <v>15</v>
      </c>
      <c r="J186" s="4" t="str">
        <f>IFERROR(__xludf.DUMMYFUNCTION("""COMPUTED_VALUE"""),"Tier 4")</f>
        <v>Tier 4</v>
      </c>
      <c r="K186" s="4" t="str">
        <f>IFERROR(__xludf.DUMMYFUNCTION("""COMPUTED_VALUE"""),"Active")</f>
        <v>Active</v>
      </c>
      <c r="L186" s="4" t="str">
        <f>IFERROR(__xludf.DUMMYFUNCTION("""COMPUTED_VALUE"""),"Google Kubernetes Engine")</f>
        <v>Google Kubernetes Engine</v>
      </c>
    </row>
    <row r="187">
      <c r="A187" s="4" t="str">
        <f>IFERROR(__xludf.DUMMYFUNCTION("""COMPUTED_VALUE"""),"DME1663")</f>
        <v>DME1663</v>
      </c>
      <c r="B187" s="4" t="str">
        <f>IFERROR(__xludf.DUMMYFUNCTION("""COMPUTED_VALUE"""),"Prashant Bharat Shinde")</f>
        <v>Prashant Bharat Shinde</v>
      </c>
      <c r="C187" s="4" t="str">
        <f>IFERROR(__xludf.DUMMYFUNCTION("""COMPUTED_VALUE"""),"prashant.shinde@onixnet.com")</f>
        <v>prashant.shinde@onixnet.com</v>
      </c>
      <c r="D187" s="4" t="str">
        <f>IFERROR(__xludf.DUMMYFUNCTION("""COMPUTED_VALUE"""),"Active")</f>
        <v>Active</v>
      </c>
      <c r="E187" s="4" t="str">
        <f>IFERROR(__xludf.DUMMYFUNCTION("""COMPUTED_VALUE"""),"Delivery Services")</f>
        <v>Delivery Services</v>
      </c>
      <c r="F187" s="4" t="str">
        <f>IFERROR(__xludf.DUMMYFUNCTION("""COMPUTED_VALUE"""),"Jitender Singh")</f>
        <v>Jitender Singh</v>
      </c>
      <c r="G187" s="4" t="str">
        <f>IFERROR(__xludf.DUMMYFUNCTION("""COMPUTED_VALUE"""),"Cluster - Gaurav")</f>
        <v>Cluster - Gaurav</v>
      </c>
      <c r="H187" s="4" t="str">
        <f>IFERROR(__xludf.DUMMYFUNCTION("""COMPUTED_VALUE"""),"ONIPSBXB6")</f>
        <v>ONIPSBXB6</v>
      </c>
      <c r="I187" s="5">
        <f>IFERROR(__xludf.DUMMYFUNCTION("""COMPUTED_VALUE"""),14.0)</f>
        <v>14</v>
      </c>
      <c r="J187" s="4" t="str">
        <f>IFERROR(__xludf.DUMMYFUNCTION("""COMPUTED_VALUE"""),"Tier 4")</f>
        <v>Tier 4</v>
      </c>
      <c r="K187" s="4" t="str">
        <f>IFERROR(__xludf.DUMMYFUNCTION("""COMPUTED_VALUE"""),"Active")</f>
        <v>Active</v>
      </c>
      <c r="L187" s="4" t="str">
        <f>IFERROR(__xludf.DUMMYFUNCTION("""COMPUTED_VALUE"""),"BigQuery")</f>
        <v>BigQuery</v>
      </c>
    </row>
    <row r="188">
      <c r="A188" s="4" t="str">
        <f>IFERROR(__xludf.DUMMYFUNCTION("""COMPUTED_VALUE"""),"DME1662")</f>
        <v>DME1662</v>
      </c>
      <c r="B188" s="4" t="str">
        <f>IFERROR(__xludf.DUMMYFUNCTION("""COMPUTED_VALUE"""),"Sachin Ravindra Sakle")</f>
        <v>Sachin Ravindra Sakle</v>
      </c>
      <c r="C188" s="4" t="str">
        <f>IFERROR(__xludf.DUMMYFUNCTION("""COMPUTED_VALUE"""),"sachin.sakle@onixnet.com")</f>
        <v>sachin.sakle@onixnet.com</v>
      </c>
      <c r="D188" s="4" t="str">
        <f>IFERROR(__xludf.DUMMYFUNCTION("""COMPUTED_VALUE"""),"Active")</f>
        <v>Active</v>
      </c>
      <c r="E188" s="4" t="str">
        <f>IFERROR(__xludf.DUMMYFUNCTION("""COMPUTED_VALUE"""),"Product Engineering")</f>
        <v>Product Engineering</v>
      </c>
      <c r="F188" s="4" t="str">
        <f>IFERROR(__xludf.DUMMYFUNCTION("""COMPUTED_VALUE"""),"Venkat Shivkumar")</f>
        <v>Venkat Shivkumar</v>
      </c>
      <c r="G188" s="4" t="str">
        <f>IFERROR(__xludf.DUMMYFUNCTION("""COMPUTED_VALUE"""),"Cluster - Mayur")</f>
        <v>Cluster - Mayur</v>
      </c>
      <c r="H188" s="4" t="str">
        <f>IFERROR(__xludf.DUMMYFUNCTION("""COMPUTED_VALUE"""),"ONISSUGD8")</f>
        <v>ONISSUGD8</v>
      </c>
      <c r="I188" s="5">
        <f>IFERROR(__xludf.DUMMYFUNCTION("""COMPUTED_VALUE"""),0.0)</f>
        <v>0</v>
      </c>
      <c r="J188" s="4" t="str">
        <f>IFERROR(__xludf.DUMMYFUNCTION("""COMPUTED_VALUE"""),"Tier 4")</f>
        <v>Tier 4</v>
      </c>
      <c r="K188" s="4" t="str">
        <f>IFERROR(__xludf.DUMMYFUNCTION("""COMPUTED_VALUE"""),"ID Created DRP score 0")</f>
        <v>ID Created DRP score 0</v>
      </c>
      <c r="L188" s="4"/>
    </row>
    <row r="189">
      <c r="A189" s="4" t="str">
        <f>IFERROR(__xludf.DUMMYFUNCTION("""COMPUTED_VALUE"""),"DME1668")</f>
        <v>DME1668</v>
      </c>
      <c r="B189" s="4" t="str">
        <f>IFERROR(__xludf.DUMMYFUNCTION("""COMPUTED_VALUE"""),"Manoj Patil")</f>
        <v>Manoj Patil</v>
      </c>
      <c r="C189" s="4" t="str">
        <f>IFERROR(__xludf.DUMMYFUNCTION("""COMPUTED_VALUE"""),"manoj.patil@onixnet.com")</f>
        <v>manoj.patil@onixnet.com</v>
      </c>
      <c r="D189" s="4" t="str">
        <f>IFERROR(__xludf.DUMMYFUNCTION("""COMPUTED_VALUE"""),"Active")</f>
        <v>Active</v>
      </c>
      <c r="E189" s="4" t="str">
        <f>IFERROR(__xludf.DUMMYFUNCTION("""COMPUTED_VALUE"""),"Delivery Services")</f>
        <v>Delivery Services</v>
      </c>
      <c r="F189" s="4" t="str">
        <f>IFERROR(__xludf.DUMMYFUNCTION("""COMPUTED_VALUE"""),"Shreepad Dhok")</f>
        <v>Shreepad Dhok</v>
      </c>
      <c r="G189" s="4" t="str">
        <f>IFERROR(__xludf.DUMMYFUNCTION("""COMPUTED_VALUE"""),"Cluster - Shreepad")</f>
        <v>Cluster - Shreepad</v>
      </c>
      <c r="H189" s="4" t="str">
        <f>IFERROR(__xludf.DUMMYFUNCTION("""COMPUTED_VALUE"""),"DATMPFQD4")</f>
        <v>DATMPFQD4</v>
      </c>
      <c r="I189" s="5">
        <f>IFERROR(__xludf.DUMMYFUNCTION("""COMPUTED_VALUE"""),24.0)</f>
        <v>24</v>
      </c>
      <c r="J189" s="4" t="str">
        <f>IFERROR(__xludf.DUMMYFUNCTION("""COMPUTED_VALUE"""),"Tier 3")</f>
        <v>Tier 3</v>
      </c>
      <c r="K189" s="4" t="str">
        <f>IFERROR(__xludf.DUMMYFUNCTION("""COMPUTED_VALUE"""),"Active")</f>
        <v>Active</v>
      </c>
      <c r="L189" s="4" t="str">
        <f>IFERROR(__xludf.DUMMYFUNCTION("""COMPUTED_VALUE"""),"BigQuery")</f>
        <v>BigQuery</v>
      </c>
    </row>
    <row r="190">
      <c r="A190" s="4" t="str">
        <f>IFERROR(__xludf.DUMMYFUNCTION("""COMPUTED_VALUE"""),"DME1665")</f>
        <v>DME1665</v>
      </c>
      <c r="B190" s="4" t="str">
        <f>IFERROR(__xludf.DUMMYFUNCTION("""COMPUTED_VALUE"""),"Rohit Kolhekar")</f>
        <v>Rohit Kolhekar</v>
      </c>
      <c r="C190" s="4" t="str">
        <f>IFERROR(__xludf.DUMMYFUNCTION("""COMPUTED_VALUE"""),"rohit.kolhekar@onixnet.com")</f>
        <v>rohit.kolhekar@onixnet.com</v>
      </c>
      <c r="D190" s="4" t="str">
        <f>IFERROR(__xludf.DUMMYFUNCTION("""COMPUTED_VALUE"""),"Active")</f>
        <v>Active</v>
      </c>
      <c r="E190" s="4" t="str">
        <f>IFERROR(__xludf.DUMMYFUNCTION("""COMPUTED_VALUE"""),"Professional Services")</f>
        <v>Professional Services</v>
      </c>
      <c r="F190" s="4" t="str">
        <f>IFERROR(__xludf.DUMMYFUNCTION("""COMPUTED_VALUE"""),"Kalpa Sharma")</f>
        <v>Kalpa Sharma</v>
      </c>
      <c r="G190" s="4" t="str">
        <f>IFERROR(__xludf.DUMMYFUNCTION("""COMPUTED_VALUE"""),"Cluster - Kalpa")</f>
        <v>Cluster - Kalpa</v>
      </c>
      <c r="H190" s="4" t="str">
        <f>IFERROR(__xludf.DUMMYFUNCTION("""COMPUTED_VALUE"""),"ONIRKFFV0")</f>
        <v>ONIRKFFV0</v>
      </c>
      <c r="I190" s="5">
        <f>IFERROR(__xludf.DUMMYFUNCTION("""COMPUTED_VALUE"""),0.0)</f>
        <v>0</v>
      </c>
      <c r="J190" s="4" t="str">
        <f>IFERROR(__xludf.DUMMYFUNCTION("""COMPUTED_VALUE"""),"Tier 4")</f>
        <v>Tier 4</v>
      </c>
      <c r="K190" s="4" t="str">
        <f>IFERROR(__xludf.DUMMYFUNCTION("""COMPUTED_VALUE"""),"ID Created DRP score 0")</f>
        <v>ID Created DRP score 0</v>
      </c>
      <c r="L190" s="4"/>
    </row>
    <row r="191">
      <c r="A191" s="4" t="str">
        <f>IFERROR(__xludf.DUMMYFUNCTION("""COMPUTED_VALUE"""),"DME1669")</f>
        <v>DME1669</v>
      </c>
      <c r="B191" s="4" t="str">
        <f>IFERROR(__xludf.DUMMYFUNCTION("""COMPUTED_VALUE"""),"Shubham Isalkar")</f>
        <v>Shubham Isalkar</v>
      </c>
      <c r="C191" s="4" t="str">
        <f>IFERROR(__xludf.DUMMYFUNCTION("""COMPUTED_VALUE"""),"shubham.isalkar@onixnet.com")</f>
        <v>shubham.isalkar@onixnet.com</v>
      </c>
      <c r="D191" s="4" t="str">
        <f>IFERROR(__xludf.DUMMYFUNCTION("""COMPUTED_VALUE"""),"Active")</f>
        <v>Active</v>
      </c>
      <c r="E191" s="4" t="str">
        <f>IFERROR(__xludf.DUMMYFUNCTION("""COMPUTED_VALUE"""),"Product Engineering")</f>
        <v>Product Engineering</v>
      </c>
      <c r="F191" s="4" t="str">
        <f>IFERROR(__xludf.DUMMYFUNCTION("""COMPUTED_VALUE"""),"Deepak Kadam")</f>
        <v>Deepak Kadam</v>
      </c>
      <c r="G191" s="4" t="str">
        <f>IFERROR(__xludf.DUMMYFUNCTION("""COMPUTED_VALUE"""),"Cluster - Mayur")</f>
        <v>Cluster - Mayur</v>
      </c>
      <c r="H191" s="4" t="str">
        <f>IFERROR(__xludf.DUMMYFUNCTION("""COMPUTED_VALUE"""),"ONISILUS6")</f>
        <v>ONISILUS6</v>
      </c>
      <c r="I191" s="5">
        <f>IFERROR(__xludf.DUMMYFUNCTION("""COMPUTED_VALUE"""),0.0)</f>
        <v>0</v>
      </c>
      <c r="J191" s="4" t="str">
        <f>IFERROR(__xludf.DUMMYFUNCTION("""COMPUTED_VALUE"""),"Tier 4")</f>
        <v>Tier 4</v>
      </c>
      <c r="K191" s="4" t="str">
        <f>IFERROR(__xludf.DUMMYFUNCTION("""COMPUTED_VALUE"""),"ID Created DRP score 0")</f>
        <v>ID Created DRP score 0</v>
      </c>
      <c r="L191" s="4"/>
    </row>
    <row r="192">
      <c r="A192" s="4" t="str">
        <f>IFERROR(__xludf.DUMMYFUNCTION("""COMPUTED_VALUE"""),"DME1671")</f>
        <v>DME1671</v>
      </c>
      <c r="B192" s="4" t="str">
        <f>IFERROR(__xludf.DUMMYFUNCTION("""COMPUTED_VALUE"""),"Saurabh Ajmera")</f>
        <v>Saurabh Ajmera</v>
      </c>
      <c r="C192" s="4" t="str">
        <f>IFERROR(__xludf.DUMMYFUNCTION("""COMPUTED_VALUE"""),"saurabh.ajmera@onixnet.com")</f>
        <v>saurabh.ajmera@onixnet.com</v>
      </c>
      <c r="D192" s="4" t="str">
        <f>IFERROR(__xludf.DUMMYFUNCTION("""COMPUTED_VALUE"""),"Active")</f>
        <v>Active</v>
      </c>
      <c r="E192" s="4" t="str">
        <f>IFERROR(__xludf.DUMMYFUNCTION("""COMPUTED_VALUE"""),"Product Engineering")</f>
        <v>Product Engineering</v>
      </c>
      <c r="F192" s="4" t="str">
        <f>IFERROR(__xludf.DUMMYFUNCTION("""COMPUTED_VALUE"""),"Shantanu Charpe")</f>
        <v>Shantanu Charpe</v>
      </c>
      <c r="G192" s="4" t="str">
        <f>IFERROR(__xludf.DUMMYFUNCTION("""COMPUTED_VALUE"""),"Cluster - Mayur")</f>
        <v>Cluster - Mayur</v>
      </c>
      <c r="H192" s="4" t="str">
        <f>IFERROR(__xludf.DUMMYFUNCTION("""COMPUTED_VALUE"""),"ONISAZOP4")</f>
        <v>ONISAZOP4</v>
      </c>
      <c r="I192" s="5">
        <f>IFERROR(__xludf.DUMMYFUNCTION("""COMPUTED_VALUE"""),0.0)</f>
        <v>0</v>
      </c>
      <c r="J192" s="4" t="str">
        <f>IFERROR(__xludf.DUMMYFUNCTION("""COMPUTED_VALUE"""),"Tier 4")</f>
        <v>Tier 4</v>
      </c>
      <c r="K192" s="4" t="str">
        <f>IFERROR(__xludf.DUMMYFUNCTION("""COMPUTED_VALUE"""),"ID Created DRP score 0")</f>
        <v>ID Created DRP score 0</v>
      </c>
      <c r="L192" s="4"/>
    </row>
    <row r="193">
      <c r="A193" s="4" t="str">
        <f>IFERROR(__xludf.DUMMYFUNCTION("""COMPUTED_VALUE"""),"DME1681")</f>
        <v>DME1681</v>
      </c>
      <c r="B193" s="4" t="str">
        <f>IFERROR(__xludf.DUMMYFUNCTION("""COMPUTED_VALUE"""),"Nilesh Ramchandra Kekan")</f>
        <v>Nilesh Ramchandra Kekan</v>
      </c>
      <c r="C193" s="4" t="str">
        <f>IFERROR(__xludf.DUMMYFUNCTION("""COMPUTED_VALUE"""),"nilesh.kekan@onixnet.com")</f>
        <v>nilesh.kekan@onixnet.com</v>
      </c>
      <c r="D193" s="4" t="str">
        <f>IFERROR(__xludf.DUMMYFUNCTION("""COMPUTED_VALUE"""),"Active")</f>
        <v>Active</v>
      </c>
      <c r="E193" s="4" t="str">
        <f>IFERROR(__xludf.DUMMYFUNCTION("""COMPUTED_VALUE"""),"Product Engineering")</f>
        <v>Product Engineering</v>
      </c>
      <c r="F193" s="4" t="str">
        <f>IFERROR(__xludf.DUMMYFUNCTION("""COMPUTED_VALUE"""),"Aditya Basak")</f>
        <v>Aditya Basak</v>
      </c>
      <c r="G193" s="4" t="str">
        <f>IFERROR(__xludf.DUMMYFUNCTION("""COMPUTED_VALUE"""),"Cluster - Mayur")</f>
        <v>Cluster - Mayur</v>
      </c>
      <c r="H193" s="4" t="str">
        <f>IFERROR(__xludf.DUMMYFUNCTION("""COMPUTED_VALUE"""),"ONINKRNX9")</f>
        <v>ONINKRNX9</v>
      </c>
      <c r="I193" s="5">
        <f>IFERROR(__xludf.DUMMYFUNCTION("""COMPUTED_VALUE"""),5.0)</f>
        <v>5</v>
      </c>
      <c r="J193" s="4" t="str">
        <f>IFERROR(__xludf.DUMMYFUNCTION("""COMPUTED_VALUE"""),"Tier 4")</f>
        <v>Tier 4</v>
      </c>
      <c r="K193" s="4" t="str">
        <f>IFERROR(__xludf.DUMMYFUNCTION("""COMPUTED_VALUE"""),"Active")</f>
        <v>Active</v>
      </c>
      <c r="L193" s="4" t="str">
        <f>IFERROR(__xludf.DUMMYFUNCTION("""COMPUTED_VALUE"""),"Gemini Enterprise Agent Platform")</f>
        <v>Gemini Enterprise Agent Platform</v>
      </c>
    </row>
    <row r="194">
      <c r="A194" s="4" t="str">
        <f>IFERROR(__xludf.DUMMYFUNCTION("""COMPUTED_VALUE"""),"DME1680")</f>
        <v>DME1680</v>
      </c>
      <c r="B194" s="4" t="str">
        <f>IFERROR(__xludf.DUMMYFUNCTION("""COMPUTED_VALUE"""),"Kishor Shinde")</f>
        <v>Kishor Shinde</v>
      </c>
      <c r="C194" s="4" t="str">
        <f>IFERROR(__xludf.DUMMYFUNCTION("""COMPUTED_VALUE"""),"kishor.shinde@onixnet.com")</f>
        <v>kishor.shinde@onixnet.com</v>
      </c>
      <c r="D194" s="4" t="str">
        <f>IFERROR(__xludf.DUMMYFUNCTION("""COMPUTED_VALUE"""),"Active")</f>
        <v>Active</v>
      </c>
      <c r="E194" s="4" t="str">
        <f>IFERROR(__xludf.DUMMYFUNCTION("""COMPUTED_VALUE"""),"Product Engineering")</f>
        <v>Product Engineering</v>
      </c>
      <c r="F194" s="4" t="str">
        <f>IFERROR(__xludf.DUMMYFUNCTION("""COMPUTED_VALUE"""),"Shantanu Charpe")</f>
        <v>Shantanu Charpe</v>
      </c>
      <c r="G194" s="4" t="str">
        <f>IFERROR(__xludf.DUMMYFUNCTION("""COMPUTED_VALUE"""),"Cluster - Mayur")</f>
        <v>Cluster - Mayur</v>
      </c>
      <c r="H194" s="4" t="str">
        <f>IFERROR(__xludf.DUMMYFUNCTION("""COMPUTED_VALUE"""),"ONIKSFJC4")</f>
        <v>ONIKSFJC4</v>
      </c>
      <c r="I194" s="5">
        <f>IFERROR(__xludf.DUMMYFUNCTION("""COMPUTED_VALUE"""),0.0)</f>
        <v>0</v>
      </c>
      <c r="J194" s="4" t="str">
        <f>IFERROR(__xludf.DUMMYFUNCTION("""COMPUTED_VALUE"""),"Tier 4")</f>
        <v>Tier 4</v>
      </c>
      <c r="K194" s="4" t="str">
        <f>IFERROR(__xludf.DUMMYFUNCTION("""COMPUTED_VALUE"""),"ID Created DRP score 0")</f>
        <v>ID Created DRP score 0</v>
      </c>
      <c r="L194" s="4"/>
    </row>
    <row r="195">
      <c r="A195" s="4" t="str">
        <f>IFERROR(__xludf.DUMMYFUNCTION("""COMPUTED_VALUE"""),"DME1693")</f>
        <v>DME1693</v>
      </c>
      <c r="B195" s="4" t="str">
        <f>IFERROR(__xludf.DUMMYFUNCTION("""COMPUTED_VALUE"""),"Vinayak Bhoi")</f>
        <v>Vinayak Bhoi</v>
      </c>
      <c r="C195" s="4" t="str">
        <f>IFERROR(__xludf.DUMMYFUNCTION("""COMPUTED_VALUE"""),"vinayak.bhoi@onixnet.com")</f>
        <v>vinayak.bhoi@onixnet.com</v>
      </c>
      <c r="D195" s="4" t="str">
        <f>IFERROR(__xludf.DUMMYFUNCTION("""COMPUTED_VALUE"""),"Active")</f>
        <v>Active</v>
      </c>
      <c r="E195" s="4" t="str">
        <f>IFERROR(__xludf.DUMMYFUNCTION("""COMPUTED_VALUE"""),"Product Engineering")</f>
        <v>Product Engineering</v>
      </c>
      <c r="F195" s="4" t="str">
        <f>IFERROR(__xludf.DUMMYFUNCTION("""COMPUTED_VALUE"""),"Anurag Saxena")</f>
        <v>Anurag Saxena</v>
      </c>
      <c r="G195" s="4" t="str">
        <f>IFERROR(__xludf.DUMMYFUNCTION("""COMPUTED_VALUE"""),"Cluster - Mayur")</f>
        <v>Cluster - Mayur</v>
      </c>
      <c r="H195" s="4" t="str">
        <f>IFERROR(__xludf.DUMMYFUNCTION("""COMPUTED_VALUE"""),"ONIVBMHU5")</f>
        <v>ONIVBMHU5</v>
      </c>
      <c r="I195" s="5">
        <f>IFERROR(__xludf.DUMMYFUNCTION("""COMPUTED_VALUE"""),10.0)</f>
        <v>10</v>
      </c>
      <c r="J195" s="4" t="str">
        <f>IFERROR(__xludf.DUMMYFUNCTION("""COMPUTED_VALUE"""),"Tier 4")</f>
        <v>Tier 4</v>
      </c>
      <c r="K195" s="4" t="str">
        <f>IFERROR(__xludf.DUMMYFUNCTION("""COMPUTED_VALUE"""),"Active")</f>
        <v>Active</v>
      </c>
      <c r="L195" s="4" t="str">
        <f>IFERROR(__xludf.DUMMYFUNCTION("""COMPUTED_VALUE"""),"AI Applications")</f>
        <v>AI Applications</v>
      </c>
    </row>
    <row r="196">
      <c r="A196" s="4" t="str">
        <f>IFERROR(__xludf.DUMMYFUNCTION("""COMPUTED_VALUE"""),"DME1696")</f>
        <v>DME1696</v>
      </c>
      <c r="B196" s="4" t="str">
        <f>IFERROR(__xludf.DUMMYFUNCTION("""COMPUTED_VALUE"""),"Pooja Jadhav")</f>
        <v>Pooja Jadhav</v>
      </c>
      <c r="C196" s="4" t="str">
        <f>IFERROR(__xludf.DUMMYFUNCTION("""COMPUTED_VALUE"""),"pooja.jadhav@onixnet.com")</f>
        <v>pooja.jadhav@onixnet.com</v>
      </c>
      <c r="D196" s="4" t="str">
        <f>IFERROR(__xludf.DUMMYFUNCTION("""COMPUTED_VALUE"""),"Active")</f>
        <v>Active</v>
      </c>
      <c r="E196" s="4" t="str">
        <f>IFERROR(__xludf.DUMMYFUNCTION("""COMPUTED_VALUE"""),"Product Engineering")</f>
        <v>Product Engineering</v>
      </c>
      <c r="F196" s="4" t="str">
        <f>IFERROR(__xludf.DUMMYFUNCTION("""COMPUTED_VALUE"""),"Rahul Panwar")</f>
        <v>Rahul Panwar</v>
      </c>
      <c r="G196" s="4" t="str">
        <f>IFERROR(__xludf.DUMMYFUNCTION("""COMPUTED_VALUE"""),"Cluster - Mayur")</f>
        <v>Cluster - Mayur</v>
      </c>
      <c r="H196" s="4" t="str">
        <f>IFERROR(__xludf.DUMMYFUNCTION("""COMPUTED_VALUE"""),"ONIPJBGL1")</f>
        <v>ONIPJBGL1</v>
      </c>
      <c r="I196" s="5">
        <f>IFERROR(__xludf.DUMMYFUNCTION("""COMPUTED_VALUE"""),20.0)</f>
        <v>20</v>
      </c>
      <c r="J196" s="4" t="str">
        <f>IFERROR(__xludf.DUMMYFUNCTION("""COMPUTED_VALUE"""),"Tier 3")</f>
        <v>Tier 3</v>
      </c>
      <c r="K196" s="4" t="str">
        <f>IFERROR(__xludf.DUMMYFUNCTION("""COMPUTED_VALUE"""),"Active")</f>
        <v>Active</v>
      </c>
      <c r="L196" s="4" t="str">
        <f>IFERROR(__xludf.DUMMYFUNCTION("""COMPUTED_VALUE"""),"AI Applications")</f>
        <v>AI Applications</v>
      </c>
    </row>
    <row r="197">
      <c r="A197" s="4" t="str">
        <f>IFERROR(__xludf.DUMMYFUNCTION("""COMPUTED_VALUE"""),"DME1771")</f>
        <v>DME1771</v>
      </c>
      <c r="B197" s="4" t="str">
        <f>IFERROR(__xludf.DUMMYFUNCTION("""COMPUTED_VALUE"""),"Rushikesh Anil Mohite")</f>
        <v>Rushikesh Anil Mohite</v>
      </c>
      <c r="C197" s="4" t="str">
        <f>IFERROR(__xludf.DUMMYFUNCTION("""COMPUTED_VALUE"""),"rushikesh.mohite@onixnet.com")</f>
        <v>rushikesh.mohite@onixnet.com</v>
      </c>
      <c r="D197" s="4" t="str">
        <f>IFERROR(__xludf.DUMMYFUNCTION("""COMPUTED_VALUE"""),"Active")</f>
        <v>Active</v>
      </c>
      <c r="E197" s="4" t="str">
        <f>IFERROR(__xludf.DUMMYFUNCTION("""COMPUTED_VALUE"""),"Eagle Assessment")</f>
        <v>Eagle Assessment</v>
      </c>
      <c r="F197" s="4" t="str">
        <f>IFERROR(__xludf.DUMMYFUNCTION("""COMPUTED_VALUE"""),"Lokesh Bhardwaj")</f>
        <v>Lokesh Bhardwaj</v>
      </c>
      <c r="G197" s="4" t="str">
        <f>IFERROR(__xludf.DUMMYFUNCTION("""COMPUTED_VALUE"""),"Cluster - Kalpa")</f>
        <v>Cluster - Kalpa</v>
      </c>
      <c r="H197" s="4" t="str">
        <f>IFERROR(__xludf.DUMMYFUNCTION("""COMPUTED_VALUE"""),"ONIRMWAN0")</f>
        <v>ONIRMWAN0</v>
      </c>
      <c r="I197" s="5">
        <f>IFERROR(__xludf.DUMMYFUNCTION("""COMPUTED_VALUE"""),39.0)</f>
        <v>39</v>
      </c>
      <c r="J197" s="4" t="str">
        <f>IFERROR(__xludf.DUMMYFUNCTION("""COMPUTED_VALUE"""),"Tier 2")</f>
        <v>Tier 2</v>
      </c>
      <c r="K197" s="4" t="str">
        <f>IFERROR(__xludf.DUMMYFUNCTION("""COMPUTED_VALUE"""),"Active")</f>
        <v>Active</v>
      </c>
      <c r="L197" s="4" t="str">
        <f>IFERROR(__xludf.DUMMYFUNCTION("""COMPUTED_VALUE"""),"BigQuery")</f>
        <v>BigQuery</v>
      </c>
    </row>
    <row r="198">
      <c r="A198" s="4" t="str">
        <f>IFERROR(__xludf.DUMMYFUNCTION("""COMPUTED_VALUE"""),"DME1770")</f>
        <v>DME1770</v>
      </c>
      <c r="B198" s="4" t="str">
        <f>IFERROR(__xludf.DUMMYFUNCTION("""COMPUTED_VALUE"""),"Jotsna Ajit Nehe")</f>
        <v>Jotsna Ajit Nehe</v>
      </c>
      <c r="C198" s="4" t="str">
        <f>IFERROR(__xludf.DUMMYFUNCTION("""COMPUTED_VALUE"""),"jotsna.nehe@onixnet.com")</f>
        <v>jotsna.nehe@onixnet.com</v>
      </c>
      <c r="D198" s="4" t="str">
        <f>IFERROR(__xludf.DUMMYFUNCTION("""COMPUTED_VALUE"""),"Active")</f>
        <v>Active</v>
      </c>
      <c r="E198" s="4" t="str">
        <f>IFERROR(__xludf.DUMMYFUNCTION("""COMPUTED_VALUE"""),"Delivery Services")</f>
        <v>Delivery Services</v>
      </c>
      <c r="F198" s="4" t="str">
        <f>IFERROR(__xludf.DUMMYFUNCTION("""COMPUTED_VALUE"""),"Aman Khandelwal")</f>
        <v>Aman Khandelwal</v>
      </c>
      <c r="G198" s="4" t="str">
        <f>IFERROR(__xludf.DUMMYFUNCTION("""COMPUTED_VALUE"""),"Cluster - Sachin")</f>
        <v>Cluster - Sachin</v>
      </c>
      <c r="H198" s="4" t="str">
        <f>IFERROR(__xludf.DUMMYFUNCTION("""COMPUTED_VALUE"""),"ONIJNYOE6")</f>
        <v>ONIJNYOE6</v>
      </c>
      <c r="I198" s="5">
        <f>IFERROR(__xludf.DUMMYFUNCTION("""COMPUTED_VALUE"""),19.0)</f>
        <v>19</v>
      </c>
      <c r="J198" s="4" t="str">
        <f>IFERROR(__xludf.DUMMYFUNCTION("""COMPUTED_VALUE"""),"Tier 4")</f>
        <v>Tier 4</v>
      </c>
      <c r="K198" s="4" t="str">
        <f>IFERROR(__xludf.DUMMYFUNCTION("""COMPUTED_VALUE"""),"Active")</f>
        <v>Active</v>
      </c>
      <c r="L198" s="4" t="str">
        <f>IFERROR(__xludf.DUMMYFUNCTION("""COMPUTED_VALUE"""),"Google Kubernetes Engine")</f>
        <v>Google Kubernetes Engine</v>
      </c>
    </row>
    <row r="199">
      <c r="A199" s="4" t="str">
        <f>IFERROR(__xludf.DUMMYFUNCTION("""COMPUTED_VALUE"""),"DME1769")</f>
        <v>DME1769</v>
      </c>
      <c r="B199" s="4" t="str">
        <f>IFERROR(__xludf.DUMMYFUNCTION("""COMPUTED_VALUE"""),"Rushikesh Gitaram Hadawale")</f>
        <v>Rushikesh Gitaram Hadawale</v>
      </c>
      <c r="C199" s="4" t="str">
        <f>IFERROR(__xludf.DUMMYFUNCTION("""COMPUTED_VALUE"""),"rushikesh.h@onixnet.com")</f>
        <v>rushikesh.h@onixnet.com</v>
      </c>
      <c r="D199" s="4" t="str">
        <f>IFERROR(__xludf.DUMMYFUNCTION("""COMPUTED_VALUE"""),"Active")</f>
        <v>Active</v>
      </c>
      <c r="E199" s="4" t="str">
        <f>IFERROR(__xludf.DUMMYFUNCTION("""COMPUTED_VALUE"""),"Delivery Services")</f>
        <v>Delivery Services</v>
      </c>
      <c r="F199" s="4" t="str">
        <f>IFERROR(__xludf.DUMMYFUNCTION("""COMPUTED_VALUE"""),"Sneha Bhatambrekar")</f>
        <v>Sneha Bhatambrekar</v>
      </c>
      <c r="G199" s="4" t="str">
        <f>IFERROR(__xludf.DUMMYFUNCTION("""COMPUTED_VALUE"""),"Cluster - Sandeep")</f>
        <v>Cluster - Sandeep</v>
      </c>
      <c r="H199" s="4" t="str">
        <f>IFERROR(__xludf.DUMMYFUNCTION("""COMPUTED_VALUE"""),"DATRHIFK8")</f>
        <v>DATRHIFK8</v>
      </c>
      <c r="I199" s="5">
        <f>IFERROR(__xludf.DUMMYFUNCTION("""COMPUTED_VALUE"""),26.0)</f>
        <v>26</v>
      </c>
      <c r="J199" s="4" t="str">
        <f>IFERROR(__xludf.DUMMYFUNCTION("""COMPUTED_VALUE"""),"Tier 3")</f>
        <v>Tier 3</v>
      </c>
      <c r="K199" s="4" t="str">
        <f>IFERROR(__xludf.DUMMYFUNCTION("""COMPUTED_VALUE"""),"Active")</f>
        <v>Active</v>
      </c>
      <c r="L199" s="4" t="str">
        <f>IFERROR(__xludf.DUMMYFUNCTION("""COMPUTED_VALUE"""),"Dataflow")</f>
        <v>Dataflow</v>
      </c>
    </row>
    <row r="200">
      <c r="A200" s="4" t="str">
        <f>IFERROR(__xludf.DUMMYFUNCTION("""COMPUTED_VALUE"""),"DME1766")</f>
        <v>DME1766</v>
      </c>
      <c r="B200" s="4" t="str">
        <f>IFERROR(__xludf.DUMMYFUNCTION("""COMPUTED_VALUE"""),"Avinash Chandrakant Shinare")</f>
        <v>Avinash Chandrakant Shinare</v>
      </c>
      <c r="C200" s="4" t="str">
        <f>IFERROR(__xludf.DUMMYFUNCTION("""COMPUTED_VALUE"""),"avinash.shinare@onixnet.com")</f>
        <v>avinash.shinare@onixnet.com</v>
      </c>
      <c r="D200" s="4" t="str">
        <f>IFERROR(__xludf.DUMMYFUNCTION("""COMPUTED_VALUE"""),"Active")</f>
        <v>Active</v>
      </c>
      <c r="E200" s="4" t="str">
        <f>IFERROR(__xludf.DUMMYFUNCTION("""COMPUTED_VALUE"""),"Delivery Services")</f>
        <v>Delivery Services</v>
      </c>
      <c r="F200" s="4" t="str">
        <f>IFERROR(__xludf.DUMMYFUNCTION("""COMPUTED_VALUE"""),"Anand Saraf")</f>
        <v>Anand Saraf</v>
      </c>
      <c r="G200" s="4" t="str">
        <f>IFERROR(__xludf.DUMMYFUNCTION("""COMPUTED_VALUE"""),"Cluster - Sachin")</f>
        <v>Cluster - Sachin</v>
      </c>
      <c r="H200" s="4" t="str">
        <f>IFERROR(__xludf.DUMMYFUNCTION("""COMPUTED_VALUE"""),"DATASQQU1")</f>
        <v>DATASQQU1</v>
      </c>
      <c r="I200" s="5">
        <f>IFERROR(__xludf.DUMMYFUNCTION("""COMPUTED_VALUE"""),12.0)</f>
        <v>12</v>
      </c>
      <c r="J200" s="4" t="str">
        <f>IFERROR(__xludf.DUMMYFUNCTION("""COMPUTED_VALUE"""),"Tier 4")</f>
        <v>Tier 4</v>
      </c>
      <c r="K200" s="4" t="str">
        <f>IFERROR(__xludf.DUMMYFUNCTION("""COMPUTED_VALUE"""),"Active")</f>
        <v>Active</v>
      </c>
      <c r="L200" s="4" t="str">
        <f>IFERROR(__xludf.DUMMYFUNCTION("""COMPUTED_VALUE"""),"Dataflow")</f>
        <v>Dataflow</v>
      </c>
    </row>
    <row r="201">
      <c r="A201" s="4" t="str">
        <f>IFERROR(__xludf.DUMMYFUNCTION("""COMPUTED_VALUE"""),"DME1764")</f>
        <v>DME1764</v>
      </c>
      <c r="B201" s="4" t="str">
        <f>IFERROR(__xludf.DUMMYFUNCTION("""COMPUTED_VALUE"""),"Shubham Tejrao Sambare")</f>
        <v>Shubham Tejrao Sambare</v>
      </c>
      <c r="C201" s="4" t="str">
        <f>IFERROR(__xludf.DUMMYFUNCTION("""COMPUTED_VALUE"""),"shubham.sambare@onixnet.com")</f>
        <v>shubham.sambare@onixnet.com</v>
      </c>
      <c r="D201" s="4" t="str">
        <f>IFERROR(__xludf.DUMMYFUNCTION("""COMPUTED_VALUE"""),"Active")</f>
        <v>Active</v>
      </c>
      <c r="E201" s="4" t="str">
        <f>IFERROR(__xludf.DUMMYFUNCTION("""COMPUTED_VALUE"""),"Delivery Services")</f>
        <v>Delivery Services</v>
      </c>
      <c r="F201" s="4" t="str">
        <f>IFERROR(__xludf.DUMMYFUNCTION("""COMPUTED_VALUE"""),"Manoj Patil")</f>
        <v>Manoj Patil</v>
      </c>
      <c r="G201" s="4" t="str">
        <f>IFERROR(__xludf.DUMMYFUNCTION("""COMPUTED_VALUE"""),"Cluster - Shreepad")</f>
        <v>Cluster - Shreepad</v>
      </c>
      <c r="H201" s="4" t="str">
        <f>IFERROR(__xludf.DUMMYFUNCTION("""COMPUTED_VALUE"""),"ONISSQTA0")</f>
        <v>ONISSQTA0</v>
      </c>
      <c r="I201" s="5">
        <f>IFERROR(__xludf.DUMMYFUNCTION("""COMPUTED_VALUE"""),24.0)</f>
        <v>24</v>
      </c>
      <c r="J201" s="4" t="str">
        <f>IFERROR(__xludf.DUMMYFUNCTION("""COMPUTED_VALUE"""),"Tier 3")</f>
        <v>Tier 3</v>
      </c>
      <c r="K201" s="4" t="str">
        <f>IFERROR(__xludf.DUMMYFUNCTION("""COMPUTED_VALUE"""),"Active")</f>
        <v>Active</v>
      </c>
      <c r="L201" s="4" t="str">
        <f>IFERROR(__xludf.DUMMYFUNCTION("""COMPUTED_VALUE"""),"BigQuery")</f>
        <v>BigQuery</v>
      </c>
    </row>
    <row r="202">
      <c r="A202" s="4" t="str">
        <f>IFERROR(__xludf.DUMMYFUNCTION("""COMPUTED_VALUE"""),"DME1763")</f>
        <v>DME1763</v>
      </c>
      <c r="B202" s="4" t="str">
        <f>IFERROR(__xludf.DUMMYFUNCTION("""COMPUTED_VALUE"""),"Dinesh Haribhau Kakade")</f>
        <v>Dinesh Haribhau Kakade</v>
      </c>
      <c r="C202" s="4" t="str">
        <f>IFERROR(__xludf.DUMMYFUNCTION("""COMPUTED_VALUE"""),"dinesh.kakade@onixnet.com")</f>
        <v>dinesh.kakade@onixnet.com</v>
      </c>
      <c r="D202" s="4" t="str">
        <f>IFERROR(__xludf.DUMMYFUNCTION("""COMPUTED_VALUE"""),"Active")</f>
        <v>Active</v>
      </c>
      <c r="E202" s="4" t="str">
        <f>IFERROR(__xludf.DUMMYFUNCTION("""COMPUTED_VALUE"""),"Eagle Assessment")</f>
        <v>Eagle Assessment</v>
      </c>
      <c r="F202" s="4" t="str">
        <f>IFERROR(__xludf.DUMMYFUNCTION("""COMPUTED_VALUE"""),"Amruta Shreerang Urane")</f>
        <v>Amruta Shreerang Urane</v>
      </c>
      <c r="G202" s="4" t="str">
        <f>IFERROR(__xludf.DUMMYFUNCTION("""COMPUTED_VALUE"""),"Cluster - Kalpa")</f>
        <v>Cluster - Kalpa</v>
      </c>
      <c r="H202" s="4" t="str">
        <f>IFERROR(__xludf.DUMMYFUNCTION("""COMPUTED_VALUE"""),"ONIDKSAV9")</f>
        <v>ONIDKSAV9</v>
      </c>
      <c r="I202" s="5">
        <f>IFERROR(__xludf.DUMMYFUNCTION("""COMPUTED_VALUE"""),25.0)</f>
        <v>25</v>
      </c>
      <c r="J202" s="4" t="str">
        <f>IFERROR(__xludf.DUMMYFUNCTION("""COMPUTED_VALUE"""),"Tier 3")</f>
        <v>Tier 3</v>
      </c>
      <c r="K202" s="4" t="str">
        <f>IFERROR(__xludf.DUMMYFUNCTION("""COMPUTED_VALUE"""),"Active")</f>
        <v>Active</v>
      </c>
      <c r="L202" s="4" t="str">
        <f>IFERROR(__xludf.DUMMYFUNCTION("""COMPUTED_VALUE"""),"BigQuery")</f>
        <v>BigQuery</v>
      </c>
    </row>
    <row r="203">
      <c r="A203" s="4" t="str">
        <f>IFERROR(__xludf.DUMMYFUNCTION("""COMPUTED_VALUE"""),"DME1756")</f>
        <v>DME1756</v>
      </c>
      <c r="B203" s="4" t="str">
        <f>IFERROR(__xludf.DUMMYFUNCTION("""COMPUTED_VALUE"""),"Bharati Rajendra Kamble")</f>
        <v>Bharati Rajendra Kamble</v>
      </c>
      <c r="C203" s="4" t="str">
        <f>IFERROR(__xludf.DUMMYFUNCTION("""COMPUTED_VALUE"""),"bharati.kamble@onixnet.com")</f>
        <v>bharati.kamble@onixnet.com</v>
      </c>
      <c r="D203" s="4" t="str">
        <f>IFERROR(__xludf.DUMMYFUNCTION("""COMPUTED_VALUE"""),"Active")</f>
        <v>Active</v>
      </c>
      <c r="E203" s="4" t="str">
        <f>IFERROR(__xludf.DUMMYFUNCTION("""COMPUTED_VALUE"""),"Delivery Services")</f>
        <v>Delivery Services</v>
      </c>
      <c r="F203" s="4" t="str">
        <f>IFERROR(__xludf.DUMMYFUNCTION("""COMPUTED_VALUE"""),"Rabindra Nayak")</f>
        <v>Rabindra Nayak</v>
      </c>
      <c r="G203" s="4" t="str">
        <f>IFERROR(__xludf.DUMMYFUNCTION("""COMPUTED_VALUE"""),"Cluster - Sagar")</f>
        <v>Cluster - Sagar</v>
      </c>
      <c r="H203" s="4" t="str">
        <f>IFERROR(__xludf.DUMMYFUNCTION("""COMPUTED_VALUE"""),"ONIBKMKA1")</f>
        <v>ONIBKMKA1</v>
      </c>
      <c r="I203" s="5">
        <f>IFERROR(__xludf.DUMMYFUNCTION("""COMPUTED_VALUE"""),34.0)</f>
        <v>34</v>
      </c>
      <c r="J203" s="4" t="str">
        <f>IFERROR(__xludf.DUMMYFUNCTION("""COMPUTED_VALUE"""),"Tier 3")</f>
        <v>Tier 3</v>
      </c>
      <c r="K203" s="4" t="str">
        <f>IFERROR(__xludf.DUMMYFUNCTION("""COMPUTED_VALUE"""),"Active")</f>
        <v>Active</v>
      </c>
      <c r="L203" s="4" t="str">
        <f>IFERROR(__xludf.DUMMYFUNCTION("""COMPUTED_VALUE"""),"Dataflow")</f>
        <v>Dataflow</v>
      </c>
    </row>
    <row r="204">
      <c r="A204" s="4" t="str">
        <f>IFERROR(__xludf.DUMMYFUNCTION("""COMPUTED_VALUE"""),"DME1753")</f>
        <v>DME1753</v>
      </c>
      <c r="B204" s="4" t="str">
        <f>IFERROR(__xludf.DUMMYFUNCTION("""COMPUTED_VALUE"""),"Akshay Ashok Jagtap")</f>
        <v>Akshay Ashok Jagtap</v>
      </c>
      <c r="C204" s="4" t="str">
        <f>IFERROR(__xludf.DUMMYFUNCTION("""COMPUTED_VALUE"""),"akshay.jagtap@onixnet.com")</f>
        <v>akshay.jagtap@onixnet.com</v>
      </c>
      <c r="D204" s="4" t="str">
        <f>IFERROR(__xludf.DUMMYFUNCTION("""COMPUTED_VALUE"""),"Active")</f>
        <v>Active</v>
      </c>
      <c r="E204" s="4" t="str">
        <f>IFERROR(__xludf.DUMMYFUNCTION("""COMPUTED_VALUE"""),"Delivery Services")</f>
        <v>Delivery Services</v>
      </c>
      <c r="F204" s="4" t="str">
        <f>IFERROR(__xludf.DUMMYFUNCTION("""COMPUTED_VALUE"""),"Pritesh Chaudhari")</f>
        <v>Pritesh Chaudhari</v>
      </c>
      <c r="G204" s="4" t="str">
        <f>IFERROR(__xludf.DUMMYFUNCTION("""COMPUTED_VALUE"""),"Cluster - Sagar")</f>
        <v>Cluster - Sagar</v>
      </c>
      <c r="H204" s="4" t="str">
        <f>IFERROR(__xludf.DUMMYFUNCTION("""COMPUTED_VALUE"""),"DATAJAHW1")</f>
        <v>DATAJAHW1</v>
      </c>
      <c r="I204" s="5">
        <f>IFERROR(__xludf.DUMMYFUNCTION("""COMPUTED_VALUE"""),24.0)</f>
        <v>24</v>
      </c>
      <c r="J204" s="4" t="str">
        <f>IFERROR(__xludf.DUMMYFUNCTION("""COMPUTED_VALUE"""),"Tier 3")</f>
        <v>Tier 3</v>
      </c>
      <c r="K204" s="4" t="str">
        <f>IFERROR(__xludf.DUMMYFUNCTION("""COMPUTED_VALUE"""),"Active")</f>
        <v>Active</v>
      </c>
      <c r="L204" s="4" t="str">
        <f>IFERROR(__xludf.DUMMYFUNCTION("""COMPUTED_VALUE"""),"Google Cloud Networking")</f>
        <v>Google Cloud Networking</v>
      </c>
    </row>
    <row r="205">
      <c r="A205" s="4" t="str">
        <f>IFERROR(__xludf.DUMMYFUNCTION("""COMPUTED_VALUE"""),"DME1751")</f>
        <v>DME1751</v>
      </c>
      <c r="B205" s="4" t="str">
        <f>IFERROR(__xludf.DUMMYFUNCTION("""COMPUTED_VALUE"""),"Vaibhav Sopan Patil")</f>
        <v>Vaibhav Sopan Patil</v>
      </c>
      <c r="C205" s="4" t="str">
        <f>IFERROR(__xludf.DUMMYFUNCTION("""COMPUTED_VALUE"""),"vaibhav.patil@onixnet.com")</f>
        <v>vaibhav.patil@onixnet.com</v>
      </c>
      <c r="D205" s="4" t="str">
        <f>IFERROR(__xludf.DUMMYFUNCTION("""COMPUTED_VALUE"""),"Active")</f>
        <v>Active</v>
      </c>
      <c r="E205" s="4" t="str">
        <f>IFERROR(__xludf.DUMMYFUNCTION("""COMPUTED_VALUE"""),"Delivery Services")</f>
        <v>Delivery Services</v>
      </c>
      <c r="F205" s="4" t="str">
        <f>IFERROR(__xludf.DUMMYFUNCTION("""COMPUTED_VALUE"""),"Priyanka Jain")</f>
        <v>Priyanka Jain</v>
      </c>
      <c r="G205" s="4" t="str">
        <f>IFERROR(__xludf.DUMMYFUNCTION("""COMPUTED_VALUE"""),"Cluster - Sagar")</f>
        <v>Cluster - Sagar</v>
      </c>
      <c r="H205" s="4" t="str">
        <f>IFERROR(__xludf.DUMMYFUNCTION("""COMPUTED_VALUE"""),"DATVPQYR2")</f>
        <v>DATVPQYR2</v>
      </c>
      <c r="I205" s="5">
        <f>IFERROR(__xludf.DUMMYFUNCTION("""COMPUTED_VALUE"""),12.0)</f>
        <v>12</v>
      </c>
      <c r="J205" s="4" t="str">
        <f>IFERROR(__xludf.DUMMYFUNCTION("""COMPUTED_VALUE"""),"Tier 4")</f>
        <v>Tier 4</v>
      </c>
      <c r="K205" s="4" t="str">
        <f>IFERROR(__xludf.DUMMYFUNCTION("""COMPUTED_VALUE"""),"Active")</f>
        <v>Active</v>
      </c>
      <c r="L205" s="4" t="str">
        <f>IFERROR(__xludf.DUMMYFUNCTION("""COMPUTED_VALUE"""),"BigQuery")</f>
        <v>BigQuery</v>
      </c>
    </row>
    <row r="206">
      <c r="A206" s="4" t="str">
        <f>IFERROR(__xludf.DUMMYFUNCTION("""COMPUTED_VALUE"""),"DME1750")</f>
        <v>DME1750</v>
      </c>
      <c r="B206" s="4" t="str">
        <f>IFERROR(__xludf.DUMMYFUNCTION("""COMPUTED_VALUE"""),"Ashwini Chandrakant Kand")</f>
        <v>Ashwini Chandrakant Kand</v>
      </c>
      <c r="C206" s="4" t="str">
        <f>IFERROR(__xludf.DUMMYFUNCTION("""COMPUTED_VALUE"""),"ashwini.kand@onixnet.com")</f>
        <v>ashwini.kand@onixnet.com</v>
      </c>
      <c r="D206" s="4" t="str">
        <f>IFERROR(__xludf.DUMMYFUNCTION("""COMPUTED_VALUE"""),"Active")</f>
        <v>Active</v>
      </c>
      <c r="E206" s="4" t="str">
        <f>IFERROR(__xludf.DUMMYFUNCTION("""COMPUTED_VALUE"""),"Professional Services")</f>
        <v>Professional Services</v>
      </c>
      <c r="F206" s="4" t="str">
        <f>IFERROR(__xludf.DUMMYFUNCTION("""COMPUTED_VALUE"""),"Priyanka Jain")</f>
        <v>Priyanka Jain</v>
      </c>
      <c r="G206" s="4" t="str">
        <f>IFERROR(__xludf.DUMMYFUNCTION("""COMPUTED_VALUE"""),"Cluster - Sagar")</f>
        <v>Cluster - Sagar</v>
      </c>
      <c r="H206" s="4" t="str">
        <f>IFERROR(__xludf.DUMMYFUNCTION("""COMPUTED_VALUE"""),"ONIAKTBY2")</f>
        <v>ONIAKTBY2</v>
      </c>
      <c r="I206" s="5">
        <f>IFERROR(__xludf.DUMMYFUNCTION("""COMPUTED_VALUE"""),10.0)</f>
        <v>10</v>
      </c>
      <c r="J206" s="4" t="str">
        <f>IFERROR(__xludf.DUMMYFUNCTION("""COMPUTED_VALUE"""),"Tier 4")</f>
        <v>Tier 4</v>
      </c>
      <c r="K206" s="4" t="str">
        <f>IFERROR(__xludf.DUMMYFUNCTION("""COMPUTED_VALUE"""),"Active")</f>
        <v>Active</v>
      </c>
      <c r="L206" s="4" t="str">
        <f>IFERROR(__xludf.DUMMYFUNCTION("""COMPUTED_VALUE"""),"Google Kubernetes Engine")</f>
        <v>Google Kubernetes Engine</v>
      </c>
    </row>
    <row r="207">
      <c r="A207" s="4" t="str">
        <f>IFERROR(__xludf.DUMMYFUNCTION("""COMPUTED_VALUE"""),"DME1749")</f>
        <v>DME1749</v>
      </c>
      <c r="B207" s="4" t="str">
        <f>IFERROR(__xludf.DUMMYFUNCTION("""COMPUTED_VALUE"""),"Sandesh Khanderao Mogal")</f>
        <v>Sandesh Khanderao Mogal</v>
      </c>
      <c r="C207" s="4" t="str">
        <f>IFERROR(__xludf.DUMMYFUNCTION("""COMPUTED_VALUE"""),"sandesh.mogal@onixnet.com")</f>
        <v>sandesh.mogal@onixnet.com</v>
      </c>
      <c r="D207" s="4" t="str">
        <f>IFERROR(__xludf.DUMMYFUNCTION("""COMPUTED_VALUE"""),"Active")</f>
        <v>Active</v>
      </c>
      <c r="E207" s="4" t="str">
        <f>IFERROR(__xludf.DUMMYFUNCTION("""COMPUTED_VALUE"""),"Delivery Services")</f>
        <v>Delivery Services</v>
      </c>
      <c r="F207" s="4" t="str">
        <f>IFERROR(__xludf.DUMMYFUNCTION("""COMPUTED_VALUE"""),"Sneha Bhatambrekar")</f>
        <v>Sneha Bhatambrekar</v>
      </c>
      <c r="G207" s="4" t="str">
        <f>IFERROR(__xludf.DUMMYFUNCTION("""COMPUTED_VALUE"""),"Cluster - Sandeep")</f>
        <v>Cluster - Sandeep</v>
      </c>
      <c r="H207" s="4" t="str">
        <f>IFERROR(__xludf.DUMMYFUNCTION("""COMPUTED_VALUE"""),"DATSMOUV2")</f>
        <v>DATSMOUV2</v>
      </c>
      <c r="I207" s="5">
        <f>IFERROR(__xludf.DUMMYFUNCTION("""COMPUTED_VALUE"""),19.0)</f>
        <v>19</v>
      </c>
      <c r="J207" s="4" t="str">
        <f>IFERROR(__xludf.DUMMYFUNCTION("""COMPUTED_VALUE"""),"Tier 4")</f>
        <v>Tier 4</v>
      </c>
      <c r="K207" s="4" t="str">
        <f>IFERROR(__xludf.DUMMYFUNCTION("""COMPUTED_VALUE"""),"Active")</f>
        <v>Active</v>
      </c>
      <c r="L207" s="4" t="str">
        <f>IFERROR(__xludf.DUMMYFUNCTION("""COMPUTED_VALUE"""),"BigQuery")</f>
        <v>BigQuery</v>
      </c>
    </row>
    <row r="208">
      <c r="A208" s="4" t="str">
        <f>IFERROR(__xludf.DUMMYFUNCTION("""COMPUTED_VALUE"""),"DME1748")</f>
        <v>DME1748</v>
      </c>
      <c r="B208" s="4" t="str">
        <f>IFERROR(__xludf.DUMMYFUNCTION("""COMPUTED_VALUE"""),"Ashwini Ramdas Shinde")</f>
        <v>Ashwini Ramdas Shinde</v>
      </c>
      <c r="C208" s="4" t="str">
        <f>IFERROR(__xludf.DUMMYFUNCTION("""COMPUTED_VALUE"""),"ashwini.shinde@onixnet.com")</f>
        <v>ashwini.shinde@onixnet.com</v>
      </c>
      <c r="D208" s="4" t="str">
        <f>IFERROR(__xludf.DUMMYFUNCTION("""COMPUTED_VALUE"""),"Active")</f>
        <v>Active</v>
      </c>
      <c r="E208" s="4" t="str">
        <f>IFERROR(__xludf.DUMMYFUNCTION("""COMPUTED_VALUE"""),"Delivery Services")</f>
        <v>Delivery Services</v>
      </c>
      <c r="F208" s="4" t="str">
        <f>IFERROR(__xludf.DUMMYFUNCTION("""COMPUTED_VALUE"""),"Venkatavivekananda Sala")</f>
        <v>Venkatavivekananda Sala</v>
      </c>
      <c r="G208" s="4" t="str">
        <f>IFERROR(__xludf.DUMMYFUNCTION("""COMPUTED_VALUE"""),"Cluster - Sachin")</f>
        <v>Cluster - Sachin</v>
      </c>
      <c r="H208" s="4" t="str">
        <f>IFERROR(__xludf.DUMMYFUNCTION("""COMPUTED_VALUE"""),"ONIASTAR7")</f>
        <v>ONIASTAR7</v>
      </c>
      <c r="I208" s="5">
        <f>IFERROR(__xludf.DUMMYFUNCTION("""COMPUTED_VALUE"""),0.0)</f>
        <v>0</v>
      </c>
      <c r="J208" s="4" t="str">
        <f>IFERROR(__xludf.DUMMYFUNCTION("""COMPUTED_VALUE"""),"Tier 4")</f>
        <v>Tier 4</v>
      </c>
      <c r="K208" s="4" t="str">
        <f>IFERROR(__xludf.DUMMYFUNCTION("""COMPUTED_VALUE"""),"ID Created DRP score 0")</f>
        <v>ID Created DRP score 0</v>
      </c>
      <c r="L208" s="4"/>
    </row>
    <row r="209">
      <c r="A209" s="4" t="str">
        <f>IFERROR(__xludf.DUMMYFUNCTION("""COMPUTED_VALUE"""),"DME1745")</f>
        <v>DME1745</v>
      </c>
      <c r="B209" s="4" t="str">
        <f>IFERROR(__xludf.DUMMYFUNCTION("""COMPUTED_VALUE"""),"Siddhant Pramod Jagtap")</f>
        <v>Siddhant Pramod Jagtap</v>
      </c>
      <c r="C209" s="4" t="str">
        <f>IFERROR(__xludf.DUMMYFUNCTION("""COMPUTED_VALUE"""),"siddhant.jagtap@onixnet.com")</f>
        <v>siddhant.jagtap@onixnet.com</v>
      </c>
      <c r="D209" s="4" t="str">
        <f>IFERROR(__xludf.DUMMYFUNCTION("""COMPUTED_VALUE"""),"Active")</f>
        <v>Active</v>
      </c>
      <c r="E209" s="4" t="str">
        <f>IFERROR(__xludf.DUMMYFUNCTION("""COMPUTED_VALUE"""),"Delivery Services")</f>
        <v>Delivery Services</v>
      </c>
      <c r="F209" s="4" t="str">
        <f>IFERROR(__xludf.DUMMYFUNCTION("""COMPUTED_VALUE"""),"Sneha Bhatambrekar")</f>
        <v>Sneha Bhatambrekar</v>
      </c>
      <c r="G209" s="4" t="str">
        <f>IFERROR(__xludf.DUMMYFUNCTION("""COMPUTED_VALUE"""),"Cluster - Sandeep")</f>
        <v>Cluster - Sandeep</v>
      </c>
      <c r="H209" s="4" t="str">
        <f>IFERROR(__xludf.DUMMYFUNCTION("""COMPUTED_VALUE"""),"ONISJSJS5")</f>
        <v>ONISJSJS5</v>
      </c>
      <c r="I209" s="5">
        <f>IFERROR(__xludf.DUMMYFUNCTION("""COMPUTED_VALUE"""),34.0)</f>
        <v>34</v>
      </c>
      <c r="J209" s="4" t="str">
        <f>IFERROR(__xludf.DUMMYFUNCTION("""COMPUTED_VALUE"""),"Tier 3")</f>
        <v>Tier 3</v>
      </c>
      <c r="K209" s="4" t="str">
        <f>IFERROR(__xludf.DUMMYFUNCTION("""COMPUTED_VALUE"""),"Active")</f>
        <v>Active</v>
      </c>
      <c r="L209" s="4" t="str">
        <f>IFERROR(__xludf.DUMMYFUNCTION("""COMPUTED_VALUE"""),"BigQuery")</f>
        <v>BigQuery</v>
      </c>
    </row>
    <row r="210">
      <c r="A210" s="4" t="str">
        <f>IFERROR(__xludf.DUMMYFUNCTION("""COMPUTED_VALUE"""),"DME1743")</f>
        <v>DME1743</v>
      </c>
      <c r="B210" s="4" t="str">
        <f>IFERROR(__xludf.DUMMYFUNCTION("""COMPUTED_VALUE"""),"Afrin Ahmad Mujawar")</f>
        <v>Afrin Ahmad Mujawar</v>
      </c>
      <c r="C210" s="4" t="str">
        <f>IFERROR(__xludf.DUMMYFUNCTION("""COMPUTED_VALUE"""),"afrin.mujawar@onixnet.com")</f>
        <v>afrin.mujawar@onixnet.com</v>
      </c>
      <c r="D210" s="4" t="str">
        <f>IFERROR(__xludf.DUMMYFUNCTION("""COMPUTED_VALUE"""),"Active")</f>
        <v>Active</v>
      </c>
      <c r="E210" s="4" t="str">
        <f>IFERROR(__xludf.DUMMYFUNCTION("""COMPUTED_VALUE"""),"Delivery Services")</f>
        <v>Delivery Services</v>
      </c>
      <c r="F210" s="4" t="str">
        <f>IFERROR(__xludf.DUMMYFUNCTION("""COMPUTED_VALUE"""),"Shubhendu Shubhendu")</f>
        <v>Shubhendu Shubhendu</v>
      </c>
      <c r="G210" s="4" t="str">
        <f>IFERROR(__xludf.DUMMYFUNCTION("""COMPUTED_VALUE"""),"Cluster - Kanhaiya")</f>
        <v>Cluster - Kanhaiya</v>
      </c>
      <c r="H210" s="4" t="str">
        <f>IFERROR(__xludf.DUMMYFUNCTION("""COMPUTED_VALUE"""),"ONIAMJRH0")</f>
        <v>ONIAMJRH0</v>
      </c>
      <c r="I210" s="5">
        <f>IFERROR(__xludf.DUMMYFUNCTION("""COMPUTED_VALUE"""),5.0)</f>
        <v>5</v>
      </c>
      <c r="J210" s="4" t="str">
        <f>IFERROR(__xludf.DUMMYFUNCTION("""COMPUTED_VALUE"""),"Tier 4")</f>
        <v>Tier 4</v>
      </c>
      <c r="K210" s="4" t="str">
        <f>IFERROR(__xludf.DUMMYFUNCTION("""COMPUTED_VALUE"""),"Active")</f>
        <v>Active</v>
      </c>
      <c r="L210" s="4" t="str">
        <f>IFERROR(__xludf.DUMMYFUNCTION("""COMPUTED_VALUE"""),"Oracle")</f>
        <v>Oracle</v>
      </c>
    </row>
    <row r="211">
      <c r="A211" s="4" t="str">
        <f>IFERROR(__xludf.DUMMYFUNCTION("""COMPUTED_VALUE"""),"DME1742")</f>
        <v>DME1742</v>
      </c>
      <c r="B211" s="4" t="str">
        <f>IFERROR(__xludf.DUMMYFUNCTION("""COMPUTED_VALUE"""),"Zameer Aslam Karbelkar")</f>
        <v>Zameer Aslam Karbelkar</v>
      </c>
      <c r="C211" s="4" t="str">
        <f>IFERROR(__xludf.DUMMYFUNCTION("""COMPUTED_VALUE"""),"zameer.karbelkar@onixnet.com")</f>
        <v>zameer.karbelkar@onixnet.com</v>
      </c>
      <c r="D211" s="4" t="str">
        <f>IFERROR(__xludf.DUMMYFUNCTION("""COMPUTED_VALUE"""),"Active")</f>
        <v>Active</v>
      </c>
      <c r="E211" s="4" t="str">
        <f>IFERROR(__xludf.DUMMYFUNCTION("""COMPUTED_VALUE"""),"Delivery Services")</f>
        <v>Delivery Services</v>
      </c>
      <c r="F211" s="4" t="str">
        <f>IFERROR(__xludf.DUMMYFUNCTION("""COMPUTED_VALUE"""),"Anushri Agrawal")</f>
        <v>Anushri Agrawal</v>
      </c>
      <c r="G211" s="4" t="str">
        <f>IFERROR(__xludf.DUMMYFUNCTION("""COMPUTED_VALUE"""),"Cluster - Gaurav")</f>
        <v>Cluster - Gaurav</v>
      </c>
      <c r="H211" s="4" t="str">
        <f>IFERROR(__xludf.DUMMYFUNCTION("""COMPUTED_VALUE"""),"ONIZKPQI2")</f>
        <v>ONIZKPQI2</v>
      </c>
      <c r="I211" s="5">
        <f>IFERROR(__xludf.DUMMYFUNCTION("""COMPUTED_VALUE"""),24.0)</f>
        <v>24</v>
      </c>
      <c r="J211" s="4" t="str">
        <f>IFERROR(__xludf.DUMMYFUNCTION("""COMPUTED_VALUE"""),"Tier 3")</f>
        <v>Tier 3</v>
      </c>
      <c r="K211" s="4" t="str">
        <f>IFERROR(__xludf.DUMMYFUNCTION("""COMPUTED_VALUE"""),"Active")</f>
        <v>Active</v>
      </c>
      <c r="L211" s="4" t="str">
        <f>IFERROR(__xludf.DUMMYFUNCTION("""COMPUTED_VALUE"""),"BigQuery")</f>
        <v>BigQuery</v>
      </c>
    </row>
    <row r="212">
      <c r="A212" s="4" t="str">
        <f>IFERROR(__xludf.DUMMYFUNCTION("""COMPUTED_VALUE"""),"DME1741")</f>
        <v>DME1741</v>
      </c>
      <c r="B212" s="4" t="str">
        <f>IFERROR(__xludf.DUMMYFUNCTION("""COMPUTED_VALUE"""),"Tejas Sanjay Patil")</f>
        <v>Tejas Sanjay Patil</v>
      </c>
      <c r="C212" s="4" t="str">
        <f>IFERROR(__xludf.DUMMYFUNCTION("""COMPUTED_VALUE"""),"tejas.patil@onixnet.com")</f>
        <v>tejas.patil@onixnet.com</v>
      </c>
      <c r="D212" s="4" t="str">
        <f>IFERROR(__xludf.DUMMYFUNCTION("""COMPUTED_VALUE"""),"Active")</f>
        <v>Active</v>
      </c>
      <c r="E212" s="4" t="str">
        <f>IFERROR(__xludf.DUMMYFUNCTION("""COMPUTED_VALUE"""),"Delivery Services")</f>
        <v>Delivery Services</v>
      </c>
      <c r="F212" s="4" t="str">
        <f>IFERROR(__xludf.DUMMYFUNCTION("""COMPUTED_VALUE"""),"Venkatavivekananda Sala")</f>
        <v>Venkatavivekananda Sala</v>
      </c>
      <c r="G212" s="4" t="str">
        <f>IFERROR(__xludf.DUMMYFUNCTION("""COMPUTED_VALUE"""),"Cluster - Sachin")</f>
        <v>Cluster - Sachin</v>
      </c>
      <c r="H212" s="4" t="str">
        <f>IFERROR(__xludf.DUMMYFUNCTION("""COMPUTED_VALUE"""),"DATTPKVB1")</f>
        <v>DATTPKVB1</v>
      </c>
      <c r="I212" s="5">
        <f>IFERROR(__xludf.DUMMYFUNCTION("""COMPUTED_VALUE"""),34.0)</f>
        <v>34</v>
      </c>
      <c r="J212" s="4" t="str">
        <f>IFERROR(__xludf.DUMMYFUNCTION("""COMPUTED_VALUE"""),"Tier 3")</f>
        <v>Tier 3</v>
      </c>
      <c r="K212" s="4" t="str">
        <f>IFERROR(__xludf.DUMMYFUNCTION("""COMPUTED_VALUE"""),"Active")</f>
        <v>Active</v>
      </c>
      <c r="L212" s="4" t="str">
        <f>IFERROR(__xludf.DUMMYFUNCTION("""COMPUTED_VALUE"""),"AI Applications")</f>
        <v>AI Applications</v>
      </c>
    </row>
    <row r="213">
      <c r="A213" s="4" t="str">
        <f>IFERROR(__xludf.DUMMYFUNCTION("""COMPUTED_VALUE"""),"DME1739")</f>
        <v>DME1739</v>
      </c>
      <c r="B213" s="4" t="str">
        <f>IFERROR(__xludf.DUMMYFUNCTION("""COMPUTED_VALUE"""),"Rani Rajaram Ohal")</f>
        <v>Rani Rajaram Ohal</v>
      </c>
      <c r="C213" s="4" t="str">
        <f>IFERROR(__xludf.DUMMYFUNCTION("""COMPUTED_VALUE"""),"rani.ohal@onixnet.com")</f>
        <v>rani.ohal@onixnet.com</v>
      </c>
      <c r="D213" s="4" t="str">
        <f>IFERROR(__xludf.DUMMYFUNCTION("""COMPUTED_VALUE"""),"Active")</f>
        <v>Active</v>
      </c>
      <c r="E213" s="4" t="str">
        <f>IFERROR(__xludf.DUMMYFUNCTION("""COMPUTED_VALUE"""),"Delivery Services")</f>
        <v>Delivery Services</v>
      </c>
      <c r="F213" s="4" t="str">
        <f>IFERROR(__xludf.DUMMYFUNCTION("""COMPUTED_VALUE"""),"Shubham Agnihotri")</f>
        <v>Shubham Agnihotri</v>
      </c>
      <c r="G213" s="4" t="str">
        <f>IFERROR(__xludf.DUMMYFUNCTION("""COMPUTED_VALUE"""),"Cluster - Gaurav")</f>
        <v>Cluster - Gaurav</v>
      </c>
      <c r="H213" s="4" t="str">
        <f>IFERROR(__xludf.DUMMYFUNCTION("""COMPUTED_VALUE"""),"ONIROTDY9")</f>
        <v>ONIROTDY9</v>
      </c>
      <c r="I213" s="5">
        <f>IFERROR(__xludf.DUMMYFUNCTION("""COMPUTED_VALUE"""),13.0)</f>
        <v>13</v>
      </c>
      <c r="J213" s="4" t="str">
        <f>IFERROR(__xludf.DUMMYFUNCTION("""COMPUTED_VALUE"""),"Tier 4")</f>
        <v>Tier 4</v>
      </c>
      <c r="K213" s="4" t="str">
        <f>IFERROR(__xludf.DUMMYFUNCTION("""COMPUTED_VALUE"""),"Active")</f>
        <v>Active</v>
      </c>
      <c r="L213" s="4" t="str">
        <f>IFERROR(__xludf.DUMMYFUNCTION("""COMPUTED_VALUE"""),"BigQuery")</f>
        <v>BigQuery</v>
      </c>
    </row>
    <row r="214">
      <c r="A214" s="4" t="str">
        <f>IFERROR(__xludf.DUMMYFUNCTION("""COMPUTED_VALUE"""),"DME1737")</f>
        <v>DME1737</v>
      </c>
      <c r="B214" s="4" t="str">
        <f>IFERROR(__xludf.DUMMYFUNCTION("""COMPUTED_VALUE"""),"Dhiraj Dayanand Suryawanshi")</f>
        <v>Dhiraj Dayanand Suryawanshi</v>
      </c>
      <c r="C214" s="4" t="str">
        <f>IFERROR(__xludf.DUMMYFUNCTION("""COMPUTED_VALUE"""),"dhiraj.suryawanshi@onixnet.com")</f>
        <v>dhiraj.suryawanshi@onixnet.com</v>
      </c>
      <c r="D214" s="4" t="str">
        <f>IFERROR(__xludf.DUMMYFUNCTION("""COMPUTED_VALUE"""),"Active")</f>
        <v>Active</v>
      </c>
      <c r="E214" s="4" t="str">
        <f>IFERROR(__xludf.DUMMYFUNCTION("""COMPUTED_VALUE"""),"Delivery Services")</f>
        <v>Delivery Services</v>
      </c>
      <c r="F214" s="4" t="str">
        <f>IFERROR(__xludf.DUMMYFUNCTION("""COMPUTED_VALUE"""),"Shubhendu Shubhendu")</f>
        <v>Shubhendu Shubhendu</v>
      </c>
      <c r="G214" s="4" t="str">
        <f>IFERROR(__xludf.DUMMYFUNCTION("""COMPUTED_VALUE"""),"Cluster - Kanhaiya")</f>
        <v>Cluster - Kanhaiya</v>
      </c>
      <c r="H214" s="4"/>
      <c r="I214" s="5"/>
      <c r="J214" s="4"/>
      <c r="K214" s="4" t="str">
        <f>IFERROR(__xludf.DUMMYFUNCTION("""COMPUTED_VALUE"""),"ID Not Created")</f>
        <v>ID Not Created</v>
      </c>
      <c r="L214" s="4"/>
    </row>
    <row r="215">
      <c r="A215" s="4" t="str">
        <f>IFERROR(__xludf.DUMMYFUNCTION("""COMPUTED_VALUE"""),"DME1736")</f>
        <v>DME1736</v>
      </c>
      <c r="B215" s="4" t="str">
        <f>IFERROR(__xludf.DUMMYFUNCTION("""COMPUTED_VALUE"""),"Prajakta Rajesh Khodade")</f>
        <v>Prajakta Rajesh Khodade</v>
      </c>
      <c r="C215" s="4" t="str">
        <f>IFERROR(__xludf.DUMMYFUNCTION("""COMPUTED_VALUE"""),"prajakta.khodade@onixnet.com")</f>
        <v>prajakta.khodade@onixnet.com</v>
      </c>
      <c r="D215" s="4" t="str">
        <f>IFERROR(__xludf.DUMMYFUNCTION("""COMPUTED_VALUE"""),"Active")</f>
        <v>Active</v>
      </c>
      <c r="E215" s="4" t="str">
        <f>IFERROR(__xludf.DUMMYFUNCTION("""COMPUTED_VALUE"""),"Delivery Services")</f>
        <v>Delivery Services</v>
      </c>
      <c r="F215" s="4" t="str">
        <f>IFERROR(__xludf.DUMMYFUNCTION("""COMPUTED_VALUE"""),"Rabindra Nayak")</f>
        <v>Rabindra Nayak</v>
      </c>
      <c r="G215" s="4" t="str">
        <f>IFERROR(__xludf.DUMMYFUNCTION("""COMPUTED_VALUE"""),"Cluster - Sagar")</f>
        <v>Cluster - Sagar</v>
      </c>
      <c r="H215" s="4" t="str">
        <f>IFERROR(__xludf.DUMMYFUNCTION("""COMPUTED_VALUE"""),"DATPKATU5")</f>
        <v>DATPKATU5</v>
      </c>
      <c r="I215" s="5">
        <f>IFERROR(__xludf.DUMMYFUNCTION("""COMPUTED_VALUE"""),14.0)</f>
        <v>14</v>
      </c>
      <c r="J215" s="4" t="str">
        <f>IFERROR(__xludf.DUMMYFUNCTION("""COMPUTED_VALUE"""),"Tier 4")</f>
        <v>Tier 4</v>
      </c>
      <c r="K215" s="4" t="str">
        <f>IFERROR(__xludf.DUMMYFUNCTION("""COMPUTED_VALUE"""),"Active")</f>
        <v>Active</v>
      </c>
      <c r="L215" s="4" t="str">
        <f>IFERROR(__xludf.DUMMYFUNCTION("""COMPUTED_VALUE"""),"BigQuery")</f>
        <v>BigQuery</v>
      </c>
    </row>
    <row r="216">
      <c r="A216" s="4" t="str">
        <f>IFERROR(__xludf.DUMMYFUNCTION("""COMPUTED_VALUE"""),"DME1734")</f>
        <v>DME1734</v>
      </c>
      <c r="B216" s="4" t="str">
        <f>IFERROR(__xludf.DUMMYFUNCTION("""COMPUTED_VALUE"""),"Sonal Shashikant Shinde")</f>
        <v>Sonal Shashikant Shinde</v>
      </c>
      <c r="C216" s="4" t="str">
        <f>IFERROR(__xludf.DUMMYFUNCTION("""COMPUTED_VALUE"""),"sonal.jadhav@onixnet.com")</f>
        <v>sonal.jadhav@onixnet.com</v>
      </c>
      <c r="D216" s="4" t="str">
        <f>IFERROR(__xludf.DUMMYFUNCTION("""COMPUTED_VALUE"""),"Active")</f>
        <v>Active</v>
      </c>
      <c r="E216" s="4" t="str">
        <f>IFERROR(__xludf.DUMMYFUNCTION("""COMPUTED_VALUE"""),"Delivery Services")</f>
        <v>Delivery Services</v>
      </c>
      <c r="F216" s="4" t="str">
        <f>IFERROR(__xludf.DUMMYFUNCTION("""COMPUTED_VALUE"""),"Jitender Singh")</f>
        <v>Jitender Singh</v>
      </c>
      <c r="G216" s="4" t="str">
        <f>IFERROR(__xludf.DUMMYFUNCTION("""COMPUTED_VALUE"""),"Cluster - Gaurav")</f>
        <v>Cluster - Gaurav</v>
      </c>
      <c r="H216" s="4" t="str">
        <f>IFERROR(__xludf.DUMMYFUNCTION("""COMPUTED_VALUE"""),"DATSJZLE6")</f>
        <v>DATSJZLE6</v>
      </c>
      <c r="I216" s="5">
        <f>IFERROR(__xludf.DUMMYFUNCTION("""COMPUTED_VALUE"""),41.0)</f>
        <v>41</v>
      </c>
      <c r="J216" s="4" t="str">
        <f>IFERROR(__xludf.DUMMYFUNCTION("""COMPUTED_VALUE"""),"Tier 2")</f>
        <v>Tier 2</v>
      </c>
      <c r="K216" s="4" t="str">
        <f>IFERROR(__xludf.DUMMYFUNCTION("""COMPUTED_VALUE"""),"Active")</f>
        <v>Active</v>
      </c>
      <c r="L216" s="4" t="str">
        <f>IFERROR(__xludf.DUMMYFUNCTION("""COMPUTED_VALUE"""),"BigQuery")</f>
        <v>BigQuery</v>
      </c>
    </row>
    <row r="217">
      <c r="A217" s="4" t="str">
        <f>IFERROR(__xludf.DUMMYFUNCTION("""COMPUTED_VALUE"""),"DME1727")</f>
        <v>DME1727</v>
      </c>
      <c r="B217" s="4" t="str">
        <f>IFERROR(__xludf.DUMMYFUNCTION("""COMPUTED_VALUE"""),"Prachi Adinath Borawake")</f>
        <v>Prachi Adinath Borawake</v>
      </c>
      <c r="C217" s="4" t="str">
        <f>IFERROR(__xludf.DUMMYFUNCTION("""COMPUTED_VALUE"""),"prachi.borawake@onixnet.com")</f>
        <v>prachi.borawake@onixnet.com</v>
      </c>
      <c r="D217" s="4" t="str">
        <f>IFERROR(__xludf.DUMMYFUNCTION("""COMPUTED_VALUE"""),"Active")</f>
        <v>Active</v>
      </c>
      <c r="E217" s="4" t="str">
        <f>IFERROR(__xludf.DUMMYFUNCTION("""COMPUTED_VALUE"""),"Delivery Services")</f>
        <v>Delivery Services</v>
      </c>
      <c r="F217" s="4" t="str">
        <f>IFERROR(__xludf.DUMMYFUNCTION("""COMPUTED_VALUE"""),"Venkatavivekananda Sala")</f>
        <v>Venkatavivekananda Sala</v>
      </c>
      <c r="G217" s="4" t="str">
        <f>IFERROR(__xludf.DUMMYFUNCTION("""COMPUTED_VALUE"""),"Cluster - Sachin")</f>
        <v>Cluster - Sachin</v>
      </c>
      <c r="H217" s="4" t="str">
        <f>IFERROR(__xludf.DUMMYFUNCTION("""COMPUTED_VALUE"""),"ONIPBRJF6")</f>
        <v>ONIPBRJF6</v>
      </c>
      <c r="I217" s="5">
        <f>IFERROR(__xludf.DUMMYFUNCTION("""COMPUTED_VALUE"""),20.0)</f>
        <v>20</v>
      </c>
      <c r="J217" s="4" t="str">
        <f>IFERROR(__xludf.DUMMYFUNCTION("""COMPUTED_VALUE"""),"Tier 3")</f>
        <v>Tier 3</v>
      </c>
      <c r="K217" s="4" t="str">
        <f>IFERROR(__xludf.DUMMYFUNCTION("""COMPUTED_VALUE"""),"Active")</f>
        <v>Active</v>
      </c>
      <c r="L217" s="4" t="str">
        <f>IFERROR(__xludf.DUMMYFUNCTION("""COMPUTED_VALUE"""),"AI Applications")</f>
        <v>AI Applications</v>
      </c>
    </row>
    <row r="218">
      <c r="A218" s="4" t="str">
        <f>IFERROR(__xludf.DUMMYFUNCTION("""COMPUTED_VALUE"""),"DME1724")</f>
        <v>DME1724</v>
      </c>
      <c r="B218" s="4" t="str">
        <f>IFERROR(__xludf.DUMMYFUNCTION("""COMPUTED_VALUE"""),"Ashwini Rupchand Gajare")</f>
        <v>Ashwini Rupchand Gajare</v>
      </c>
      <c r="C218" s="4" t="str">
        <f>IFERROR(__xludf.DUMMYFUNCTION("""COMPUTED_VALUE"""),"ashwini.gajare@onixnet.com")</f>
        <v>ashwini.gajare@onixnet.com</v>
      </c>
      <c r="D218" s="4" t="str">
        <f>IFERROR(__xludf.DUMMYFUNCTION("""COMPUTED_VALUE"""),"Active")</f>
        <v>Active</v>
      </c>
      <c r="E218" s="4" t="str">
        <f>IFERROR(__xludf.DUMMYFUNCTION("""COMPUTED_VALUE"""),"Delivery Services")</f>
        <v>Delivery Services</v>
      </c>
      <c r="F218" s="4" t="str">
        <f>IFERROR(__xludf.DUMMYFUNCTION("""COMPUTED_VALUE"""),"Chinmay Deshpande")</f>
        <v>Chinmay Deshpande</v>
      </c>
      <c r="G218" s="4" t="str">
        <f>IFERROR(__xludf.DUMMYFUNCTION("""COMPUTED_VALUE"""),"Cluster - Sagar")</f>
        <v>Cluster - Sagar</v>
      </c>
      <c r="H218" s="4" t="str">
        <f>IFERROR(__xludf.DUMMYFUNCTION("""COMPUTED_VALUE"""),"ONIAGHHQ5")</f>
        <v>ONIAGHHQ5</v>
      </c>
      <c r="I218" s="5">
        <f>IFERROR(__xludf.DUMMYFUNCTION("""COMPUTED_VALUE"""),10.0)</f>
        <v>10</v>
      </c>
      <c r="J218" s="4" t="str">
        <f>IFERROR(__xludf.DUMMYFUNCTION("""COMPUTED_VALUE"""),"Tier 4")</f>
        <v>Tier 4</v>
      </c>
      <c r="K218" s="4" t="str">
        <f>IFERROR(__xludf.DUMMYFUNCTION("""COMPUTED_VALUE"""),"Active")</f>
        <v>Active</v>
      </c>
      <c r="L218" s="4" t="str">
        <f>IFERROR(__xludf.DUMMYFUNCTION("""COMPUTED_VALUE"""),"Gemini Enterprise Agent Platform")</f>
        <v>Gemini Enterprise Agent Platform</v>
      </c>
    </row>
    <row r="219">
      <c r="A219" s="4" t="str">
        <f>IFERROR(__xludf.DUMMYFUNCTION("""COMPUTED_VALUE"""),"DME1721")</f>
        <v>DME1721</v>
      </c>
      <c r="B219" s="4" t="str">
        <f>IFERROR(__xludf.DUMMYFUNCTION("""COMPUTED_VALUE"""),"Komal Prakash Gaikwad")</f>
        <v>Komal Prakash Gaikwad</v>
      </c>
      <c r="C219" s="4" t="str">
        <f>IFERROR(__xludf.DUMMYFUNCTION("""COMPUTED_VALUE"""),"komal.gaikwad@onixnet.com")</f>
        <v>komal.gaikwad@onixnet.com</v>
      </c>
      <c r="D219" s="4" t="str">
        <f>IFERROR(__xludf.DUMMYFUNCTION("""COMPUTED_VALUE"""),"Active")</f>
        <v>Active</v>
      </c>
      <c r="E219" s="4" t="str">
        <f>IFERROR(__xludf.DUMMYFUNCTION("""COMPUTED_VALUE"""),"Delivery Services")</f>
        <v>Delivery Services</v>
      </c>
      <c r="F219" s="4" t="str">
        <f>IFERROR(__xludf.DUMMYFUNCTION("""COMPUTED_VALUE"""),"Prabhat Jain")</f>
        <v>Prabhat Jain</v>
      </c>
      <c r="G219" s="4" t="str">
        <f>IFERROR(__xludf.DUMMYFUNCTION("""COMPUTED_VALUE"""),"Cluster - Sachin")</f>
        <v>Cluster - Sachin</v>
      </c>
      <c r="H219" s="4" t="str">
        <f>IFERROR(__xludf.DUMMYFUNCTION("""COMPUTED_VALUE"""),"ONIKGMPA5")</f>
        <v>ONIKGMPA5</v>
      </c>
      <c r="I219" s="5">
        <f>IFERROR(__xludf.DUMMYFUNCTION("""COMPUTED_VALUE"""),19.0)</f>
        <v>19</v>
      </c>
      <c r="J219" s="4" t="str">
        <f>IFERROR(__xludf.DUMMYFUNCTION("""COMPUTED_VALUE"""),"Tier 4")</f>
        <v>Tier 4</v>
      </c>
      <c r="K219" s="4" t="str">
        <f>IFERROR(__xludf.DUMMYFUNCTION("""COMPUTED_VALUE"""),"Active")</f>
        <v>Active</v>
      </c>
      <c r="L219" s="4" t="str">
        <f>IFERROR(__xludf.DUMMYFUNCTION("""COMPUTED_VALUE"""),"Google Kubernetes Engine")</f>
        <v>Google Kubernetes Engine</v>
      </c>
    </row>
    <row r="220">
      <c r="A220" s="4" t="str">
        <f>IFERROR(__xludf.DUMMYFUNCTION("""COMPUTED_VALUE"""),"DME1713")</f>
        <v>DME1713</v>
      </c>
      <c r="B220" s="4" t="str">
        <f>IFERROR(__xludf.DUMMYFUNCTION("""COMPUTED_VALUE"""),"Snehal Prakash Saraf")</f>
        <v>Snehal Prakash Saraf</v>
      </c>
      <c r="C220" s="4" t="str">
        <f>IFERROR(__xludf.DUMMYFUNCTION("""COMPUTED_VALUE"""),"snehal.saraf@onixnet.com")</f>
        <v>snehal.saraf@onixnet.com</v>
      </c>
      <c r="D220" s="4" t="str">
        <f>IFERROR(__xludf.DUMMYFUNCTION("""COMPUTED_VALUE"""),"Active")</f>
        <v>Active</v>
      </c>
      <c r="E220" s="4" t="str">
        <f>IFERROR(__xludf.DUMMYFUNCTION("""COMPUTED_VALUE"""),"Delivery Services")</f>
        <v>Delivery Services</v>
      </c>
      <c r="F220" s="4" t="str">
        <f>IFERROR(__xludf.DUMMYFUNCTION("""COMPUTED_VALUE"""),"Shubhendu Shubhendu")</f>
        <v>Shubhendu Shubhendu</v>
      </c>
      <c r="G220" s="4" t="str">
        <f>IFERROR(__xludf.DUMMYFUNCTION("""COMPUTED_VALUE"""),"Cluster - Kanhaiya")</f>
        <v>Cluster - Kanhaiya</v>
      </c>
      <c r="H220" s="4" t="str">
        <f>IFERROR(__xludf.DUMMYFUNCTION("""COMPUTED_VALUE"""),"ONISSSJF2")</f>
        <v>ONISSSJF2</v>
      </c>
      <c r="I220" s="5">
        <f>IFERROR(__xludf.DUMMYFUNCTION("""COMPUTED_VALUE"""),11.0)</f>
        <v>11</v>
      </c>
      <c r="J220" s="4" t="str">
        <f>IFERROR(__xludf.DUMMYFUNCTION("""COMPUTED_VALUE"""),"Tier 4")</f>
        <v>Tier 4</v>
      </c>
      <c r="K220" s="4" t="str">
        <f>IFERROR(__xludf.DUMMYFUNCTION("""COMPUTED_VALUE"""),"Active")</f>
        <v>Active</v>
      </c>
      <c r="L220" s="4" t="str">
        <f>IFERROR(__xludf.DUMMYFUNCTION("""COMPUTED_VALUE"""),"BigQuery")</f>
        <v>BigQuery</v>
      </c>
    </row>
    <row r="221">
      <c r="A221" s="4" t="str">
        <f>IFERROR(__xludf.DUMMYFUNCTION("""COMPUTED_VALUE"""),"DME1711")</f>
        <v>DME1711</v>
      </c>
      <c r="B221" s="4" t="str">
        <f>IFERROR(__xludf.DUMMYFUNCTION("""COMPUTED_VALUE"""),"Pooja Suresh Palande")</f>
        <v>Pooja Suresh Palande</v>
      </c>
      <c r="C221" s="4" t="str">
        <f>IFERROR(__xludf.DUMMYFUNCTION("""COMPUTED_VALUE"""),"pooja.palande@onixnet.com")</f>
        <v>pooja.palande@onixnet.com</v>
      </c>
      <c r="D221" s="4" t="str">
        <f>IFERROR(__xludf.DUMMYFUNCTION("""COMPUTED_VALUE"""),"Active")</f>
        <v>Active</v>
      </c>
      <c r="E221" s="4" t="str">
        <f>IFERROR(__xludf.DUMMYFUNCTION("""COMPUTED_VALUE"""),"Delivery Services")</f>
        <v>Delivery Services</v>
      </c>
      <c r="F221" s="4" t="str">
        <f>IFERROR(__xludf.DUMMYFUNCTION("""COMPUTED_VALUE"""),"Priyanka Parab")</f>
        <v>Priyanka Parab</v>
      </c>
      <c r="G221" s="4" t="str">
        <f>IFERROR(__xludf.DUMMYFUNCTION("""COMPUTED_VALUE"""),"Cluster - Sagar")</f>
        <v>Cluster - Sagar</v>
      </c>
      <c r="H221" s="4" t="str">
        <f>IFERROR(__xludf.DUMMYFUNCTION("""COMPUTED_VALUE"""),"ONIPPYOW5")</f>
        <v>ONIPPYOW5</v>
      </c>
      <c r="I221" s="5">
        <f>IFERROR(__xludf.DUMMYFUNCTION("""COMPUTED_VALUE"""),14.0)</f>
        <v>14</v>
      </c>
      <c r="J221" s="4" t="str">
        <f>IFERROR(__xludf.DUMMYFUNCTION("""COMPUTED_VALUE"""),"Tier 4")</f>
        <v>Tier 4</v>
      </c>
      <c r="K221" s="4" t="str">
        <f>IFERROR(__xludf.DUMMYFUNCTION("""COMPUTED_VALUE"""),"Active")</f>
        <v>Active</v>
      </c>
      <c r="L221" s="4" t="str">
        <f>IFERROR(__xludf.DUMMYFUNCTION("""COMPUTED_VALUE"""),"AI Applications")</f>
        <v>AI Applications</v>
      </c>
    </row>
    <row r="222">
      <c r="A222" s="4" t="str">
        <f>IFERROR(__xludf.DUMMYFUNCTION("""COMPUTED_VALUE"""),"DME1709")</f>
        <v>DME1709</v>
      </c>
      <c r="B222" s="4" t="str">
        <f>IFERROR(__xludf.DUMMYFUNCTION("""COMPUTED_VALUE"""),"Karan Laxman More")</f>
        <v>Karan Laxman More</v>
      </c>
      <c r="C222" s="4" t="str">
        <f>IFERROR(__xludf.DUMMYFUNCTION("""COMPUTED_VALUE"""),"karan.more@onixnet.com")</f>
        <v>karan.more@onixnet.com</v>
      </c>
      <c r="D222" s="4" t="str">
        <f>IFERROR(__xludf.DUMMYFUNCTION("""COMPUTED_VALUE"""),"Active")</f>
        <v>Active</v>
      </c>
      <c r="E222" s="4" t="str">
        <f>IFERROR(__xludf.DUMMYFUNCTION("""COMPUTED_VALUE"""),"Delivery Services")</f>
        <v>Delivery Services</v>
      </c>
      <c r="F222" s="4" t="str">
        <f>IFERROR(__xludf.DUMMYFUNCTION("""COMPUTED_VALUE"""),"Jitender Singh")</f>
        <v>Jitender Singh</v>
      </c>
      <c r="G222" s="4" t="str">
        <f>IFERROR(__xludf.DUMMYFUNCTION("""COMPUTED_VALUE"""),"Cluster - Gaurav")</f>
        <v>Cluster - Gaurav</v>
      </c>
      <c r="H222" s="4" t="str">
        <f>IFERROR(__xludf.DUMMYFUNCTION("""COMPUTED_VALUE"""),"ONIKMWMV7")</f>
        <v>ONIKMWMV7</v>
      </c>
      <c r="I222" s="5">
        <f>IFERROR(__xludf.DUMMYFUNCTION("""COMPUTED_VALUE"""),24.0)</f>
        <v>24</v>
      </c>
      <c r="J222" s="4" t="str">
        <f>IFERROR(__xludf.DUMMYFUNCTION("""COMPUTED_VALUE"""),"Tier 3")</f>
        <v>Tier 3</v>
      </c>
      <c r="K222" s="4" t="str">
        <f>IFERROR(__xludf.DUMMYFUNCTION("""COMPUTED_VALUE"""),"Active")</f>
        <v>Active</v>
      </c>
      <c r="L222" s="4" t="str">
        <f>IFERROR(__xludf.DUMMYFUNCTION("""COMPUTED_VALUE"""),"BigQuery")</f>
        <v>BigQuery</v>
      </c>
    </row>
    <row r="223">
      <c r="A223" s="4" t="str">
        <f>IFERROR(__xludf.DUMMYFUNCTION("""COMPUTED_VALUE"""),"DME1706")</f>
        <v>DME1706</v>
      </c>
      <c r="B223" s="4" t="str">
        <f>IFERROR(__xludf.DUMMYFUNCTION("""COMPUTED_VALUE"""),"Shivani Vivek Gaikar")</f>
        <v>Shivani Vivek Gaikar</v>
      </c>
      <c r="C223" s="4" t="str">
        <f>IFERROR(__xludf.DUMMYFUNCTION("""COMPUTED_VALUE"""),"shivani.gaikar@onixnet.com")</f>
        <v>shivani.gaikar@onixnet.com</v>
      </c>
      <c r="D223" s="4" t="str">
        <f>IFERROR(__xludf.DUMMYFUNCTION("""COMPUTED_VALUE"""),"Active")</f>
        <v>Active</v>
      </c>
      <c r="E223" s="4" t="str">
        <f>IFERROR(__xludf.DUMMYFUNCTION("""COMPUTED_VALUE"""),"Delivery Services")</f>
        <v>Delivery Services</v>
      </c>
      <c r="F223" s="4" t="str">
        <f>IFERROR(__xludf.DUMMYFUNCTION("""COMPUTED_VALUE"""),"Sunny Mathur")</f>
        <v>Sunny Mathur</v>
      </c>
      <c r="G223" s="4" t="str">
        <f>IFERROR(__xludf.DUMMYFUNCTION("""COMPUTED_VALUE"""),"Cluster - Sagar")</f>
        <v>Cluster - Sagar</v>
      </c>
      <c r="H223" s="4" t="str">
        <f>IFERROR(__xludf.DUMMYFUNCTION("""COMPUTED_VALUE"""),"ONISGNQS2")</f>
        <v>ONISGNQS2</v>
      </c>
      <c r="I223" s="5">
        <f>IFERROR(__xludf.DUMMYFUNCTION("""COMPUTED_VALUE"""),39.0)</f>
        <v>39</v>
      </c>
      <c r="J223" s="4" t="str">
        <f>IFERROR(__xludf.DUMMYFUNCTION("""COMPUTED_VALUE"""),"Tier 2")</f>
        <v>Tier 2</v>
      </c>
      <c r="K223" s="4" t="str">
        <f>IFERROR(__xludf.DUMMYFUNCTION("""COMPUTED_VALUE"""),"Active")</f>
        <v>Active</v>
      </c>
      <c r="L223" s="4" t="str">
        <f>IFERROR(__xludf.DUMMYFUNCTION("""COMPUTED_VALUE"""),"BigQuery")</f>
        <v>BigQuery</v>
      </c>
    </row>
    <row r="224">
      <c r="A224" s="4" t="str">
        <f>IFERROR(__xludf.DUMMYFUNCTION("""COMPUTED_VALUE"""),"DME1705")</f>
        <v>DME1705</v>
      </c>
      <c r="B224" s="4" t="str">
        <f>IFERROR(__xludf.DUMMYFUNCTION("""COMPUTED_VALUE"""),"Ankita Rajendra Joshi")</f>
        <v>Ankita Rajendra Joshi</v>
      </c>
      <c r="C224" s="4" t="str">
        <f>IFERROR(__xludf.DUMMYFUNCTION("""COMPUTED_VALUE"""),"ankita.joshi@onixnet.com")</f>
        <v>ankita.joshi@onixnet.com</v>
      </c>
      <c r="D224" s="4" t="str">
        <f>IFERROR(__xludf.DUMMYFUNCTION("""COMPUTED_VALUE"""),"Active")</f>
        <v>Active</v>
      </c>
      <c r="E224" s="4" t="str">
        <f>IFERROR(__xludf.DUMMYFUNCTION("""COMPUTED_VALUE"""),"Product Engineering")</f>
        <v>Product Engineering</v>
      </c>
      <c r="F224" s="4" t="str">
        <f>IFERROR(__xludf.DUMMYFUNCTION("""COMPUTED_VALUE"""),"Pooja Kore")</f>
        <v>Pooja Kore</v>
      </c>
      <c r="G224" s="4" t="str">
        <f>IFERROR(__xludf.DUMMYFUNCTION("""COMPUTED_VALUE"""),"Cluster - Mayur")</f>
        <v>Cluster - Mayur</v>
      </c>
      <c r="H224" s="4" t="str">
        <f>IFERROR(__xludf.DUMMYFUNCTION("""COMPUTED_VALUE"""),"ONIAJIHQ1")</f>
        <v>ONIAJIHQ1</v>
      </c>
      <c r="I224" s="5">
        <f>IFERROR(__xludf.DUMMYFUNCTION("""COMPUTED_VALUE"""),19.0)</f>
        <v>19</v>
      </c>
      <c r="J224" s="4" t="str">
        <f>IFERROR(__xludf.DUMMYFUNCTION("""COMPUTED_VALUE"""),"Tier 4")</f>
        <v>Tier 4</v>
      </c>
      <c r="K224" s="4" t="str">
        <f>IFERROR(__xludf.DUMMYFUNCTION("""COMPUTED_VALUE"""),"Active")</f>
        <v>Active</v>
      </c>
      <c r="L224" s="4" t="str">
        <f>IFERROR(__xludf.DUMMYFUNCTION("""COMPUTED_VALUE"""),"Google Kubernetes Engine")</f>
        <v>Google Kubernetes Engine</v>
      </c>
    </row>
    <row r="225">
      <c r="A225" s="4" t="str">
        <f>IFERROR(__xludf.DUMMYFUNCTION("""COMPUTED_VALUE"""),"DME1704")</f>
        <v>DME1704</v>
      </c>
      <c r="B225" s="4" t="str">
        <f>IFERROR(__xludf.DUMMYFUNCTION("""COMPUTED_VALUE"""),"Shubhangi Ramdas Dhawan")</f>
        <v>Shubhangi Ramdas Dhawan</v>
      </c>
      <c r="C225" s="4" t="str">
        <f>IFERROR(__xludf.DUMMYFUNCTION("""COMPUTED_VALUE"""),"shubhangi.dhawan@onixnet.com")</f>
        <v>shubhangi.dhawan@onixnet.com</v>
      </c>
      <c r="D225" s="4" t="str">
        <f>IFERROR(__xludf.DUMMYFUNCTION("""COMPUTED_VALUE"""),"Active")</f>
        <v>Active</v>
      </c>
      <c r="E225" s="4" t="str">
        <f>IFERROR(__xludf.DUMMYFUNCTION("""COMPUTED_VALUE"""),"Delivery Services")</f>
        <v>Delivery Services</v>
      </c>
      <c r="F225" s="4" t="str">
        <f>IFERROR(__xludf.DUMMYFUNCTION("""COMPUTED_VALUE"""),"Shubham Agnihotri")</f>
        <v>Shubham Agnihotri</v>
      </c>
      <c r="G225" s="4" t="str">
        <f>IFERROR(__xludf.DUMMYFUNCTION("""COMPUTED_VALUE"""),"Cluster - Gaurav")</f>
        <v>Cluster - Gaurav</v>
      </c>
      <c r="H225" s="4" t="str">
        <f>IFERROR(__xludf.DUMMYFUNCTION("""COMPUTED_VALUE"""),"ONISDYHV2")</f>
        <v>ONISDYHV2</v>
      </c>
      <c r="I225" s="5">
        <f>IFERROR(__xludf.DUMMYFUNCTION("""COMPUTED_VALUE"""),19.0)</f>
        <v>19</v>
      </c>
      <c r="J225" s="4" t="str">
        <f>IFERROR(__xludf.DUMMYFUNCTION("""COMPUTED_VALUE"""),"Tier 4")</f>
        <v>Tier 4</v>
      </c>
      <c r="K225" s="4" t="str">
        <f>IFERROR(__xludf.DUMMYFUNCTION("""COMPUTED_VALUE"""),"Active")</f>
        <v>Active</v>
      </c>
      <c r="L225" s="4" t="str">
        <f>IFERROR(__xludf.DUMMYFUNCTION("""COMPUTED_VALUE"""),"BigQuery")</f>
        <v>BigQuery</v>
      </c>
    </row>
    <row r="226">
      <c r="A226" s="4" t="str">
        <f>IFERROR(__xludf.DUMMYFUNCTION("""COMPUTED_VALUE"""),"DME1703")</f>
        <v>DME1703</v>
      </c>
      <c r="B226" s="4" t="str">
        <f>IFERROR(__xludf.DUMMYFUNCTION("""COMPUTED_VALUE"""),"Monika Ashish Mohite")</f>
        <v>Monika Ashish Mohite</v>
      </c>
      <c r="C226" s="4" t="str">
        <f>IFERROR(__xludf.DUMMYFUNCTION("""COMPUTED_VALUE"""),"monika.mohite@onixnet.com")</f>
        <v>monika.mohite@onixnet.com</v>
      </c>
      <c r="D226" s="4" t="str">
        <f>IFERROR(__xludf.DUMMYFUNCTION("""COMPUTED_VALUE"""),"Active")</f>
        <v>Active</v>
      </c>
      <c r="E226" s="4" t="str">
        <f>IFERROR(__xludf.DUMMYFUNCTION("""COMPUTED_VALUE"""),"Delivery Services")</f>
        <v>Delivery Services</v>
      </c>
      <c r="F226" s="4" t="str">
        <f>IFERROR(__xludf.DUMMYFUNCTION("""COMPUTED_VALUE"""),"Jitender Singh")</f>
        <v>Jitender Singh</v>
      </c>
      <c r="G226" s="4" t="str">
        <f>IFERROR(__xludf.DUMMYFUNCTION("""COMPUTED_VALUE"""),"Cluster - Gaurav")</f>
        <v>Cluster - Gaurav</v>
      </c>
      <c r="H226" s="4" t="str">
        <f>IFERROR(__xludf.DUMMYFUNCTION("""COMPUTED_VALUE"""),"ONIMMYSF6")</f>
        <v>ONIMMYSF6</v>
      </c>
      <c r="I226" s="5">
        <f>IFERROR(__xludf.DUMMYFUNCTION("""COMPUTED_VALUE"""),29.0)</f>
        <v>29</v>
      </c>
      <c r="J226" s="4" t="str">
        <f>IFERROR(__xludf.DUMMYFUNCTION("""COMPUTED_VALUE"""),"Tier 3")</f>
        <v>Tier 3</v>
      </c>
      <c r="K226" s="4" t="str">
        <f>IFERROR(__xludf.DUMMYFUNCTION("""COMPUTED_VALUE"""),"Active")</f>
        <v>Active</v>
      </c>
      <c r="L226" s="4" t="str">
        <f>IFERROR(__xludf.DUMMYFUNCTION("""COMPUTED_VALUE"""),"BigQuery")</f>
        <v>BigQuery</v>
      </c>
    </row>
    <row r="227">
      <c r="A227" s="4" t="str">
        <f>IFERROR(__xludf.DUMMYFUNCTION("""COMPUTED_VALUE"""),"DME1701")</f>
        <v>DME1701</v>
      </c>
      <c r="B227" s="4" t="str">
        <f>IFERROR(__xludf.DUMMYFUNCTION("""COMPUTED_VALUE"""),"Shruti Raju Sasane")</f>
        <v>Shruti Raju Sasane</v>
      </c>
      <c r="C227" s="4" t="str">
        <f>IFERROR(__xludf.DUMMYFUNCTION("""COMPUTED_VALUE"""),"shruti.sasane@onixnet.com")</f>
        <v>shruti.sasane@onixnet.com</v>
      </c>
      <c r="D227" s="4" t="str">
        <f>IFERROR(__xludf.DUMMYFUNCTION("""COMPUTED_VALUE"""),"Active")</f>
        <v>Active</v>
      </c>
      <c r="E227" s="4" t="str">
        <f>IFERROR(__xludf.DUMMYFUNCTION("""COMPUTED_VALUE"""),"Delivery Services")</f>
        <v>Delivery Services</v>
      </c>
      <c r="F227" s="4" t="str">
        <f>IFERROR(__xludf.DUMMYFUNCTION("""COMPUTED_VALUE"""),"Sneha Bhatambrekar")</f>
        <v>Sneha Bhatambrekar</v>
      </c>
      <c r="G227" s="4" t="str">
        <f>IFERROR(__xludf.DUMMYFUNCTION("""COMPUTED_VALUE"""),"Cluster - Sandeep")</f>
        <v>Cluster - Sandeep</v>
      </c>
      <c r="H227" s="4" t="str">
        <f>IFERROR(__xludf.DUMMYFUNCTION("""COMPUTED_VALUE"""),"DATSSKQS9")</f>
        <v>DATSSKQS9</v>
      </c>
      <c r="I227" s="5">
        <f>IFERROR(__xludf.DUMMYFUNCTION("""COMPUTED_VALUE"""),32.0)</f>
        <v>32</v>
      </c>
      <c r="J227" s="4" t="str">
        <f>IFERROR(__xludf.DUMMYFUNCTION("""COMPUTED_VALUE"""),"Tier 3")</f>
        <v>Tier 3</v>
      </c>
      <c r="K227" s="4" t="str">
        <f>IFERROR(__xludf.DUMMYFUNCTION("""COMPUTED_VALUE"""),"Active")</f>
        <v>Active</v>
      </c>
      <c r="L227" s="4" t="str">
        <f>IFERROR(__xludf.DUMMYFUNCTION("""COMPUTED_VALUE"""),"BigQuery")</f>
        <v>BigQuery</v>
      </c>
    </row>
    <row r="228">
      <c r="A228" s="4" t="str">
        <f>IFERROR(__xludf.DUMMYFUNCTION("""COMPUTED_VALUE"""),"DME1699")</f>
        <v>DME1699</v>
      </c>
      <c r="B228" s="4" t="str">
        <f>IFERROR(__xludf.DUMMYFUNCTION("""COMPUTED_VALUE"""),"Vaishnavi Amit Manekar")</f>
        <v>Vaishnavi Amit Manekar</v>
      </c>
      <c r="C228" s="4" t="str">
        <f>IFERROR(__xludf.DUMMYFUNCTION("""COMPUTED_VALUE"""),"vaishnavi.manekar@onixnet.com")</f>
        <v>vaishnavi.manekar@onixnet.com</v>
      </c>
      <c r="D228" s="4" t="str">
        <f>IFERROR(__xludf.DUMMYFUNCTION("""COMPUTED_VALUE"""),"Active")</f>
        <v>Active</v>
      </c>
      <c r="E228" s="4" t="str">
        <f>IFERROR(__xludf.DUMMYFUNCTION("""COMPUTED_VALUE"""),"Delivery Services")</f>
        <v>Delivery Services</v>
      </c>
      <c r="F228" s="4" t="str">
        <f>IFERROR(__xludf.DUMMYFUNCTION("""COMPUTED_VALUE"""),"Jitender Singh")</f>
        <v>Jitender Singh</v>
      </c>
      <c r="G228" s="4" t="str">
        <f>IFERROR(__xludf.DUMMYFUNCTION("""COMPUTED_VALUE"""),"Cluster - Gaurav")</f>
        <v>Cluster - Gaurav</v>
      </c>
      <c r="H228" s="4" t="str">
        <f>IFERROR(__xludf.DUMMYFUNCTION("""COMPUTED_VALUE"""),"ONIVMMCA6")</f>
        <v>ONIVMMCA6</v>
      </c>
      <c r="I228" s="5">
        <f>IFERROR(__xludf.DUMMYFUNCTION("""COMPUTED_VALUE"""),0.0)</f>
        <v>0</v>
      </c>
      <c r="J228" s="4" t="str">
        <f>IFERROR(__xludf.DUMMYFUNCTION("""COMPUTED_VALUE"""),"Tier 4")</f>
        <v>Tier 4</v>
      </c>
      <c r="K228" s="4" t="str">
        <f>IFERROR(__xludf.DUMMYFUNCTION("""COMPUTED_VALUE"""),"ID Created DRP score 0")</f>
        <v>ID Created DRP score 0</v>
      </c>
      <c r="L228" s="4"/>
    </row>
    <row r="229">
      <c r="A229" s="4" t="str">
        <f>IFERROR(__xludf.DUMMYFUNCTION("""COMPUTED_VALUE"""),"DME1698")</f>
        <v>DME1698</v>
      </c>
      <c r="B229" s="4" t="str">
        <f>IFERROR(__xludf.DUMMYFUNCTION("""COMPUTED_VALUE"""),"Pranali Bapurao Rupanavar")</f>
        <v>Pranali Bapurao Rupanavar</v>
      </c>
      <c r="C229" s="4" t="str">
        <f>IFERROR(__xludf.DUMMYFUNCTION("""COMPUTED_VALUE"""),"pranali.rupanavar@onixnet.com")</f>
        <v>pranali.rupanavar@onixnet.com</v>
      </c>
      <c r="D229" s="4" t="str">
        <f>IFERROR(__xludf.DUMMYFUNCTION("""COMPUTED_VALUE"""),"Active")</f>
        <v>Active</v>
      </c>
      <c r="E229" s="4" t="str">
        <f>IFERROR(__xludf.DUMMYFUNCTION("""COMPUTED_VALUE"""),"Delivery Services")</f>
        <v>Delivery Services</v>
      </c>
      <c r="F229" s="4" t="str">
        <f>IFERROR(__xludf.DUMMYFUNCTION("""COMPUTED_VALUE"""),"Vishal Verma")</f>
        <v>Vishal Verma</v>
      </c>
      <c r="G229" s="4" t="str">
        <f>IFERROR(__xludf.DUMMYFUNCTION("""COMPUTED_VALUE"""),"Cluster - Sachin")</f>
        <v>Cluster - Sachin</v>
      </c>
      <c r="H229" s="4" t="str">
        <f>IFERROR(__xludf.DUMMYFUNCTION("""COMPUTED_VALUE"""),"ONIPRARC5")</f>
        <v>ONIPRARC5</v>
      </c>
      <c r="I229" s="5">
        <f>IFERROR(__xludf.DUMMYFUNCTION("""COMPUTED_VALUE"""),25.0)</f>
        <v>25</v>
      </c>
      <c r="J229" s="4" t="str">
        <f>IFERROR(__xludf.DUMMYFUNCTION("""COMPUTED_VALUE"""),"Tier 3")</f>
        <v>Tier 3</v>
      </c>
      <c r="K229" s="4" t="str">
        <f>IFERROR(__xludf.DUMMYFUNCTION("""COMPUTED_VALUE"""),"Active")</f>
        <v>Active</v>
      </c>
      <c r="L229" s="4" t="str">
        <f>IFERROR(__xludf.DUMMYFUNCTION("""COMPUTED_VALUE"""),"BigQuery")</f>
        <v>BigQuery</v>
      </c>
    </row>
    <row r="230">
      <c r="A230" s="4" t="str">
        <f>IFERROR(__xludf.DUMMYFUNCTION("""COMPUTED_VALUE"""),"DME1775")</f>
        <v>DME1775</v>
      </c>
      <c r="B230" s="4" t="str">
        <f>IFERROR(__xludf.DUMMYFUNCTION("""COMPUTED_VALUE"""),"Amit Argade")</f>
        <v>Amit Argade</v>
      </c>
      <c r="C230" s="4" t="str">
        <f>IFERROR(__xludf.DUMMYFUNCTION("""COMPUTED_VALUE"""),"amit.argade@onixnet.com")</f>
        <v>amit.argade@onixnet.com</v>
      </c>
      <c r="D230" s="4" t="str">
        <f>IFERROR(__xludf.DUMMYFUNCTION("""COMPUTED_VALUE"""),"Active")</f>
        <v>Active</v>
      </c>
      <c r="E230" s="4" t="str">
        <f>IFERROR(__xludf.DUMMYFUNCTION("""COMPUTED_VALUE"""),"Delivery Services")</f>
        <v>Delivery Services</v>
      </c>
      <c r="F230" s="4" t="str">
        <f>IFERROR(__xludf.DUMMYFUNCTION("""COMPUTED_VALUE"""),"Sagar Surana")</f>
        <v>Sagar Surana</v>
      </c>
      <c r="G230" s="4" t="str">
        <f>IFERROR(__xludf.DUMMYFUNCTION("""COMPUTED_VALUE"""),"Cluster - Sagar")</f>
        <v>Cluster - Sagar</v>
      </c>
      <c r="H230" s="4" t="str">
        <f>IFERROR(__xludf.DUMMYFUNCTION("""COMPUTED_VALUE"""),"ONIAALKL8")</f>
        <v>ONIAALKL8</v>
      </c>
      <c r="I230" s="5">
        <f>IFERROR(__xludf.DUMMYFUNCTION("""COMPUTED_VALUE"""),24.0)</f>
        <v>24</v>
      </c>
      <c r="J230" s="4" t="str">
        <f>IFERROR(__xludf.DUMMYFUNCTION("""COMPUTED_VALUE"""),"Tier 3")</f>
        <v>Tier 3</v>
      </c>
      <c r="K230" s="4" t="str">
        <f>IFERROR(__xludf.DUMMYFUNCTION("""COMPUTED_VALUE"""),"Active")</f>
        <v>Active</v>
      </c>
      <c r="L230" s="4" t="str">
        <f>IFERROR(__xludf.DUMMYFUNCTION("""COMPUTED_VALUE"""),"BigQuery")</f>
        <v>BigQuery</v>
      </c>
    </row>
    <row r="231">
      <c r="A231" s="4" t="str">
        <f>IFERROR(__xludf.DUMMYFUNCTION("""COMPUTED_VALUE"""),"DME1800")</f>
        <v>DME1800</v>
      </c>
      <c r="B231" s="4" t="str">
        <f>IFERROR(__xludf.DUMMYFUNCTION("""COMPUTED_VALUE"""),"Ashish Ashok Taman")</f>
        <v>Ashish Ashok Taman</v>
      </c>
      <c r="C231" s="4" t="str">
        <f>IFERROR(__xludf.DUMMYFUNCTION("""COMPUTED_VALUE"""),"ashish.taman@onixnet.com")</f>
        <v>ashish.taman@onixnet.com</v>
      </c>
      <c r="D231" s="4" t="str">
        <f>IFERROR(__xludf.DUMMYFUNCTION("""COMPUTED_VALUE"""),"Active")</f>
        <v>Active</v>
      </c>
      <c r="E231" s="4" t="str">
        <f>IFERROR(__xludf.DUMMYFUNCTION("""COMPUTED_VALUE"""),"Eagle Assessment")</f>
        <v>Eagle Assessment</v>
      </c>
      <c r="F231" s="4" t="str">
        <f>IFERROR(__xludf.DUMMYFUNCTION("""COMPUTED_VALUE"""),"Kalpa Sharma")</f>
        <v>Kalpa Sharma</v>
      </c>
      <c r="G231" s="4" t="str">
        <f>IFERROR(__xludf.DUMMYFUNCTION("""COMPUTED_VALUE"""),"Cluster - Kalpa")</f>
        <v>Cluster - Kalpa</v>
      </c>
      <c r="H231" s="4"/>
      <c r="I231" s="5"/>
      <c r="J231" s="4"/>
      <c r="K231" s="4" t="str">
        <f>IFERROR(__xludf.DUMMYFUNCTION("""COMPUTED_VALUE"""),"ID Not Created")</f>
        <v>ID Not Created</v>
      </c>
      <c r="L231" s="4"/>
    </row>
    <row r="232">
      <c r="A232" s="4" t="str">
        <f>IFERROR(__xludf.DUMMYFUNCTION("""COMPUTED_VALUE"""),"DME1796")</f>
        <v>DME1796</v>
      </c>
      <c r="B232" s="4" t="str">
        <f>IFERROR(__xludf.DUMMYFUNCTION("""COMPUTED_VALUE"""),"Ashutosh Anil Shitole")</f>
        <v>Ashutosh Anil Shitole</v>
      </c>
      <c r="C232" s="4" t="str">
        <f>IFERROR(__xludf.DUMMYFUNCTION("""COMPUTED_VALUE"""),"ashutosh.shitole@onixnet.com")</f>
        <v>ashutosh.shitole@onixnet.com</v>
      </c>
      <c r="D232" s="4" t="str">
        <f>IFERROR(__xludf.DUMMYFUNCTION("""COMPUTED_VALUE"""),"Active")</f>
        <v>Active</v>
      </c>
      <c r="E232" s="4" t="str">
        <f>IFERROR(__xludf.DUMMYFUNCTION("""COMPUTED_VALUE"""),"Eagle Assessment")</f>
        <v>Eagle Assessment</v>
      </c>
      <c r="F232" s="4" t="str">
        <f>IFERROR(__xludf.DUMMYFUNCTION("""COMPUTED_VALUE"""),"Lokesh Bhardwaj")</f>
        <v>Lokesh Bhardwaj</v>
      </c>
      <c r="G232" s="4" t="str">
        <f>IFERROR(__xludf.DUMMYFUNCTION("""COMPUTED_VALUE"""),"Cluster - Kalpa")</f>
        <v>Cluster - Kalpa</v>
      </c>
      <c r="H232" s="4" t="str">
        <f>IFERROR(__xludf.DUMMYFUNCTION("""COMPUTED_VALUE"""),"ONIASRKZ0")</f>
        <v>ONIASRKZ0</v>
      </c>
      <c r="I232" s="5">
        <f>IFERROR(__xludf.DUMMYFUNCTION("""COMPUTED_VALUE"""),20.0)</f>
        <v>20</v>
      </c>
      <c r="J232" s="4" t="str">
        <f>IFERROR(__xludf.DUMMYFUNCTION("""COMPUTED_VALUE"""),"Tier 3")</f>
        <v>Tier 3</v>
      </c>
      <c r="K232" s="4" t="str">
        <f>IFERROR(__xludf.DUMMYFUNCTION("""COMPUTED_VALUE"""),"Active")</f>
        <v>Active</v>
      </c>
      <c r="L232" s="4" t="str">
        <f>IFERROR(__xludf.DUMMYFUNCTION("""COMPUTED_VALUE"""),"Google Compute Engine")</f>
        <v>Google Compute Engine</v>
      </c>
    </row>
    <row r="233">
      <c r="A233" s="4" t="str">
        <f>IFERROR(__xludf.DUMMYFUNCTION("""COMPUTED_VALUE"""),"DME1795")</f>
        <v>DME1795</v>
      </c>
      <c r="B233" s="4" t="str">
        <f>IFERROR(__xludf.DUMMYFUNCTION("""COMPUTED_VALUE"""),"Ravi Gulab Rathod")</f>
        <v>Ravi Gulab Rathod</v>
      </c>
      <c r="C233" s="4" t="str">
        <f>IFERROR(__xludf.DUMMYFUNCTION("""COMPUTED_VALUE"""),"ravi.rathod@onixnet.com")</f>
        <v>ravi.rathod@onixnet.com</v>
      </c>
      <c r="D233" s="4" t="str">
        <f>IFERROR(__xludf.DUMMYFUNCTION("""COMPUTED_VALUE"""),"Active")</f>
        <v>Active</v>
      </c>
      <c r="E233" s="4" t="str">
        <f>IFERROR(__xludf.DUMMYFUNCTION("""COMPUTED_VALUE"""),"Delivery Services")</f>
        <v>Delivery Services</v>
      </c>
      <c r="F233" s="4" t="str">
        <f>IFERROR(__xludf.DUMMYFUNCTION("""COMPUTED_VALUE"""),"Shreyas Meshram")</f>
        <v>Shreyas Meshram</v>
      </c>
      <c r="G233" s="4" t="str">
        <f>IFERROR(__xludf.DUMMYFUNCTION("""COMPUTED_VALUE"""),"Cluster - Gaurav")</f>
        <v>Cluster - Gaurav</v>
      </c>
      <c r="H233" s="4" t="str">
        <f>IFERROR(__xludf.DUMMYFUNCTION("""COMPUTED_VALUE"""),"ONIRRBSP4")</f>
        <v>ONIRRBSP4</v>
      </c>
      <c r="I233" s="5">
        <f>IFERROR(__xludf.DUMMYFUNCTION("""COMPUTED_VALUE"""),19.0)</f>
        <v>19</v>
      </c>
      <c r="J233" s="4" t="str">
        <f>IFERROR(__xludf.DUMMYFUNCTION("""COMPUTED_VALUE"""),"Tier 4")</f>
        <v>Tier 4</v>
      </c>
      <c r="K233" s="4" t="str">
        <f>IFERROR(__xludf.DUMMYFUNCTION("""COMPUTED_VALUE"""),"Active")</f>
        <v>Active</v>
      </c>
      <c r="L233" s="4" t="str">
        <f>IFERROR(__xludf.DUMMYFUNCTION("""COMPUTED_VALUE"""),"BigQuery")</f>
        <v>BigQuery</v>
      </c>
    </row>
    <row r="234">
      <c r="A234" s="4" t="str">
        <f>IFERROR(__xludf.DUMMYFUNCTION("""COMPUTED_VALUE"""),"DME1798")</f>
        <v>DME1798</v>
      </c>
      <c r="B234" s="4" t="str">
        <f>IFERROR(__xludf.DUMMYFUNCTION("""COMPUTED_VALUE"""),"Apoorva Sanjay Khade")</f>
        <v>Apoorva Sanjay Khade</v>
      </c>
      <c r="C234" s="4" t="str">
        <f>IFERROR(__xludf.DUMMYFUNCTION("""COMPUTED_VALUE"""),"apoorva.khade@onixnet.com")</f>
        <v>apoorva.khade@onixnet.com</v>
      </c>
      <c r="D234" s="4" t="str">
        <f>IFERROR(__xludf.DUMMYFUNCTION("""COMPUTED_VALUE"""),"Active")</f>
        <v>Active</v>
      </c>
      <c r="E234" s="4" t="str">
        <f>IFERROR(__xludf.DUMMYFUNCTION("""COMPUTED_VALUE"""),"Delivery Services")</f>
        <v>Delivery Services</v>
      </c>
      <c r="F234" s="4" t="str">
        <f>IFERROR(__xludf.DUMMYFUNCTION("""COMPUTED_VALUE"""),"Rahul Chandak")</f>
        <v>Rahul Chandak</v>
      </c>
      <c r="G234" s="4" t="str">
        <f>IFERROR(__xludf.DUMMYFUNCTION("""COMPUTED_VALUE"""),"Cluster - Sagar")</f>
        <v>Cluster - Sagar</v>
      </c>
      <c r="H234" s="4" t="str">
        <f>IFERROR(__xludf.DUMMYFUNCTION("""COMPUTED_VALUE"""),"DATAKTOX7")</f>
        <v>DATAKTOX7</v>
      </c>
      <c r="I234" s="5">
        <f>IFERROR(__xludf.DUMMYFUNCTION("""COMPUTED_VALUE"""),23.0)</f>
        <v>23</v>
      </c>
      <c r="J234" s="4" t="str">
        <f>IFERROR(__xludf.DUMMYFUNCTION("""COMPUTED_VALUE"""),"Tier 3")</f>
        <v>Tier 3</v>
      </c>
      <c r="K234" s="4" t="str">
        <f>IFERROR(__xludf.DUMMYFUNCTION("""COMPUTED_VALUE"""),"Active")</f>
        <v>Active</v>
      </c>
      <c r="L234" s="4" t="str">
        <f>IFERROR(__xludf.DUMMYFUNCTION("""COMPUTED_VALUE"""),"BigQuery")</f>
        <v>BigQuery</v>
      </c>
    </row>
    <row r="235">
      <c r="A235" s="4" t="str">
        <f>IFERROR(__xludf.DUMMYFUNCTION("""COMPUTED_VALUE"""),"DME1803")</f>
        <v>DME1803</v>
      </c>
      <c r="B235" s="4" t="str">
        <f>IFERROR(__xludf.DUMMYFUNCTION("""COMPUTED_VALUE"""),"Amit Kumar")</f>
        <v>Amit Kumar</v>
      </c>
      <c r="C235" s="4" t="str">
        <f>IFERROR(__xludf.DUMMYFUNCTION("""COMPUTED_VALUE"""),"amit.kumar@onixnet.com")</f>
        <v>amit.kumar@onixnet.com</v>
      </c>
      <c r="D235" s="4" t="str">
        <f>IFERROR(__xludf.DUMMYFUNCTION("""COMPUTED_VALUE"""),"Active")</f>
        <v>Active</v>
      </c>
      <c r="E235" s="4" t="str">
        <f>IFERROR(__xludf.DUMMYFUNCTION("""COMPUTED_VALUE"""),"Delivery Services")</f>
        <v>Delivery Services</v>
      </c>
      <c r="F235" s="4" t="str">
        <f>IFERROR(__xludf.DUMMYFUNCTION("""COMPUTED_VALUE"""),"Devayani Girish Pillai")</f>
        <v>Devayani Girish Pillai</v>
      </c>
      <c r="G235" s="4" t="str">
        <f>IFERROR(__xludf.DUMMYFUNCTION("""COMPUTED_VALUE"""),"Cluster - Devayani")</f>
        <v>Cluster - Devayani</v>
      </c>
      <c r="H235" s="4" t="str">
        <f>IFERROR(__xludf.DUMMYFUNCTION("""COMPUTED_VALUE"""),"ONIAKNIP2")</f>
        <v>ONIAKNIP2</v>
      </c>
      <c r="I235" s="5">
        <f>IFERROR(__xludf.DUMMYFUNCTION("""COMPUTED_VALUE"""),55.0)</f>
        <v>55</v>
      </c>
      <c r="J235" s="4" t="str">
        <f>IFERROR(__xludf.DUMMYFUNCTION("""COMPUTED_VALUE"""),"Tier 1")</f>
        <v>Tier 1</v>
      </c>
      <c r="K235" s="4" t="str">
        <f>IFERROR(__xludf.DUMMYFUNCTION("""COMPUTED_VALUE"""),"Active")</f>
        <v>Active</v>
      </c>
      <c r="L235" s="4" t="str">
        <f>IFERROR(__xludf.DUMMYFUNCTION("""COMPUTED_VALUE"""),"Gemini Enterprise Agent Platform")</f>
        <v>Gemini Enterprise Agent Platform</v>
      </c>
    </row>
    <row r="236">
      <c r="A236" s="4" t="str">
        <f>IFERROR(__xludf.DUMMYFUNCTION("""COMPUTED_VALUE"""),"DME1822")</f>
        <v>DME1822</v>
      </c>
      <c r="B236" s="4" t="str">
        <f>IFERROR(__xludf.DUMMYFUNCTION("""COMPUTED_VALUE"""),"Tejashri Vasant Tilekar")</f>
        <v>Tejashri Vasant Tilekar</v>
      </c>
      <c r="C236" s="4" t="str">
        <f>IFERROR(__xludf.DUMMYFUNCTION("""COMPUTED_VALUE"""),"tejashri.tilekar@onixnet.com")</f>
        <v>tejashri.tilekar@onixnet.com</v>
      </c>
      <c r="D236" s="4" t="str">
        <f>IFERROR(__xludf.DUMMYFUNCTION("""COMPUTED_VALUE"""),"Active")</f>
        <v>Active</v>
      </c>
      <c r="E236" s="4" t="str">
        <f>IFERROR(__xludf.DUMMYFUNCTION("""COMPUTED_VALUE"""),"Delivery Services")</f>
        <v>Delivery Services</v>
      </c>
      <c r="F236" s="4" t="str">
        <f>IFERROR(__xludf.DUMMYFUNCTION("""COMPUTED_VALUE"""),"Sneha Bhatambrekar")</f>
        <v>Sneha Bhatambrekar</v>
      </c>
      <c r="G236" s="4" t="str">
        <f>IFERROR(__xludf.DUMMYFUNCTION("""COMPUTED_VALUE"""),"Cluster - Sandeep")</f>
        <v>Cluster - Sandeep</v>
      </c>
      <c r="H236" s="4" t="str">
        <f>IFERROR(__xludf.DUMMYFUNCTION("""COMPUTED_VALUE"""),"ONITTELG0")</f>
        <v>ONITTELG0</v>
      </c>
      <c r="I236" s="5">
        <f>IFERROR(__xludf.DUMMYFUNCTION("""COMPUTED_VALUE"""),15.0)</f>
        <v>15</v>
      </c>
      <c r="J236" s="4" t="str">
        <f>IFERROR(__xludf.DUMMYFUNCTION("""COMPUTED_VALUE"""),"Tier 4")</f>
        <v>Tier 4</v>
      </c>
      <c r="K236" s="4" t="str">
        <f>IFERROR(__xludf.DUMMYFUNCTION("""COMPUTED_VALUE"""),"Active")</f>
        <v>Active</v>
      </c>
      <c r="L236" s="4" t="str">
        <f>IFERROR(__xludf.DUMMYFUNCTION("""COMPUTED_VALUE"""),"BigQuery")</f>
        <v>BigQuery</v>
      </c>
    </row>
    <row r="237">
      <c r="A237" s="4" t="str">
        <f>IFERROR(__xludf.DUMMYFUNCTION("""COMPUTED_VALUE"""),"DME1817")</f>
        <v>DME1817</v>
      </c>
      <c r="B237" s="4" t="str">
        <f>IFERROR(__xludf.DUMMYFUNCTION("""COMPUTED_VALUE"""),"Mayur Jain")</f>
        <v>Mayur Jain</v>
      </c>
      <c r="C237" s="4" t="str">
        <f>IFERROR(__xludf.DUMMYFUNCTION("""COMPUTED_VALUE"""),"mayur.jain@onixnet.com")</f>
        <v>mayur.jain@onixnet.com</v>
      </c>
      <c r="D237" s="4" t="str">
        <f>IFERROR(__xludf.DUMMYFUNCTION("""COMPUTED_VALUE"""),"Active")</f>
        <v>Active</v>
      </c>
      <c r="E237" s="4" t="str">
        <f>IFERROR(__xludf.DUMMYFUNCTION("""COMPUTED_VALUE"""),"Product Engineering")</f>
        <v>Product Engineering</v>
      </c>
      <c r="F237" s="4" t="str">
        <f>IFERROR(__xludf.DUMMYFUNCTION("""COMPUTED_VALUE"""),"Niraj Kumar")</f>
        <v>Niraj Kumar</v>
      </c>
      <c r="G237" s="4" t="str">
        <f>IFERROR(__xludf.DUMMYFUNCTION("""COMPUTED_VALUE"""),"Cluster - Niraj")</f>
        <v>Cluster - Niraj</v>
      </c>
      <c r="H237" s="4"/>
      <c r="I237" s="5"/>
      <c r="J237" s="4"/>
      <c r="K237" s="4" t="str">
        <f>IFERROR(__xludf.DUMMYFUNCTION("""COMPUTED_VALUE"""),"ID Not Created")</f>
        <v>ID Not Created</v>
      </c>
      <c r="L237" s="4"/>
    </row>
    <row r="238">
      <c r="A238" s="4" t="str">
        <f>IFERROR(__xludf.DUMMYFUNCTION("""COMPUTED_VALUE"""),"DME1816")</f>
        <v>DME1816</v>
      </c>
      <c r="B238" s="4" t="str">
        <f>IFERROR(__xludf.DUMMYFUNCTION("""COMPUTED_VALUE"""),"Anjali Phulari")</f>
        <v>Anjali Phulari</v>
      </c>
      <c r="C238" s="4" t="str">
        <f>IFERROR(__xludf.DUMMYFUNCTION("""COMPUTED_VALUE"""),"anjali.phulari@onixnet.com")</f>
        <v>anjali.phulari@onixnet.com</v>
      </c>
      <c r="D238" s="4" t="str">
        <f>IFERROR(__xludf.DUMMYFUNCTION("""COMPUTED_VALUE"""),"Active")</f>
        <v>Active</v>
      </c>
      <c r="E238" s="4" t="str">
        <f>IFERROR(__xludf.DUMMYFUNCTION("""COMPUTED_VALUE"""),"Delivery Services")</f>
        <v>Delivery Services</v>
      </c>
      <c r="F238" s="4" t="str">
        <f>IFERROR(__xludf.DUMMYFUNCTION("""COMPUTED_VALUE"""),"Ashwini Kumar")</f>
        <v>Ashwini Kumar</v>
      </c>
      <c r="G238" s="4" t="str">
        <f>IFERROR(__xludf.DUMMYFUNCTION("""COMPUTED_VALUE"""),"Cluster - Kanhaiya")</f>
        <v>Cluster - Kanhaiya</v>
      </c>
      <c r="H238" s="4" t="str">
        <f>IFERROR(__xludf.DUMMYFUNCTION("""COMPUTED_VALUE"""),"DATAPVUL0")</f>
        <v>DATAPVUL0</v>
      </c>
      <c r="I238" s="5">
        <f>IFERROR(__xludf.DUMMYFUNCTION("""COMPUTED_VALUE"""),21.0)</f>
        <v>21</v>
      </c>
      <c r="J238" s="4" t="str">
        <f>IFERROR(__xludf.DUMMYFUNCTION("""COMPUTED_VALUE"""),"Tier 3")</f>
        <v>Tier 3</v>
      </c>
      <c r="K238" s="4" t="str">
        <f>IFERROR(__xludf.DUMMYFUNCTION("""COMPUTED_VALUE"""),"Active")</f>
        <v>Active</v>
      </c>
      <c r="L238" s="4" t="str">
        <f>IFERROR(__xludf.DUMMYFUNCTION("""COMPUTED_VALUE"""),"AI Applications")</f>
        <v>AI Applications</v>
      </c>
    </row>
    <row r="239">
      <c r="A239" s="4" t="str">
        <f>IFERROR(__xludf.DUMMYFUNCTION("""COMPUTED_VALUE"""),"DME1833")</f>
        <v>DME1833</v>
      </c>
      <c r="B239" s="4" t="str">
        <f>IFERROR(__xludf.DUMMYFUNCTION("""COMPUTED_VALUE"""),"Snehal Nandkumar Khotare")</f>
        <v>Snehal Nandkumar Khotare</v>
      </c>
      <c r="C239" s="4" t="str">
        <f>IFERROR(__xludf.DUMMYFUNCTION("""COMPUTED_VALUE"""),"snehal.khotare@onixnet.com")</f>
        <v>snehal.khotare@onixnet.com</v>
      </c>
      <c r="D239" s="4" t="str">
        <f>IFERROR(__xludf.DUMMYFUNCTION("""COMPUTED_VALUE"""),"Active")</f>
        <v>Active</v>
      </c>
      <c r="E239" s="4" t="str">
        <f>IFERROR(__xludf.DUMMYFUNCTION("""COMPUTED_VALUE"""),"Delivery Services")</f>
        <v>Delivery Services</v>
      </c>
      <c r="F239" s="4" t="str">
        <f>IFERROR(__xludf.DUMMYFUNCTION("""COMPUTED_VALUE"""),"Shubham Agnihotri")</f>
        <v>Shubham Agnihotri</v>
      </c>
      <c r="G239" s="4" t="str">
        <f>IFERROR(__xludf.DUMMYFUNCTION("""COMPUTED_VALUE"""),"Cluster - Gaurav")</f>
        <v>Cluster - Gaurav</v>
      </c>
      <c r="H239" s="4" t="str">
        <f>IFERROR(__xludf.DUMMYFUNCTION("""COMPUTED_VALUE"""),"ONISKNJA5")</f>
        <v>ONISKNJA5</v>
      </c>
      <c r="I239" s="5">
        <f>IFERROR(__xludf.DUMMYFUNCTION("""COMPUTED_VALUE"""),55.0)</f>
        <v>55</v>
      </c>
      <c r="J239" s="4" t="str">
        <f>IFERROR(__xludf.DUMMYFUNCTION("""COMPUTED_VALUE"""),"Tier 1")</f>
        <v>Tier 1</v>
      </c>
      <c r="K239" s="4" t="str">
        <f>IFERROR(__xludf.DUMMYFUNCTION("""COMPUTED_VALUE"""),"Active")</f>
        <v>Active</v>
      </c>
      <c r="L239" s="4" t="str">
        <f>IFERROR(__xludf.DUMMYFUNCTION("""COMPUTED_VALUE"""),"BigQuery")</f>
        <v>BigQuery</v>
      </c>
    </row>
    <row r="240">
      <c r="A240" s="4" t="str">
        <f>IFERROR(__xludf.DUMMYFUNCTION("""COMPUTED_VALUE"""),"DME1825")</f>
        <v>DME1825</v>
      </c>
      <c r="B240" s="4" t="str">
        <f>IFERROR(__xludf.DUMMYFUNCTION("""COMPUTED_VALUE"""),"Yogesh Balasaheb Jadhav")</f>
        <v>Yogesh Balasaheb Jadhav</v>
      </c>
      <c r="C240" s="4" t="str">
        <f>IFERROR(__xludf.DUMMYFUNCTION("""COMPUTED_VALUE"""),"yogesh.jadhav@onixnet.com")</f>
        <v>yogesh.jadhav@onixnet.com</v>
      </c>
      <c r="D240" s="4" t="str">
        <f>IFERROR(__xludf.DUMMYFUNCTION("""COMPUTED_VALUE"""),"Active")</f>
        <v>Active</v>
      </c>
      <c r="E240" s="4" t="str">
        <f>IFERROR(__xludf.DUMMYFUNCTION("""COMPUTED_VALUE"""),"Delivery Services")</f>
        <v>Delivery Services</v>
      </c>
      <c r="F240" s="4" t="str">
        <f>IFERROR(__xludf.DUMMYFUNCTION("""COMPUTED_VALUE"""),"Sanyam Jain")</f>
        <v>Sanyam Jain</v>
      </c>
      <c r="G240" s="4" t="str">
        <f>IFERROR(__xludf.DUMMYFUNCTION("""COMPUTED_VALUE"""),"Cluster - Sandeep")</f>
        <v>Cluster - Sandeep</v>
      </c>
      <c r="H240" s="4" t="str">
        <f>IFERROR(__xludf.DUMMYFUNCTION("""COMPUTED_VALUE"""),"ONIYJVOY4")</f>
        <v>ONIYJVOY4</v>
      </c>
      <c r="I240" s="5">
        <f>IFERROR(__xludf.DUMMYFUNCTION("""COMPUTED_VALUE"""),10.0)</f>
        <v>10</v>
      </c>
      <c r="J240" s="4" t="str">
        <f>IFERROR(__xludf.DUMMYFUNCTION("""COMPUTED_VALUE"""),"Tier 4")</f>
        <v>Tier 4</v>
      </c>
      <c r="K240" s="4" t="str">
        <f>IFERROR(__xludf.DUMMYFUNCTION("""COMPUTED_VALUE"""),"Active")</f>
        <v>Active</v>
      </c>
      <c r="L240" s="4" t="str">
        <f>IFERROR(__xludf.DUMMYFUNCTION("""COMPUTED_VALUE"""),"AI Applications")</f>
        <v>AI Applications</v>
      </c>
    </row>
    <row r="241">
      <c r="A241" s="4" t="str">
        <f>IFERROR(__xludf.DUMMYFUNCTION("""COMPUTED_VALUE"""),"DME1823")</f>
        <v>DME1823</v>
      </c>
      <c r="B241" s="4" t="str">
        <f>IFERROR(__xludf.DUMMYFUNCTION("""COMPUTED_VALUE"""),"Hitesh Subhash Muthiyan")</f>
        <v>Hitesh Subhash Muthiyan</v>
      </c>
      <c r="C241" s="4" t="str">
        <f>IFERROR(__xludf.DUMMYFUNCTION("""COMPUTED_VALUE"""),"hitesh.muthiyan@onixnet.com")</f>
        <v>hitesh.muthiyan@onixnet.com</v>
      </c>
      <c r="D241" s="4" t="str">
        <f>IFERROR(__xludf.DUMMYFUNCTION("""COMPUTED_VALUE"""),"Active")</f>
        <v>Active</v>
      </c>
      <c r="E241" s="4" t="str">
        <f>IFERROR(__xludf.DUMMYFUNCTION("""COMPUTED_VALUE"""),"Delivery Services")</f>
        <v>Delivery Services</v>
      </c>
      <c r="F241" s="4" t="str">
        <f>IFERROR(__xludf.DUMMYFUNCTION("""COMPUTED_VALUE"""),"Brajesh Kumar")</f>
        <v>Brajesh Kumar</v>
      </c>
      <c r="G241" s="4" t="str">
        <f>IFERROR(__xludf.DUMMYFUNCTION("""COMPUTED_VALUE"""),"Cluster - Sachin")</f>
        <v>Cluster - Sachin</v>
      </c>
      <c r="H241" s="4" t="str">
        <f>IFERROR(__xludf.DUMMYFUNCTION("""COMPUTED_VALUE"""),"DATHMHKK3")</f>
        <v>DATHMHKK3</v>
      </c>
      <c r="I241" s="5">
        <f>IFERROR(__xludf.DUMMYFUNCTION("""COMPUTED_VALUE"""),55.0)</f>
        <v>55</v>
      </c>
      <c r="J241" s="4" t="str">
        <f>IFERROR(__xludf.DUMMYFUNCTION("""COMPUTED_VALUE"""),"Tier 1")</f>
        <v>Tier 1</v>
      </c>
      <c r="K241" s="4" t="str">
        <f>IFERROR(__xludf.DUMMYFUNCTION("""COMPUTED_VALUE"""),"Active")</f>
        <v>Active</v>
      </c>
      <c r="L241" s="4" t="str">
        <f>IFERROR(__xludf.DUMMYFUNCTION("""COMPUTED_VALUE"""),"BigQuery")</f>
        <v>BigQuery</v>
      </c>
    </row>
    <row r="242">
      <c r="A242" s="4" t="str">
        <f>IFERROR(__xludf.DUMMYFUNCTION("""COMPUTED_VALUE"""),"DME1829")</f>
        <v>DME1829</v>
      </c>
      <c r="B242" s="4" t="str">
        <f>IFERROR(__xludf.DUMMYFUNCTION("""COMPUTED_VALUE"""),"Vivek Sharma")</f>
        <v>Vivek Sharma</v>
      </c>
      <c r="C242" s="4" t="str">
        <f>IFERROR(__xludf.DUMMYFUNCTION("""COMPUTED_VALUE"""),"vivek.sharma@onixnet.com")</f>
        <v>vivek.sharma@onixnet.com</v>
      </c>
      <c r="D242" s="4" t="str">
        <f>IFERROR(__xludf.DUMMYFUNCTION("""COMPUTED_VALUE"""),"Active")</f>
        <v>Active</v>
      </c>
      <c r="E242" s="4" t="str">
        <f>IFERROR(__xludf.DUMMYFUNCTION("""COMPUTED_VALUE"""),"Product Engineering")</f>
        <v>Product Engineering</v>
      </c>
      <c r="F242" s="4" t="str">
        <f>IFERROR(__xludf.DUMMYFUNCTION("""COMPUTED_VALUE"""),"Harshit Soni")</f>
        <v>Harshit Soni</v>
      </c>
      <c r="G242" s="4" t="str">
        <f>IFERROR(__xludf.DUMMYFUNCTION("""COMPUTED_VALUE"""),"Cluster - Mayur")</f>
        <v>Cluster - Mayur</v>
      </c>
      <c r="H242" s="4"/>
      <c r="I242" s="5"/>
      <c r="J242" s="4"/>
      <c r="K242" s="4" t="str">
        <f>IFERROR(__xludf.DUMMYFUNCTION("""COMPUTED_VALUE"""),"ID Not Created")</f>
        <v>ID Not Created</v>
      </c>
      <c r="L242" s="4"/>
    </row>
    <row r="243">
      <c r="A243" s="4" t="str">
        <f>IFERROR(__xludf.DUMMYFUNCTION("""COMPUTED_VALUE"""),"DME1834")</f>
        <v>DME1834</v>
      </c>
      <c r="B243" s="4" t="str">
        <f>IFERROR(__xludf.DUMMYFUNCTION("""COMPUTED_VALUE"""),"Md Jamir Ansari")</f>
        <v>Md Jamir Ansari</v>
      </c>
      <c r="C243" s="4" t="str">
        <f>IFERROR(__xludf.DUMMYFUNCTION("""COMPUTED_VALUE"""),"jamir.ansari@onixnet.com")</f>
        <v>jamir.ansari@onixnet.com</v>
      </c>
      <c r="D243" s="4" t="str">
        <f>IFERROR(__xludf.DUMMYFUNCTION("""COMPUTED_VALUE"""),"Active")</f>
        <v>Active</v>
      </c>
      <c r="E243" s="4" t="str">
        <f>IFERROR(__xludf.DUMMYFUNCTION("""COMPUTED_VALUE"""),"Delivery Services")</f>
        <v>Delivery Services</v>
      </c>
      <c r="F243" s="4" t="str">
        <f>IFERROR(__xludf.DUMMYFUNCTION("""COMPUTED_VALUE"""),"Shubhendu Shubhendu")</f>
        <v>Shubhendu Shubhendu</v>
      </c>
      <c r="G243" s="4" t="str">
        <f>IFERROR(__xludf.DUMMYFUNCTION("""COMPUTED_VALUE"""),"Cluster - Kanhaiya")</f>
        <v>Cluster - Kanhaiya</v>
      </c>
      <c r="H243" s="4" t="str">
        <f>IFERROR(__xludf.DUMMYFUNCTION("""COMPUTED_VALUE"""),"ONIMAZFS1")</f>
        <v>ONIMAZFS1</v>
      </c>
      <c r="I243" s="5">
        <f>IFERROR(__xludf.DUMMYFUNCTION("""COMPUTED_VALUE"""),0.0)</f>
        <v>0</v>
      </c>
      <c r="J243" s="4" t="str">
        <f>IFERROR(__xludf.DUMMYFUNCTION("""COMPUTED_VALUE"""),"Tier 4")</f>
        <v>Tier 4</v>
      </c>
      <c r="K243" s="4" t="str">
        <f>IFERROR(__xludf.DUMMYFUNCTION("""COMPUTED_VALUE"""),"ID Created DRP score 0")</f>
        <v>ID Created DRP score 0</v>
      </c>
      <c r="L243" s="4"/>
    </row>
    <row r="244">
      <c r="A244" s="4" t="str">
        <f>IFERROR(__xludf.DUMMYFUNCTION("""COMPUTED_VALUE"""),"DME1838")</f>
        <v>DME1838</v>
      </c>
      <c r="B244" s="4" t="str">
        <f>IFERROR(__xludf.DUMMYFUNCTION("""COMPUTED_VALUE"""),"Haroon Azeem")</f>
        <v>Haroon Azeem</v>
      </c>
      <c r="C244" s="4" t="str">
        <f>IFERROR(__xludf.DUMMYFUNCTION("""COMPUTED_VALUE"""),"haroon.azeem@onixnet.com")</f>
        <v>haroon.azeem@onixnet.com</v>
      </c>
      <c r="D244" s="4" t="str">
        <f>IFERROR(__xludf.DUMMYFUNCTION("""COMPUTED_VALUE"""),"Active")</f>
        <v>Active</v>
      </c>
      <c r="E244" s="4" t="str">
        <f>IFERROR(__xludf.DUMMYFUNCTION("""COMPUTED_VALUE"""),"Delivery Services")</f>
        <v>Delivery Services</v>
      </c>
      <c r="F244" s="4" t="str">
        <f>IFERROR(__xludf.DUMMYFUNCTION("""COMPUTED_VALUE"""),"Deshabhotla Sravan")</f>
        <v>Deshabhotla Sravan</v>
      </c>
      <c r="G244" s="4" t="str">
        <f>IFERROR(__xludf.DUMMYFUNCTION("""COMPUTED_VALUE"""),"Cluster - Shreepad")</f>
        <v>Cluster - Shreepad</v>
      </c>
      <c r="H244" s="4" t="str">
        <f>IFERROR(__xludf.DUMMYFUNCTION("""COMPUTED_VALUE"""),"ONIHAUJG5")</f>
        <v>ONIHAUJG5</v>
      </c>
      <c r="I244" s="5">
        <f>IFERROR(__xludf.DUMMYFUNCTION("""COMPUTED_VALUE"""),0.0)</f>
        <v>0</v>
      </c>
      <c r="J244" s="4" t="str">
        <f>IFERROR(__xludf.DUMMYFUNCTION("""COMPUTED_VALUE"""),"Tier 4")</f>
        <v>Tier 4</v>
      </c>
      <c r="K244" s="4" t="str">
        <f>IFERROR(__xludf.DUMMYFUNCTION("""COMPUTED_VALUE"""),"ID Created DRP score 0")</f>
        <v>ID Created DRP score 0</v>
      </c>
      <c r="L244" s="4"/>
    </row>
    <row r="245">
      <c r="A245" s="4" t="str">
        <f>IFERROR(__xludf.DUMMYFUNCTION("""COMPUTED_VALUE"""),"DME1840")</f>
        <v>DME1840</v>
      </c>
      <c r="B245" s="4" t="str">
        <f>IFERROR(__xludf.DUMMYFUNCTION("""COMPUTED_VALUE"""),"Dhananjay Pise")</f>
        <v>Dhananjay Pise</v>
      </c>
      <c r="C245" s="4" t="str">
        <f>IFERROR(__xludf.DUMMYFUNCTION("""COMPUTED_VALUE"""),"dhananjay.pise@onixnet.com")</f>
        <v>dhananjay.pise@onixnet.com</v>
      </c>
      <c r="D245" s="4" t="str">
        <f>IFERROR(__xludf.DUMMYFUNCTION("""COMPUTED_VALUE"""),"Active")</f>
        <v>Active</v>
      </c>
      <c r="E245" s="4" t="str">
        <f>IFERROR(__xludf.DUMMYFUNCTION("""COMPUTED_VALUE"""),"Delivery Services")</f>
        <v>Delivery Services</v>
      </c>
      <c r="F245" s="4" t="str">
        <f>IFERROR(__xludf.DUMMYFUNCTION("""COMPUTED_VALUE"""),"Sheela Sawant")</f>
        <v>Sheela Sawant</v>
      </c>
      <c r="G245" s="4" t="str">
        <f>IFERROR(__xludf.DUMMYFUNCTION("""COMPUTED_VALUE"""),"Cluster - Sagar")</f>
        <v>Cluster - Sagar</v>
      </c>
      <c r="H245" s="4" t="str">
        <f>IFERROR(__xludf.DUMMYFUNCTION("""COMPUTED_VALUE"""),"ONIDPHTC8")</f>
        <v>ONIDPHTC8</v>
      </c>
      <c r="I245" s="5">
        <f>IFERROR(__xludf.DUMMYFUNCTION("""COMPUTED_VALUE"""),39.0)</f>
        <v>39</v>
      </c>
      <c r="J245" s="4" t="str">
        <f>IFERROR(__xludf.DUMMYFUNCTION("""COMPUTED_VALUE"""),"Tier 2")</f>
        <v>Tier 2</v>
      </c>
      <c r="K245" s="4" t="str">
        <f>IFERROR(__xludf.DUMMYFUNCTION("""COMPUTED_VALUE"""),"Active")</f>
        <v>Active</v>
      </c>
      <c r="L245" s="4" t="str">
        <f>IFERROR(__xludf.DUMMYFUNCTION("""COMPUTED_VALUE"""),"BigQuery")</f>
        <v>BigQuery</v>
      </c>
    </row>
    <row r="246">
      <c r="A246" s="4" t="str">
        <f>IFERROR(__xludf.DUMMYFUNCTION("""COMPUTED_VALUE"""),"DME1845")</f>
        <v>DME1845</v>
      </c>
      <c r="B246" s="4" t="str">
        <f>IFERROR(__xludf.DUMMYFUNCTION("""COMPUTED_VALUE"""),"Sushant Patil")</f>
        <v>Sushant Patil</v>
      </c>
      <c r="C246" s="4" t="str">
        <f>IFERROR(__xludf.DUMMYFUNCTION("""COMPUTED_VALUE"""),"sushant.patil@onixnet.com")</f>
        <v>sushant.patil@onixnet.com</v>
      </c>
      <c r="D246" s="4" t="str">
        <f>IFERROR(__xludf.DUMMYFUNCTION("""COMPUTED_VALUE"""),"Active")</f>
        <v>Active</v>
      </c>
      <c r="E246" s="4" t="str">
        <f>IFERROR(__xludf.DUMMYFUNCTION("""COMPUTED_VALUE"""),"Delivery Services")</f>
        <v>Delivery Services</v>
      </c>
      <c r="F246" s="4" t="str">
        <f>IFERROR(__xludf.DUMMYFUNCTION("""COMPUTED_VALUE"""),"Nitesh Verma")</f>
        <v>Nitesh Verma</v>
      </c>
      <c r="G246" s="4" t="str">
        <f>IFERROR(__xludf.DUMMYFUNCTION("""COMPUTED_VALUE"""),"Cluster - Gaurav")</f>
        <v>Cluster - Gaurav</v>
      </c>
      <c r="H246" s="4" t="str">
        <f>IFERROR(__xludf.DUMMYFUNCTION("""COMPUTED_VALUE"""),"ONISPWWI8")</f>
        <v>ONISPWWI8</v>
      </c>
      <c r="I246" s="5">
        <f>IFERROR(__xludf.DUMMYFUNCTION("""COMPUTED_VALUE"""),24.0)</f>
        <v>24</v>
      </c>
      <c r="J246" s="4" t="str">
        <f>IFERROR(__xludf.DUMMYFUNCTION("""COMPUTED_VALUE"""),"Tier 3")</f>
        <v>Tier 3</v>
      </c>
      <c r="K246" s="4" t="str">
        <f>IFERROR(__xludf.DUMMYFUNCTION("""COMPUTED_VALUE"""),"Active")</f>
        <v>Active</v>
      </c>
      <c r="L246" s="4" t="str">
        <f>IFERROR(__xludf.DUMMYFUNCTION("""COMPUTED_VALUE"""),"BigQuery")</f>
        <v>BigQuery</v>
      </c>
    </row>
    <row r="247">
      <c r="A247" s="4" t="str">
        <f>IFERROR(__xludf.DUMMYFUNCTION("""COMPUTED_VALUE"""),"DME1844")</f>
        <v>DME1844</v>
      </c>
      <c r="B247" s="4" t="str">
        <f>IFERROR(__xludf.DUMMYFUNCTION("""COMPUTED_VALUE"""),"Avinash Anant Bhagat")</f>
        <v>Avinash Anant Bhagat</v>
      </c>
      <c r="C247" s="4" t="str">
        <f>IFERROR(__xludf.DUMMYFUNCTION("""COMPUTED_VALUE"""),"Avinash.Bhagat@onixnet.com")</f>
        <v>Avinash.Bhagat@onixnet.com</v>
      </c>
      <c r="D247" s="4" t="str">
        <f>IFERROR(__xludf.DUMMYFUNCTION("""COMPUTED_VALUE"""),"Active")</f>
        <v>Active</v>
      </c>
      <c r="E247" s="4" t="str">
        <f>IFERROR(__xludf.DUMMYFUNCTION("""COMPUTED_VALUE"""),"Delivery Services")</f>
        <v>Delivery Services</v>
      </c>
      <c r="F247" s="4" t="str">
        <f>IFERROR(__xludf.DUMMYFUNCTION("""COMPUTED_VALUE"""),"Hemanth Kolluru")</f>
        <v>Hemanth Kolluru</v>
      </c>
      <c r="G247" s="4" t="str">
        <f>IFERROR(__xludf.DUMMYFUNCTION("""COMPUTED_VALUE"""),"Cluster - Sachin")</f>
        <v>Cluster - Sachin</v>
      </c>
      <c r="H247" s="4" t="str">
        <f>IFERROR(__xludf.DUMMYFUNCTION("""COMPUTED_VALUE"""),"ONIABWXP6")</f>
        <v>ONIABWXP6</v>
      </c>
      <c r="I247" s="5">
        <f>IFERROR(__xludf.DUMMYFUNCTION("""COMPUTED_VALUE"""),15.0)</f>
        <v>15</v>
      </c>
      <c r="J247" s="4" t="str">
        <f>IFERROR(__xludf.DUMMYFUNCTION("""COMPUTED_VALUE"""),"Tier 4")</f>
        <v>Tier 4</v>
      </c>
      <c r="K247" s="4" t="str">
        <f>IFERROR(__xludf.DUMMYFUNCTION("""COMPUTED_VALUE"""),"Active")</f>
        <v>Active</v>
      </c>
      <c r="L247" s="4" t="str">
        <f>IFERROR(__xludf.DUMMYFUNCTION("""COMPUTED_VALUE"""),"Gemini Enterprise Agent Platform")</f>
        <v>Gemini Enterprise Agent Platform</v>
      </c>
    </row>
    <row r="248">
      <c r="A248" s="4" t="str">
        <f>IFERROR(__xludf.DUMMYFUNCTION("""COMPUTED_VALUE"""),"DME1846")</f>
        <v>DME1846</v>
      </c>
      <c r="B248" s="4" t="str">
        <f>IFERROR(__xludf.DUMMYFUNCTION("""COMPUTED_VALUE"""),"Bhagyesh Anil Nalkande")</f>
        <v>Bhagyesh Anil Nalkande</v>
      </c>
      <c r="C248" s="4" t="str">
        <f>IFERROR(__xludf.DUMMYFUNCTION("""COMPUTED_VALUE"""),"Bhagyesh.Nalkande@onixnet.com")</f>
        <v>Bhagyesh.Nalkande@onixnet.com</v>
      </c>
      <c r="D248" s="4" t="str">
        <f>IFERROR(__xludf.DUMMYFUNCTION("""COMPUTED_VALUE"""),"Active")</f>
        <v>Active</v>
      </c>
      <c r="E248" s="4" t="str">
        <f>IFERROR(__xludf.DUMMYFUNCTION("""COMPUTED_VALUE"""),"Product Engineering")</f>
        <v>Product Engineering</v>
      </c>
      <c r="F248" s="4" t="str">
        <f>IFERROR(__xludf.DUMMYFUNCTION("""COMPUTED_VALUE"""),"Pravin Abhang")</f>
        <v>Pravin Abhang</v>
      </c>
      <c r="G248" s="4" t="str">
        <f>IFERROR(__xludf.DUMMYFUNCTION("""COMPUTED_VALUE"""),"Cluster - Mayur")</f>
        <v>Cluster - Mayur</v>
      </c>
      <c r="H248" s="4"/>
      <c r="I248" s="5"/>
      <c r="J248" s="4"/>
      <c r="K248" s="4" t="str">
        <f>IFERROR(__xludf.DUMMYFUNCTION("""COMPUTED_VALUE"""),"ID Not Created")</f>
        <v>ID Not Created</v>
      </c>
      <c r="L248" s="4"/>
    </row>
    <row r="249">
      <c r="A249" s="4" t="str">
        <f>IFERROR(__xludf.DUMMYFUNCTION("""COMPUTED_VALUE"""),"DME1852")</f>
        <v>DME1852</v>
      </c>
      <c r="B249" s="4" t="str">
        <f>IFERROR(__xludf.DUMMYFUNCTION("""COMPUTED_VALUE"""),"Swapna Kadam")</f>
        <v>Swapna Kadam</v>
      </c>
      <c r="C249" s="4" t="str">
        <f>IFERROR(__xludf.DUMMYFUNCTION("""COMPUTED_VALUE"""),"Swapna.Kadam@onixnet.com")</f>
        <v>Swapna.Kadam@onixnet.com</v>
      </c>
      <c r="D249" s="4" t="str">
        <f>IFERROR(__xludf.DUMMYFUNCTION("""COMPUTED_VALUE"""),"Active")</f>
        <v>Active</v>
      </c>
      <c r="E249" s="4" t="str">
        <f>IFERROR(__xludf.DUMMYFUNCTION("""COMPUTED_VALUE"""),"Delivery Services")</f>
        <v>Delivery Services</v>
      </c>
      <c r="F249" s="4" t="str">
        <f>IFERROR(__xludf.DUMMYFUNCTION("""COMPUTED_VALUE"""),"Sheela Sawant")</f>
        <v>Sheela Sawant</v>
      </c>
      <c r="G249" s="4" t="str">
        <f>IFERROR(__xludf.DUMMYFUNCTION("""COMPUTED_VALUE"""),"Cluster - Sagar")</f>
        <v>Cluster - Sagar</v>
      </c>
      <c r="H249" s="4" t="str">
        <f>IFERROR(__xludf.DUMMYFUNCTION("""COMPUTED_VALUE"""),"ONISKCVG2")</f>
        <v>ONISKCVG2</v>
      </c>
      <c r="I249" s="5">
        <f>IFERROR(__xludf.DUMMYFUNCTION("""COMPUTED_VALUE"""),10.0)</f>
        <v>10</v>
      </c>
      <c r="J249" s="4" t="str">
        <f>IFERROR(__xludf.DUMMYFUNCTION("""COMPUTED_VALUE"""),"Tier 4")</f>
        <v>Tier 4</v>
      </c>
      <c r="K249" s="4" t="str">
        <f>IFERROR(__xludf.DUMMYFUNCTION("""COMPUTED_VALUE"""),"Active")</f>
        <v>Active</v>
      </c>
      <c r="L249" s="4" t="str">
        <f>IFERROR(__xludf.DUMMYFUNCTION("""COMPUTED_VALUE"""),"Gemini Enterprise Agent Platform")</f>
        <v>Gemini Enterprise Agent Platform</v>
      </c>
    </row>
    <row r="250">
      <c r="A250" s="4" t="str">
        <f>IFERROR(__xludf.DUMMYFUNCTION("""COMPUTED_VALUE"""),"DME1849")</f>
        <v>DME1849</v>
      </c>
      <c r="B250" s="4" t="str">
        <f>IFERROR(__xludf.DUMMYFUNCTION("""COMPUTED_VALUE"""),"Kishore Nagella")</f>
        <v>Kishore Nagella</v>
      </c>
      <c r="C250" s="4" t="str">
        <f>IFERROR(__xludf.DUMMYFUNCTION("""COMPUTED_VALUE"""),"Kishore.Nagella@onixnet.com")</f>
        <v>Kishore.Nagella@onixnet.com</v>
      </c>
      <c r="D250" s="4" t="str">
        <f>IFERROR(__xludf.DUMMYFUNCTION("""COMPUTED_VALUE"""),"Active")</f>
        <v>Active</v>
      </c>
      <c r="E250" s="4" t="str">
        <f>IFERROR(__xludf.DUMMYFUNCTION("""COMPUTED_VALUE"""),"Delivery Services")</f>
        <v>Delivery Services</v>
      </c>
      <c r="F250" s="4" t="str">
        <f>IFERROR(__xludf.DUMMYFUNCTION("""COMPUTED_VALUE"""),"Deshabhotla Sravan")</f>
        <v>Deshabhotla Sravan</v>
      </c>
      <c r="G250" s="4" t="str">
        <f>IFERROR(__xludf.DUMMYFUNCTION("""COMPUTED_VALUE"""),"Cluster - Shreepad")</f>
        <v>Cluster - Shreepad</v>
      </c>
      <c r="H250" s="4" t="str">
        <f>IFERROR(__xludf.DUMMYFUNCTION("""COMPUTED_VALUE"""),"ONIKNFBX8")</f>
        <v>ONIKNFBX8</v>
      </c>
      <c r="I250" s="5">
        <f>IFERROR(__xludf.DUMMYFUNCTION("""COMPUTED_VALUE"""),19.0)</f>
        <v>19</v>
      </c>
      <c r="J250" s="4" t="str">
        <f>IFERROR(__xludf.DUMMYFUNCTION("""COMPUTED_VALUE"""),"Tier 4")</f>
        <v>Tier 4</v>
      </c>
      <c r="K250" s="4" t="str">
        <f>IFERROR(__xludf.DUMMYFUNCTION("""COMPUTED_VALUE"""),"Active")</f>
        <v>Active</v>
      </c>
      <c r="L250" s="4" t="str">
        <f>IFERROR(__xludf.DUMMYFUNCTION("""COMPUTED_VALUE"""),"BigQuery")</f>
        <v>BigQuery</v>
      </c>
    </row>
    <row r="251">
      <c r="A251" s="4" t="str">
        <f>IFERROR(__xludf.DUMMYFUNCTION("""COMPUTED_VALUE"""),"DME1858")</f>
        <v>DME1858</v>
      </c>
      <c r="B251" s="4" t="str">
        <f>IFERROR(__xludf.DUMMYFUNCTION("""COMPUTED_VALUE"""),"Sagar Jibhau Thakare")</f>
        <v>Sagar Jibhau Thakare</v>
      </c>
      <c r="C251" s="4" t="str">
        <f>IFERROR(__xludf.DUMMYFUNCTION("""COMPUTED_VALUE"""),"Sagar.Thakre@onixnet.com")</f>
        <v>Sagar.Thakre@onixnet.com</v>
      </c>
      <c r="D251" s="4" t="str">
        <f>IFERROR(__xludf.DUMMYFUNCTION("""COMPUTED_VALUE"""),"Active")</f>
        <v>Active</v>
      </c>
      <c r="E251" s="4" t="str">
        <f>IFERROR(__xludf.DUMMYFUNCTION("""COMPUTED_VALUE"""),"Eagle Assessment")</f>
        <v>Eagle Assessment</v>
      </c>
      <c r="F251" s="4" t="str">
        <f>IFERROR(__xludf.DUMMYFUNCTION("""COMPUTED_VALUE"""),"Ankit Khandelwal")</f>
        <v>Ankit Khandelwal</v>
      </c>
      <c r="G251" s="4" t="str">
        <f>IFERROR(__xludf.DUMMYFUNCTION("""COMPUTED_VALUE"""),"Cluster - Kalpa")</f>
        <v>Cluster - Kalpa</v>
      </c>
      <c r="H251" s="4" t="str">
        <f>IFERROR(__xludf.DUMMYFUNCTION("""COMPUTED_VALUE"""),"ONISTNVJ8")</f>
        <v>ONISTNVJ8</v>
      </c>
      <c r="I251" s="5">
        <f>IFERROR(__xludf.DUMMYFUNCTION("""COMPUTED_VALUE"""),15.0)</f>
        <v>15</v>
      </c>
      <c r="J251" s="4" t="str">
        <f>IFERROR(__xludf.DUMMYFUNCTION("""COMPUTED_VALUE"""),"Tier 4")</f>
        <v>Tier 4</v>
      </c>
      <c r="K251" s="4" t="str">
        <f>IFERROR(__xludf.DUMMYFUNCTION("""COMPUTED_VALUE"""),"Active")</f>
        <v>Active</v>
      </c>
      <c r="L251" s="4" t="str">
        <f>IFERROR(__xludf.DUMMYFUNCTION("""COMPUTED_VALUE"""),"Google Kubernetes Engine")</f>
        <v>Google Kubernetes Engine</v>
      </c>
    </row>
    <row r="252">
      <c r="A252" s="4" t="str">
        <f>IFERROR(__xludf.DUMMYFUNCTION("""COMPUTED_VALUE"""),"DME1859")</f>
        <v>DME1859</v>
      </c>
      <c r="B252" s="4" t="str">
        <f>IFERROR(__xludf.DUMMYFUNCTION("""COMPUTED_VALUE"""),"Inderjeet Vishnoi")</f>
        <v>Inderjeet Vishnoi</v>
      </c>
      <c r="C252" s="4" t="str">
        <f>IFERROR(__xludf.DUMMYFUNCTION("""COMPUTED_VALUE"""),"Inderjeet.Vishnoi@onixnet.com")</f>
        <v>Inderjeet.Vishnoi@onixnet.com</v>
      </c>
      <c r="D252" s="4" t="str">
        <f>IFERROR(__xludf.DUMMYFUNCTION("""COMPUTED_VALUE"""),"Active")</f>
        <v>Active</v>
      </c>
      <c r="E252" s="4" t="str">
        <f>IFERROR(__xludf.DUMMYFUNCTION("""COMPUTED_VALUE"""),"Product Engineering")</f>
        <v>Product Engineering</v>
      </c>
      <c r="F252" s="4" t="str">
        <f>IFERROR(__xludf.DUMMYFUNCTION("""COMPUTED_VALUE"""),"Anurag Saxena")</f>
        <v>Anurag Saxena</v>
      </c>
      <c r="G252" s="4" t="str">
        <f>IFERROR(__xludf.DUMMYFUNCTION("""COMPUTED_VALUE"""),"Cluster - Mayur")</f>
        <v>Cluster - Mayur</v>
      </c>
      <c r="H252" s="4" t="str">
        <f>IFERROR(__xludf.DUMMYFUNCTION("""COMPUTED_VALUE"""),"ONIIVEBW0")</f>
        <v>ONIIVEBW0</v>
      </c>
      <c r="I252" s="5">
        <f>IFERROR(__xludf.DUMMYFUNCTION("""COMPUTED_VALUE"""),20.0)</f>
        <v>20</v>
      </c>
      <c r="J252" s="4" t="str">
        <f>IFERROR(__xludf.DUMMYFUNCTION("""COMPUTED_VALUE"""),"Tier 3")</f>
        <v>Tier 3</v>
      </c>
      <c r="K252" s="4" t="str">
        <f>IFERROR(__xludf.DUMMYFUNCTION("""COMPUTED_VALUE"""),"Active")</f>
        <v>Active</v>
      </c>
      <c r="L252" s="4" t="str">
        <f>IFERROR(__xludf.DUMMYFUNCTION("""COMPUTED_VALUE"""),"Gemini Enterprise Agent Platform")</f>
        <v>Gemini Enterprise Agent Platform</v>
      </c>
    </row>
    <row r="253">
      <c r="A253" s="4" t="str">
        <f>IFERROR(__xludf.DUMMYFUNCTION("""COMPUTED_VALUE"""),"DME1862")</f>
        <v>DME1862</v>
      </c>
      <c r="B253" s="4" t="str">
        <f>IFERROR(__xludf.DUMMYFUNCTION("""COMPUTED_VALUE"""),"Pritam Gote")</f>
        <v>Pritam Gote</v>
      </c>
      <c r="C253" s="4" t="str">
        <f>IFERROR(__xludf.DUMMYFUNCTION("""COMPUTED_VALUE"""),"Pritam.Gote@onixnet.com")</f>
        <v>Pritam.Gote@onixnet.com</v>
      </c>
      <c r="D253" s="4" t="str">
        <f>IFERROR(__xludf.DUMMYFUNCTION("""COMPUTED_VALUE"""),"Active")</f>
        <v>Active</v>
      </c>
      <c r="E253" s="4" t="str">
        <f>IFERROR(__xludf.DUMMYFUNCTION("""COMPUTED_VALUE"""),"Product Engineering")</f>
        <v>Product Engineering</v>
      </c>
      <c r="F253" s="4" t="str">
        <f>IFERROR(__xludf.DUMMYFUNCTION("""COMPUTED_VALUE"""),"Shantanu Charpe")</f>
        <v>Shantanu Charpe</v>
      </c>
      <c r="G253" s="4" t="str">
        <f>IFERROR(__xludf.DUMMYFUNCTION("""COMPUTED_VALUE"""),"Cluster - Mayur")</f>
        <v>Cluster - Mayur</v>
      </c>
      <c r="H253" s="4"/>
      <c r="I253" s="5"/>
      <c r="J253" s="4"/>
      <c r="K253" s="4" t="str">
        <f>IFERROR(__xludf.DUMMYFUNCTION("""COMPUTED_VALUE"""),"ID Not Created")</f>
        <v>ID Not Created</v>
      </c>
      <c r="L253" s="4"/>
    </row>
    <row r="254">
      <c r="A254" s="4" t="str">
        <f>IFERROR(__xludf.DUMMYFUNCTION("""COMPUTED_VALUE"""),"DME1903")</f>
        <v>DME1903</v>
      </c>
      <c r="B254" s="4" t="str">
        <f>IFERROR(__xludf.DUMMYFUNCTION("""COMPUTED_VALUE"""),"Anand Kalyanrao Hulmani")</f>
        <v>Anand Kalyanrao Hulmani</v>
      </c>
      <c r="C254" s="4" t="str">
        <f>IFERROR(__xludf.DUMMYFUNCTION("""COMPUTED_VALUE"""),"anand.hulmani@onixnet.com")</f>
        <v>anand.hulmani@onixnet.com</v>
      </c>
      <c r="D254" s="4" t="str">
        <f>IFERROR(__xludf.DUMMYFUNCTION("""COMPUTED_VALUE"""),"Active")</f>
        <v>Active</v>
      </c>
      <c r="E254" s="4" t="str">
        <f>IFERROR(__xludf.DUMMYFUNCTION("""COMPUTED_VALUE"""),"Delivery Services")</f>
        <v>Delivery Services</v>
      </c>
      <c r="F254" s="4" t="str">
        <f>IFERROR(__xludf.DUMMYFUNCTION("""COMPUTED_VALUE"""),"Priyanka Jain")</f>
        <v>Priyanka Jain</v>
      </c>
      <c r="G254" s="4" t="str">
        <f>IFERROR(__xludf.DUMMYFUNCTION("""COMPUTED_VALUE"""),"Cluster - Sagar")</f>
        <v>Cluster - Sagar</v>
      </c>
      <c r="H254" s="4" t="str">
        <f>IFERROR(__xludf.DUMMYFUNCTION("""COMPUTED_VALUE"""),"ONIAHSST9")</f>
        <v>ONIAHSST9</v>
      </c>
      <c r="I254" s="5">
        <f>IFERROR(__xludf.DUMMYFUNCTION("""COMPUTED_VALUE"""),29.0)</f>
        <v>29</v>
      </c>
      <c r="J254" s="4" t="str">
        <f>IFERROR(__xludf.DUMMYFUNCTION("""COMPUTED_VALUE"""),"Tier 3")</f>
        <v>Tier 3</v>
      </c>
      <c r="K254" s="4" t="str">
        <f>IFERROR(__xludf.DUMMYFUNCTION("""COMPUTED_VALUE"""),"Active")</f>
        <v>Active</v>
      </c>
      <c r="L254" s="4" t="str">
        <f>IFERROR(__xludf.DUMMYFUNCTION("""COMPUTED_VALUE"""),"BigQuery")</f>
        <v>BigQuery</v>
      </c>
    </row>
    <row r="255">
      <c r="A255" s="4" t="str">
        <f>IFERROR(__xludf.DUMMYFUNCTION("""COMPUTED_VALUE"""),"DME1878")</f>
        <v>DME1878</v>
      </c>
      <c r="B255" s="4" t="str">
        <f>IFERROR(__xludf.DUMMYFUNCTION("""COMPUTED_VALUE"""),"Kishor Thube")</f>
        <v>Kishor Thube</v>
      </c>
      <c r="C255" s="4" t="str">
        <f>IFERROR(__xludf.DUMMYFUNCTION("""COMPUTED_VALUE"""),"Kishor.Thube@onixnet.com")</f>
        <v>Kishor.Thube@onixnet.com</v>
      </c>
      <c r="D255" s="4" t="str">
        <f>IFERROR(__xludf.DUMMYFUNCTION("""COMPUTED_VALUE"""),"Active")</f>
        <v>Active</v>
      </c>
      <c r="E255" s="4" t="str">
        <f>IFERROR(__xludf.DUMMYFUNCTION("""COMPUTED_VALUE"""),"Product Engineering")</f>
        <v>Product Engineering</v>
      </c>
      <c r="F255" s="4" t="str">
        <f>IFERROR(__xludf.DUMMYFUNCTION("""COMPUTED_VALUE"""),"Yogendra Singh")</f>
        <v>Yogendra Singh</v>
      </c>
      <c r="G255" s="4" t="str">
        <f>IFERROR(__xludf.DUMMYFUNCTION("""COMPUTED_VALUE"""),"Cluster - Mayur")</f>
        <v>Cluster - Mayur</v>
      </c>
      <c r="H255" s="4" t="str">
        <f>IFERROR(__xludf.DUMMYFUNCTION("""COMPUTED_VALUE"""),"ONIKTALA8")</f>
        <v>ONIKTALA8</v>
      </c>
      <c r="I255" s="5">
        <f>IFERROR(__xludf.DUMMYFUNCTION("""COMPUTED_VALUE"""),0.0)</f>
        <v>0</v>
      </c>
      <c r="J255" s="4" t="str">
        <f>IFERROR(__xludf.DUMMYFUNCTION("""COMPUTED_VALUE"""),"Tier 4")</f>
        <v>Tier 4</v>
      </c>
      <c r="K255" s="4" t="str">
        <f>IFERROR(__xludf.DUMMYFUNCTION("""COMPUTED_VALUE"""),"ID Created DRP score 0")</f>
        <v>ID Created DRP score 0</v>
      </c>
      <c r="L255" s="4"/>
    </row>
    <row r="256">
      <c r="A256" s="4" t="str">
        <f>IFERROR(__xludf.DUMMYFUNCTION("""COMPUTED_VALUE"""),"DME1876")</f>
        <v>DME1876</v>
      </c>
      <c r="B256" s="4" t="str">
        <f>IFERROR(__xludf.DUMMYFUNCTION("""COMPUTED_VALUE"""),"Aniket Bidkar")</f>
        <v>Aniket Bidkar</v>
      </c>
      <c r="C256" s="4" t="str">
        <f>IFERROR(__xludf.DUMMYFUNCTION("""COMPUTED_VALUE"""),"Aniket.Bidkar@onixnet.com")</f>
        <v>Aniket.Bidkar@onixnet.com</v>
      </c>
      <c r="D256" s="4" t="str">
        <f>IFERROR(__xludf.DUMMYFUNCTION("""COMPUTED_VALUE"""),"Active")</f>
        <v>Active</v>
      </c>
      <c r="E256" s="4" t="str">
        <f>IFERROR(__xludf.DUMMYFUNCTION("""COMPUTED_VALUE"""),"Delivery Services")</f>
        <v>Delivery Services</v>
      </c>
      <c r="F256" s="4" t="str">
        <f>IFERROR(__xludf.DUMMYFUNCTION("""COMPUTED_VALUE"""),"Kanhaiya Jha")</f>
        <v>Kanhaiya Jha</v>
      </c>
      <c r="G256" s="4" t="str">
        <f>IFERROR(__xludf.DUMMYFUNCTION("""COMPUTED_VALUE"""),"Cluster - Kanhaiya")</f>
        <v>Cluster - Kanhaiya</v>
      </c>
      <c r="H256" s="4" t="str">
        <f>IFERROR(__xludf.DUMMYFUNCTION("""COMPUTED_VALUE"""),"ONIABPSR4")</f>
        <v>ONIABPSR4</v>
      </c>
      <c r="I256" s="5">
        <f>IFERROR(__xludf.DUMMYFUNCTION("""COMPUTED_VALUE"""),7.0)</f>
        <v>7</v>
      </c>
      <c r="J256" s="4" t="str">
        <f>IFERROR(__xludf.DUMMYFUNCTION("""COMPUTED_VALUE"""),"Tier 4")</f>
        <v>Tier 4</v>
      </c>
      <c r="K256" s="4" t="str">
        <f>IFERROR(__xludf.DUMMYFUNCTION("""COMPUTED_VALUE"""),"Active")</f>
        <v>Active</v>
      </c>
      <c r="L256" s="4" t="str">
        <f>IFERROR(__xludf.DUMMYFUNCTION("""COMPUTED_VALUE"""),"Gemini Enterprise Agent Platform")</f>
        <v>Gemini Enterprise Agent Platform</v>
      </c>
    </row>
    <row r="257">
      <c r="A257" s="4" t="str">
        <f>IFERROR(__xludf.DUMMYFUNCTION("""COMPUTED_VALUE"""),"DME1886")</f>
        <v>DME1886</v>
      </c>
      <c r="B257" s="4" t="str">
        <f>IFERROR(__xludf.DUMMYFUNCTION("""COMPUTED_VALUE"""),"Abhishek Vilas Dhadge")</f>
        <v>Abhishek Vilas Dhadge</v>
      </c>
      <c r="C257" s="4" t="str">
        <f>IFERROR(__xludf.DUMMYFUNCTION("""COMPUTED_VALUE"""),"abhishek.dhadge@onixnet.com")</f>
        <v>abhishek.dhadge@onixnet.com</v>
      </c>
      <c r="D257" s="4" t="str">
        <f>IFERROR(__xludf.DUMMYFUNCTION("""COMPUTED_VALUE"""),"Active")</f>
        <v>Active</v>
      </c>
      <c r="E257" s="4" t="str">
        <f>IFERROR(__xludf.DUMMYFUNCTION("""COMPUTED_VALUE"""),"Product Engineering")</f>
        <v>Product Engineering</v>
      </c>
      <c r="F257" s="4" t="str">
        <f>IFERROR(__xludf.DUMMYFUNCTION("""COMPUTED_VALUE"""),"Mahesh Mishra")</f>
        <v>Mahesh Mishra</v>
      </c>
      <c r="G257" s="4" t="str">
        <f>IFERROR(__xludf.DUMMYFUNCTION("""COMPUTED_VALUE"""),"Cluster - Mayur")</f>
        <v>Cluster - Mayur</v>
      </c>
      <c r="H257" s="4"/>
      <c r="I257" s="5"/>
      <c r="J257" s="4"/>
      <c r="K257" s="4" t="str">
        <f>IFERROR(__xludf.DUMMYFUNCTION("""COMPUTED_VALUE"""),"ID Not Created")</f>
        <v>ID Not Created</v>
      </c>
      <c r="L257" s="4"/>
    </row>
    <row r="258">
      <c r="A258" s="4" t="str">
        <f>IFERROR(__xludf.DUMMYFUNCTION("""COMPUTED_VALUE"""),"DME1885")</f>
        <v>DME1885</v>
      </c>
      <c r="B258" s="4" t="str">
        <f>IFERROR(__xludf.DUMMYFUNCTION("""COMPUTED_VALUE"""),"Mugdha Ravindra Ambatkar")</f>
        <v>Mugdha Ravindra Ambatkar</v>
      </c>
      <c r="C258" s="4" t="str">
        <f>IFERROR(__xludf.DUMMYFUNCTION("""COMPUTED_VALUE"""),"mugdha.ambatkar@onixnet.com")</f>
        <v>mugdha.ambatkar@onixnet.com</v>
      </c>
      <c r="D258" s="4" t="str">
        <f>IFERROR(__xludf.DUMMYFUNCTION("""COMPUTED_VALUE"""),"Active")</f>
        <v>Active</v>
      </c>
      <c r="E258" s="4" t="str">
        <f>IFERROR(__xludf.DUMMYFUNCTION("""COMPUTED_VALUE"""),"Product Engineering")</f>
        <v>Product Engineering</v>
      </c>
      <c r="F258" s="4" t="str">
        <f>IFERROR(__xludf.DUMMYFUNCTION("""COMPUTED_VALUE"""),"Yogendra Singh")</f>
        <v>Yogendra Singh</v>
      </c>
      <c r="G258" s="4" t="str">
        <f>IFERROR(__xludf.DUMMYFUNCTION("""COMPUTED_VALUE"""),"Cluster - Mayur")</f>
        <v>Cluster - Mayur</v>
      </c>
      <c r="H258" s="4" t="str">
        <f>IFERROR(__xludf.DUMMYFUNCTION("""COMPUTED_VALUE"""),"ONIMAQYS6")</f>
        <v>ONIMAQYS6</v>
      </c>
      <c r="I258" s="5">
        <f>IFERROR(__xludf.DUMMYFUNCTION("""COMPUTED_VALUE"""),0.0)</f>
        <v>0</v>
      </c>
      <c r="J258" s="4" t="str">
        <f>IFERROR(__xludf.DUMMYFUNCTION("""COMPUTED_VALUE"""),"Tier 4")</f>
        <v>Tier 4</v>
      </c>
      <c r="K258" s="4" t="str">
        <f>IFERROR(__xludf.DUMMYFUNCTION("""COMPUTED_VALUE"""),"ID Created DRP score 0")</f>
        <v>ID Created DRP score 0</v>
      </c>
      <c r="L258" s="4"/>
    </row>
    <row r="259">
      <c r="A259" s="4" t="str">
        <f>IFERROR(__xludf.DUMMYFUNCTION("""COMPUTED_VALUE"""),"DME1882")</f>
        <v>DME1882</v>
      </c>
      <c r="B259" s="4" t="str">
        <f>IFERROR(__xludf.DUMMYFUNCTION("""COMPUTED_VALUE"""),"Shirin Hasan")</f>
        <v>Shirin Hasan</v>
      </c>
      <c r="C259" s="4" t="str">
        <f>IFERROR(__xludf.DUMMYFUNCTION("""COMPUTED_VALUE"""),"shirin.hasan@onixnet.com")</f>
        <v>shirin.hasan@onixnet.com</v>
      </c>
      <c r="D259" s="4" t="str">
        <f>IFERROR(__xludf.DUMMYFUNCTION("""COMPUTED_VALUE"""),"Active")</f>
        <v>Active</v>
      </c>
      <c r="E259" s="4" t="str">
        <f>IFERROR(__xludf.DUMMYFUNCTION("""COMPUTED_VALUE"""),"Product Engineering")</f>
        <v>Product Engineering</v>
      </c>
      <c r="F259" s="4" t="str">
        <f>IFERROR(__xludf.DUMMYFUNCTION("""COMPUTED_VALUE"""),"Anurag Saxena")</f>
        <v>Anurag Saxena</v>
      </c>
      <c r="G259" s="4" t="str">
        <f>IFERROR(__xludf.DUMMYFUNCTION("""COMPUTED_VALUE"""),"Cluster - Mayur")</f>
        <v>Cluster - Mayur</v>
      </c>
      <c r="H259" s="4" t="str">
        <f>IFERROR(__xludf.DUMMYFUNCTION("""COMPUTED_VALUE"""),"ONISHLEZ6")</f>
        <v>ONISHLEZ6</v>
      </c>
      <c r="I259" s="5">
        <f>IFERROR(__xludf.DUMMYFUNCTION("""COMPUTED_VALUE"""),0.0)</f>
        <v>0</v>
      </c>
      <c r="J259" s="4" t="str">
        <f>IFERROR(__xludf.DUMMYFUNCTION("""COMPUTED_VALUE"""),"Tier 4")</f>
        <v>Tier 4</v>
      </c>
      <c r="K259" s="4" t="str">
        <f>IFERROR(__xludf.DUMMYFUNCTION("""COMPUTED_VALUE"""),"ID Created DRP score 0")</f>
        <v>ID Created DRP score 0</v>
      </c>
      <c r="L259" s="4"/>
    </row>
    <row r="260">
      <c r="A260" s="4" t="str">
        <f>IFERROR(__xludf.DUMMYFUNCTION("""COMPUTED_VALUE"""),"DME1881")</f>
        <v>DME1881</v>
      </c>
      <c r="B260" s="4" t="str">
        <f>IFERROR(__xludf.DUMMYFUNCTION("""COMPUTED_VALUE"""),"Naveen Antony")</f>
        <v>Naveen Antony</v>
      </c>
      <c r="C260" s="4" t="str">
        <f>IFERROR(__xludf.DUMMYFUNCTION("""COMPUTED_VALUE"""),"naveen.antony@onixnet.com")</f>
        <v>naveen.antony@onixnet.com</v>
      </c>
      <c r="D260" s="4" t="str">
        <f>IFERROR(__xludf.DUMMYFUNCTION("""COMPUTED_VALUE"""),"Active")</f>
        <v>Active</v>
      </c>
      <c r="E260" s="4" t="str">
        <f>IFERROR(__xludf.DUMMYFUNCTION("""COMPUTED_VALUE"""),"Product Engineering")</f>
        <v>Product Engineering</v>
      </c>
      <c r="F260" s="4" t="str">
        <f>IFERROR(__xludf.DUMMYFUNCTION("""COMPUTED_VALUE"""),"Anurag Saxena")</f>
        <v>Anurag Saxena</v>
      </c>
      <c r="G260" s="4" t="str">
        <f>IFERROR(__xludf.DUMMYFUNCTION("""COMPUTED_VALUE"""),"Cluster - Mayur")</f>
        <v>Cluster - Mayur</v>
      </c>
      <c r="H260" s="4" t="str">
        <f>IFERROR(__xludf.DUMMYFUNCTION("""COMPUTED_VALUE"""),"ONINALKR4")</f>
        <v>ONINALKR4</v>
      </c>
      <c r="I260" s="5">
        <f>IFERROR(__xludf.DUMMYFUNCTION("""COMPUTED_VALUE"""),10.0)</f>
        <v>10</v>
      </c>
      <c r="J260" s="4" t="str">
        <f>IFERROR(__xludf.DUMMYFUNCTION("""COMPUTED_VALUE"""),"Tier 4")</f>
        <v>Tier 4</v>
      </c>
      <c r="K260" s="4" t="str">
        <f>IFERROR(__xludf.DUMMYFUNCTION("""COMPUTED_VALUE"""),"Active")</f>
        <v>Active</v>
      </c>
      <c r="L260" s="4" t="str">
        <f>IFERROR(__xludf.DUMMYFUNCTION("""COMPUTED_VALUE"""),"AI Applications")</f>
        <v>AI Applications</v>
      </c>
    </row>
    <row r="261">
      <c r="A261" s="4" t="str">
        <f>IFERROR(__xludf.DUMMYFUNCTION("""COMPUTED_VALUE"""),"DME1880")</f>
        <v>DME1880</v>
      </c>
      <c r="B261" s="4" t="str">
        <f>IFERROR(__xludf.DUMMYFUNCTION("""COMPUTED_VALUE"""),"Arti Rathore")</f>
        <v>Arti Rathore</v>
      </c>
      <c r="C261" s="4" t="str">
        <f>IFERROR(__xludf.DUMMYFUNCTION("""COMPUTED_VALUE"""),"arti.rathore@onixnet.com")</f>
        <v>arti.rathore@onixnet.com</v>
      </c>
      <c r="D261" s="4" t="str">
        <f>IFERROR(__xludf.DUMMYFUNCTION("""COMPUTED_VALUE"""),"Active")</f>
        <v>Active</v>
      </c>
      <c r="E261" s="4" t="str">
        <f>IFERROR(__xludf.DUMMYFUNCTION("""COMPUTED_VALUE"""),"Product Engineering")</f>
        <v>Product Engineering</v>
      </c>
      <c r="F261" s="4" t="str">
        <f>IFERROR(__xludf.DUMMYFUNCTION("""COMPUTED_VALUE"""),"Siba Mishra")</f>
        <v>Siba Mishra</v>
      </c>
      <c r="G261" s="4" t="str">
        <f>IFERROR(__xludf.DUMMYFUNCTION("""COMPUTED_VALUE"""),"Cluster - Mayur")</f>
        <v>Cluster - Mayur</v>
      </c>
      <c r="H261" s="4" t="str">
        <f>IFERROR(__xludf.DUMMYFUNCTION("""COMPUTED_VALUE"""),"ONIARFXI8")</f>
        <v>ONIARFXI8</v>
      </c>
      <c r="I261" s="5">
        <f>IFERROR(__xludf.DUMMYFUNCTION("""COMPUTED_VALUE"""),25.0)</f>
        <v>25</v>
      </c>
      <c r="J261" s="4" t="str">
        <f>IFERROR(__xludf.DUMMYFUNCTION("""COMPUTED_VALUE"""),"Tier 3")</f>
        <v>Tier 3</v>
      </c>
      <c r="K261" s="4" t="str">
        <f>IFERROR(__xludf.DUMMYFUNCTION("""COMPUTED_VALUE"""),"Active")</f>
        <v>Active</v>
      </c>
      <c r="L261" s="4" t="str">
        <f>IFERROR(__xludf.DUMMYFUNCTION("""COMPUTED_VALUE"""),"AI Applications")</f>
        <v>AI Applications</v>
      </c>
    </row>
    <row r="262">
      <c r="A262" s="4" t="str">
        <f>IFERROR(__xludf.DUMMYFUNCTION("""COMPUTED_VALUE"""),"DME1879")</f>
        <v>DME1879</v>
      </c>
      <c r="B262" s="4" t="str">
        <f>IFERROR(__xludf.DUMMYFUNCTION("""COMPUTED_VALUE"""),"Shivam Kumar")</f>
        <v>Shivam Kumar</v>
      </c>
      <c r="C262" s="4" t="str">
        <f>IFERROR(__xludf.DUMMYFUNCTION("""COMPUTED_VALUE"""),"Shivam.Kumar@onixnet.com")</f>
        <v>Shivam.Kumar@onixnet.com</v>
      </c>
      <c r="D262" s="4" t="str">
        <f>IFERROR(__xludf.DUMMYFUNCTION("""COMPUTED_VALUE"""),"Active")</f>
        <v>Active</v>
      </c>
      <c r="E262" s="4" t="str">
        <f>IFERROR(__xludf.DUMMYFUNCTION("""COMPUTED_VALUE"""),"Delivery Services")</f>
        <v>Delivery Services</v>
      </c>
      <c r="F262" s="4" t="str">
        <f>IFERROR(__xludf.DUMMYFUNCTION("""COMPUTED_VALUE"""),"Vipul Nilapwar")</f>
        <v>Vipul Nilapwar</v>
      </c>
      <c r="G262" s="4" t="str">
        <f>IFERROR(__xludf.DUMMYFUNCTION("""COMPUTED_VALUE"""),"Cluster - Sachin")</f>
        <v>Cluster - Sachin</v>
      </c>
      <c r="H262" s="4" t="str">
        <f>IFERROR(__xludf.DUMMYFUNCTION("""COMPUTED_VALUE"""),"ONISKYOQ2")</f>
        <v>ONISKYOQ2</v>
      </c>
      <c r="I262" s="5">
        <f>IFERROR(__xludf.DUMMYFUNCTION("""COMPUTED_VALUE"""),29.0)</f>
        <v>29</v>
      </c>
      <c r="J262" s="4" t="str">
        <f>IFERROR(__xludf.DUMMYFUNCTION("""COMPUTED_VALUE"""),"Tier 3")</f>
        <v>Tier 3</v>
      </c>
      <c r="K262" s="4" t="str">
        <f>IFERROR(__xludf.DUMMYFUNCTION("""COMPUTED_VALUE"""),"Active")</f>
        <v>Active</v>
      </c>
      <c r="L262" s="4" t="str">
        <f>IFERROR(__xludf.DUMMYFUNCTION("""COMPUTED_VALUE"""),"BigQuery")</f>
        <v>BigQuery</v>
      </c>
    </row>
    <row r="263">
      <c r="A263" s="4" t="str">
        <f>IFERROR(__xludf.DUMMYFUNCTION("""COMPUTED_VALUE"""),"DME1905")</f>
        <v>DME1905</v>
      </c>
      <c r="B263" s="4" t="str">
        <f>IFERROR(__xludf.DUMMYFUNCTION("""COMPUTED_VALUE"""),"Fatema Mudar Karwarwala")</f>
        <v>Fatema Mudar Karwarwala</v>
      </c>
      <c r="C263" s="4" t="str">
        <f>IFERROR(__xludf.DUMMYFUNCTION("""COMPUTED_VALUE"""),"fatema.karwarwala@onixnet.com")</f>
        <v>fatema.karwarwala@onixnet.com</v>
      </c>
      <c r="D263" s="4" t="str">
        <f>IFERROR(__xludf.DUMMYFUNCTION("""COMPUTED_VALUE"""),"Active")</f>
        <v>Active</v>
      </c>
      <c r="E263" s="4" t="str">
        <f>IFERROR(__xludf.DUMMYFUNCTION("""COMPUTED_VALUE"""),"Delivery Services")</f>
        <v>Delivery Services</v>
      </c>
      <c r="F263" s="4" t="str">
        <f>IFERROR(__xludf.DUMMYFUNCTION("""COMPUTED_VALUE"""),"Nisha Chandrakant Dhole")</f>
        <v>Nisha Chandrakant Dhole</v>
      </c>
      <c r="G263" s="4" t="str">
        <f>IFERROR(__xludf.DUMMYFUNCTION("""COMPUTED_VALUE"""),"Cluster - Sagar")</f>
        <v>Cluster - Sagar</v>
      </c>
      <c r="H263" s="4" t="str">
        <f>IFERROR(__xludf.DUMMYFUNCTION("""COMPUTED_VALUE"""),"ONIFKKJV9")</f>
        <v>ONIFKKJV9</v>
      </c>
      <c r="I263" s="5">
        <f>IFERROR(__xludf.DUMMYFUNCTION("""COMPUTED_VALUE"""),45.0)</f>
        <v>45</v>
      </c>
      <c r="J263" s="4" t="str">
        <f>IFERROR(__xludf.DUMMYFUNCTION("""COMPUTED_VALUE"""),"Tier 2")</f>
        <v>Tier 2</v>
      </c>
      <c r="K263" s="4" t="str">
        <f>IFERROR(__xludf.DUMMYFUNCTION("""COMPUTED_VALUE"""),"Active")</f>
        <v>Active</v>
      </c>
      <c r="L263" s="4" t="str">
        <f>IFERROR(__xludf.DUMMYFUNCTION("""COMPUTED_VALUE"""),"Gemini Enterprise Agent Platform")</f>
        <v>Gemini Enterprise Agent Platform</v>
      </c>
    </row>
    <row r="264">
      <c r="A264" s="4" t="str">
        <f>IFERROR(__xludf.DUMMYFUNCTION("""COMPUTED_VALUE"""),"DME1897")</f>
        <v>DME1897</v>
      </c>
      <c r="B264" s="4" t="str">
        <f>IFERROR(__xludf.DUMMYFUNCTION("""COMPUTED_VALUE"""),"Kishore Kotagiri")</f>
        <v>Kishore Kotagiri</v>
      </c>
      <c r="C264" s="4" t="str">
        <f>IFERROR(__xludf.DUMMYFUNCTION("""COMPUTED_VALUE"""),"Kishore.Kotagiri@onixnet.com")</f>
        <v>Kishore.Kotagiri@onixnet.com</v>
      </c>
      <c r="D264" s="4" t="str">
        <f>IFERROR(__xludf.DUMMYFUNCTION("""COMPUTED_VALUE"""),"Active")</f>
        <v>Active</v>
      </c>
      <c r="E264" s="4" t="str">
        <f>IFERROR(__xludf.DUMMYFUNCTION("""COMPUTED_VALUE"""),"Delivery Services")</f>
        <v>Delivery Services</v>
      </c>
      <c r="F264" s="4" t="str">
        <f>IFERROR(__xludf.DUMMYFUNCTION("""COMPUTED_VALUE"""),"Kanhaiya Jha")</f>
        <v>Kanhaiya Jha</v>
      </c>
      <c r="G264" s="4" t="str">
        <f>IFERROR(__xludf.DUMMYFUNCTION("""COMPUTED_VALUE"""),"Cluster - Kanhaiya")</f>
        <v>Cluster - Kanhaiya</v>
      </c>
      <c r="H264" s="4" t="str">
        <f>IFERROR(__xludf.DUMMYFUNCTION("""COMPUTED_VALUE"""),"ONIKKSCA8")</f>
        <v>ONIKKSCA8</v>
      </c>
      <c r="I264" s="5">
        <f>IFERROR(__xludf.DUMMYFUNCTION("""COMPUTED_VALUE"""),19.0)</f>
        <v>19</v>
      </c>
      <c r="J264" s="4" t="str">
        <f>IFERROR(__xludf.DUMMYFUNCTION("""COMPUTED_VALUE"""),"Tier 4")</f>
        <v>Tier 4</v>
      </c>
      <c r="K264" s="4" t="str">
        <f>IFERROR(__xludf.DUMMYFUNCTION("""COMPUTED_VALUE"""),"Active")</f>
        <v>Active</v>
      </c>
      <c r="L264" s="4" t="str">
        <f>IFERROR(__xludf.DUMMYFUNCTION("""COMPUTED_VALUE"""),"BigQuery")</f>
        <v>BigQuery</v>
      </c>
    </row>
    <row r="265">
      <c r="A265" s="4" t="str">
        <f>IFERROR(__xludf.DUMMYFUNCTION("""COMPUTED_VALUE"""),"DME1899")</f>
        <v>DME1899</v>
      </c>
      <c r="B265" s="4" t="str">
        <f>IFERROR(__xludf.DUMMYFUNCTION("""COMPUTED_VALUE"""),"Vaishnavi Chavan")</f>
        <v>Vaishnavi Chavan</v>
      </c>
      <c r="C265" s="4" t="str">
        <f>IFERROR(__xludf.DUMMYFUNCTION("""COMPUTED_VALUE"""),"Vaishnavi.Chavan@onixnet.com")</f>
        <v>Vaishnavi.Chavan@onixnet.com</v>
      </c>
      <c r="D265" s="4" t="str">
        <f>IFERROR(__xludf.DUMMYFUNCTION("""COMPUTED_VALUE"""),"Active")</f>
        <v>Active</v>
      </c>
      <c r="E265" s="4" t="str">
        <f>IFERROR(__xludf.DUMMYFUNCTION("""COMPUTED_VALUE"""),"Delivery Services")</f>
        <v>Delivery Services</v>
      </c>
      <c r="F265" s="4" t="str">
        <f>IFERROR(__xludf.DUMMYFUNCTION("""COMPUTED_VALUE"""),"Sneha Bhatambrekar")</f>
        <v>Sneha Bhatambrekar</v>
      </c>
      <c r="G265" s="4" t="str">
        <f>IFERROR(__xludf.DUMMYFUNCTION("""COMPUTED_VALUE"""),"Cluster - Sandeep")</f>
        <v>Cluster - Sandeep</v>
      </c>
      <c r="H265" s="4" t="str">
        <f>IFERROR(__xludf.DUMMYFUNCTION("""COMPUTED_VALUE"""),"DATVCCZD7")</f>
        <v>DATVCCZD7</v>
      </c>
      <c r="I265" s="5">
        <f>IFERROR(__xludf.DUMMYFUNCTION("""COMPUTED_VALUE"""),23.0)</f>
        <v>23</v>
      </c>
      <c r="J265" s="4" t="str">
        <f>IFERROR(__xludf.DUMMYFUNCTION("""COMPUTED_VALUE"""),"Tier 3")</f>
        <v>Tier 3</v>
      </c>
      <c r="K265" s="4" t="str">
        <f>IFERROR(__xludf.DUMMYFUNCTION("""COMPUTED_VALUE"""),"Active")</f>
        <v>Active</v>
      </c>
      <c r="L265" s="4" t="str">
        <f>IFERROR(__xludf.DUMMYFUNCTION("""COMPUTED_VALUE"""),"Google Cloud Networking")</f>
        <v>Google Cloud Networking</v>
      </c>
    </row>
    <row r="266">
      <c r="A266" s="4" t="str">
        <f>IFERROR(__xludf.DUMMYFUNCTION("""COMPUTED_VALUE"""),"DME1909")</f>
        <v>DME1909</v>
      </c>
      <c r="B266" s="4" t="str">
        <f>IFERROR(__xludf.DUMMYFUNCTION("""COMPUTED_VALUE"""),"Chinmay Deshpande")</f>
        <v>Chinmay Deshpande</v>
      </c>
      <c r="C266" s="4" t="str">
        <f>IFERROR(__xludf.DUMMYFUNCTION("""COMPUTED_VALUE"""),"Chinmay.Deshpande@onixnet.com")</f>
        <v>Chinmay.Deshpande@onixnet.com</v>
      </c>
      <c r="D266" s="4" t="str">
        <f>IFERROR(__xludf.DUMMYFUNCTION("""COMPUTED_VALUE"""),"Active")</f>
        <v>Active</v>
      </c>
      <c r="E266" s="4" t="str">
        <f>IFERROR(__xludf.DUMMYFUNCTION("""COMPUTED_VALUE"""),"Delivery Services")</f>
        <v>Delivery Services</v>
      </c>
      <c r="F266" s="4" t="str">
        <f>IFERROR(__xludf.DUMMYFUNCTION("""COMPUTED_VALUE"""),"Prasad Pramod Kulkarni")</f>
        <v>Prasad Pramod Kulkarni</v>
      </c>
      <c r="G266" s="4" t="str">
        <f>IFERROR(__xludf.DUMMYFUNCTION("""COMPUTED_VALUE"""),"Cluster - Sagar")</f>
        <v>Cluster - Sagar</v>
      </c>
      <c r="H266" s="4" t="str">
        <f>IFERROR(__xludf.DUMMYFUNCTION("""COMPUTED_VALUE"""),"ONICDEGE4")</f>
        <v>ONICDEGE4</v>
      </c>
      <c r="I266" s="5">
        <f>IFERROR(__xludf.DUMMYFUNCTION("""COMPUTED_VALUE"""),34.0)</f>
        <v>34</v>
      </c>
      <c r="J266" s="4" t="str">
        <f>IFERROR(__xludf.DUMMYFUNCTION("""COMPUTED_VALUE"""),"Tier 3")</f>
        <v>Tier 3</v>
      </c>
      <c r="K266" s="4" t="str">
        <f>IFERROR(__xludf.DUMMYFUNCTION("""COMPUTED_VALUE"""),"Active")</f>
        <v>Active</v>
      </c>
      <c r="L266" s="4" t="str">
        <f>IFERROR(__xludf.DUMMYFUNCTION("""COMPUTED_VALUE"""),"BigQuery")</f>
        <v>BigQuery</v>
      </c>
    </row>
    <row r="267">
      <c r="A267" s="4" t="str">
        <f>IFERROR(__xludf.DUMMYFUNCTION("""COMPUTED_VALUE"""),"DME1907")</f>
        <v>DME1907</v>
      </c>
      <c r="B267" s="4" t="str">
        <f>IFERROR(__xludf.DUMMYFUNCTION("""COMPUTED_VALUE"""),"Jayesh Shukla")</f>
        <v>Jayesh Shukla</v>
      </c>
      <c r="C267" s="4" t="str">
        <f>IFERROR(__xludf.DUMMYFUNCTION("""COMPUTED_VALUE"""),"Jayesh.Shukla@onixnet.com")</f>
        <v>Jayesh.Shukla@onixnet.com</v>
      </c>
      <c r="D267" s="4" t="str">
        <f>IFERROR(__xludf.DUMMYFUNCTION("""COMPUTED_VALUE"""),"Active")</f>
        <v>Active</v>
      </c>
      <c r="E267" s="4" t="str">
        <f>IFERROR(__xludf.DUMMYFUNCTION("""COMPUTED_VALUE"""),"Product Engineering")</f>
        <v>Product Engineering</v>
      </c>
      <c r="F267" s="4" t="str">
        <f>IFERROR(__xludf.DUMMYFUNCTION("""COMPUTED_VALUE"""),"Anand Sharma")</f>
        <v>Anand Sharma</v>
      </c>
      <c r="G267" s="4" t="str">
        <f>IFERROR(__xludf.DUMMYFUNCTION("""COMPUTED_VALUE"""),"Cluster - Mayur")</f>
        <v>Cluster - Mayur</v>
      </c>
      <c r="H267" s="4" t="str">
        <f>IFERROR(__xludf.DUMMYFUNCTION("""COMPUTED_VALUE"""),"ONIJSIVX3")</f>
        <v>ONIJSIVX3</v>
      </c>
      <c r="I267" s="5">
        <f>IFERROR(__xludf.DUMMYFUNCTION("""COMPUTED_VALUE"""),0.0)</f>
        <v>0</v>
      </c>
      <c r="J267" s="4" t="str">
        <f>IFERROR(__xludf.DUMMYFUNCTION("""COMPUTED_VALUE"""),"Tier 4")</f>
        <v>Tier 4</v>
      </c>
      <c r="K267" s="4" t="str">
        <f>IFERROR(__xludf.DUMMYFUNCTION("""COMPUTED_VALUE"""),"ID Created DRP score 0")</f>
        <v>ID Created DRP score 0</v>
      </c>
      <c r="L267" s="4"/>
    </row>
    <row r="268">
      <c r="A268" s="4" t="str">
        <f>IFERROR(__xludf.DUMMYFUNCTION("""COMPUTED_VALUE"""),"DME1906")</f>
        <v>DME1906</v>
      </c>
      <c r="B268" s="4" t="str">
        <f>IFERROR(__xludf.DUMMYFUNCTION("""COMPUTED_VALUE"""),"Gayatri Zipare")</f>
        <v>Gayatri Zipare</v>
      </c>
      <c r="C268" s="4" t="str">
        <f>IFERROR(__xludf.DUMMYFUNCTION("""COMPUTED_VALUE"""),"Gayatri.Zipare@onixnet.com")</f>
        <v>Gayatri.Zipare@onixnet.com</v>
      </c>
      <c r="D268" s="4" t="str">
        <f>IFERROR(__xludf.DUMMYFUNCTION("""COMPUTED_VALUE"""),"Active")</f>
        <v>Active</v>
      </c>
      <c r="E268" s="4" t="str">
        <f>IFERROR(__xludf.DUMMYFUNCTION("""COMPUTED_VALUE"""),"Delivery Services")</f>
        <v>Delivery Services</v>
      </c>
      <c r="F268" s="4" t="str">
        <f>IFERROR(__xludf.DUMMYFUNCTION("""COMPUTED_VALUE"""),"Jitender Singh")</f>
        <v>Jitender Singh</v>
      </c>
      <c r="G268" s="4" t="str">
        <f>IFERROR(__xludf.DUMMYFUNCTION("""COMPUTED_VALUE"""),"Cluster - Gaurav")</f>
        <v>Cluster - Gaurav</v>
      </c>
      <c r="H268" s="4" t="str">
        <f>IFERROR(__xludf.DUMMYFUNCTION("""COMPUTED_VALUE"""),"ONIGZOPF6")</f>
        <v>ONIGZOPF6</v>
      </c>
      <c r="I268" s="5">
        <f>IFERROR(__xludf.DUMMYFUNCTION("""COMPUTED_VALUE"""),29.0)</f>
        <v>29</v>
      </c>
      <c r="J268" s="4" t="str">
        <f>IFERROR(__xludf.DUMMYFUNCTION("""COMPUTED_VALUE"""),"Tier 3")</f>
        <v>Tier 3</v>
      </c>
      <c r="K268" s="4" t="str">
        <f>IFERROR(__xludf.DUMMYFUNCTION("""COMPUTED_VALUE"""),"Active")</f>
        <v>Active</v>
      </c>
      <c r="L268" s="4" t="str">
        <f>IFERROR(__xludf.DUMMYFUNCTION("""COMPUTED_VALUE"""),"BigQuery")</f>
        <v>BigQuery</v>
      </c>
    </row>
    <row r="269">
      <c r="A269" s="4" t="str">
        <f>IFERROR(__xludf.DUMMYFUNCTION("""COMPUTED_VALUE"""),"DME1910")</f>
        <v>DME1910</v>
      </c>
      <c r="B269" s="4" t="str">
        <f>IFERROR(__xludf.DUMMYFUNCTION("""COMPUTED_VALUE"""),"Shubham Ramdas Ghadage")</f>
        <v>Shubham Ramdas Ghadage</v>
      </c>
      <c r="C269" s="4" t="str">
        <f>IFERROR(__xludf.DUMMYFUNCTION("""COMPUTED_VALUE"""),"Shubham.Ghadage@onixnet.com")</f>
        <v>Shubham.Ghadage@onixnet.com</v>
      </c>
      <c r="D269" s="4" t="str">
        <f>IFERROR(__xludf.DUMMYFUNCTION("""COMPUTED_VALUE"""),"Active")</f>
        <v>Active</v>
      </c>
      <c r="E269" s="4" t="str">
        <f>IFERROR(__xludf.DUMMYFUNCTION("""COMPUTED_VALUE"""),"Eagle Assessment")</f>
        <v>Eagle Assessment</v>
      </c>
      <c r="F269" s="4" t="str">
        <f>IFERROR(__xludf.DUMMYFUNCTION("""COMPUTED_VALUE"""),"Swapnil Salunke")</f>
        <v>Swapnil Salunke</v>
      </c>
      <c r="G269" s="4" t="str">
        <f>IFERROR(__xludf.DUMMYFUNCTION("""COMPUTED_VALUE"""),"Cluster - Kalpa")</f>
        <v>Cluster - Kalpa</v>
      </c>
      <c r="H269" s="4" t="str">
        <f>IFERROR(__xludf.DUMMYFUNCTION("""COMPUTED_VALUE"""),"ONISGREI0")</f>
        <v>ONISGREI0</v>
      </c>
      <c r="I269" s="5">
        <f>IFERROR(__xludf.DUMMYFUNCTION("""COMPUTED_VALUE"""),43.0)</f>
        <v>43</v>
      </c>
      <c r="J269" s="4" t="str">
        <f>IFERROR(__xludf.DUMMYFUNCTION("""COMPUTED_VALUE"""),"Tier 2")</f>
        <v>Tier 2</v>
      </c>
      <c r="K269" s="4" t="str">
        <f>IFERROR(__xludf.DUMMYFUNCTION("""COMPUTED_VALUE"""),"Active")</f>
        <v>Active</v>
      </c>
      <c r="L269" s="4" t="str">
        <f>IFERROR(__xludf.DUMMYFUNCTION("""COMPUTED_VALUE"""),"BigQuery")</f>
        <v>BigQuery</v>
      </c>
    </row>
    <row r="270">
      <c r="A270" s="4" t="str">
        <f>IFERROR(__xludf.DUMMYFUNCTION("""COMPUTED_VALUE"""),"DME1914")</f>
        <v>DME1914</v>
      </c>
      <c r="B270" s="4" t="str">
        <f>IFERROR(__xludf.DUMMYFUNCTION("""COMPUTED_VALUE"""),"Gaurav Rajpal")</f>
        <v>Gaurav Rajpal</v>
      </c>
      <c r="C270" s="4" t="str">
        <f>IFERROR(__xludf.DUMMYFUNCTION("""COMPUTED_VALUE"""),"Gaurav.Rajpal@onixnet.com")</f>
        <v>Gaurav.Rajpal@onixnet.com</v>
      </c>
      <c r="D270" s="4" t="str">
        <f>IFERROR(__xludf.DUMMYFUNCTION("""COMPUTED_VALUE"""),"Active")</f>
        <v>Active</v>
      </c>
      <c r="E270" s="4" t="str">
        <f>IFERROR(__xludf.DUMMYFUNCTION("""COMPUTED_VALUE"""),"Delivery Services")</f>
        <v>Delivery Services</v>
      </c>
      <c r="F270" s="4" t="str">
        <f>IFERROR(__xludf.DUMMYFUNCTION("""COMPUTED_VALUE"""),"Amit Argade")</f>
        <v>Amit Argade</v>
      </c>
      <c r="G270" s="4" t="str">
        <f>IFERROR(__xludf.DUMMYFUNCTION("""COMPUTED_VALUE"""),"Cluster - Sagar")</f>
        <v>Cluster - Sagar</v>
      </c>
      <c r="H270" s="4" t="str">
        <f>IFERROR(__xludf.DUMMYFUNCTION("""COMPUTED_VALUE"""),"ONIGRHVN5")</f>
        <v>ONIGRHVN5</v>
      </c>
      <c r="I270" s="5">
        <f>IFERROR(__xludf.DUMMYFUNCTION("""COMPUTED_VALUE"""),13.0)</f>
        <v>13</v>
      </c>
      <c r="J270" s="4" t="str">
        <f>IFERROR(__xludf.DUMMYFUNCTION("""COMPUTED_VALUE"""),"Tier 4")</f>
        <v>Tier 4</v>
      </c>
      <c r="K270" s="4" t="str">
        <f>IFERROR(__xludf.DUMMYFUNCTION("""COMPUTED_VALUE"""),"Active")</f>
        <v>Active</v>
      </c>
      <c r="L270" s="4" t="str">
        <f>IFERROR(__xludf.DUMMYFUNCTION("""COMPUTED_VALUE"""),"BigQuery")</f>
        <v>BigQuery</v>
      </c>
    </row>
    <row r="271">
      <c r="A271" s="4" t="str">
        <f>IFERROR(__xludf.DUMMYFUNCTION("""COMPUTED_VALUE"""),"DME1918")</f>
        <v>DME1918</v>
      </c>
      <c r="B271" s="4" t="str">
        <f>IFERROR(__xludf.DUMMYFUNCTION("""COMPUTED_VALUE"""),"Pitambar Thapa")</f>
        <v>Pitambar Thapa</v>
      </c>
      <c r="C271" s="4" t="str">
        <f>IFERROR(__xludf.DUMMYFUNCTION("""COMPUTED_VALUE"""),"Pitambar.Thapa@onixnet.com")</f>
        <v>Pitambar.Thapa@onixnet.com</v>
      </c>
      <c r="D271" s="4" t="str">
        <f>IFERROR(__xludf.DUMMYFUNCTION("""COMPUTED_VALUE"""),"Active")</f>
        <v>Active</v>
      </c>
      <c r="E271" s="4" t="str">
        <f>IFERROR(__xludf.DUMMYFUNCTION("""COMPUTED_VALUE"""),"Product Engineering")</f>
        <v>Product Engineering</v>
      </c>
      <c r="F271" s="4" t="str">
        <f>IFERROR(__xludf.DUMMYFUNCTION("""COMPUTED_VALUE"""),"Shantanu Charpe")</f>
        <v>Shantanu Charpe</v>
      </c>
      <c r="G271" s="4" t="str">
        <f>IFERROR(__xludf.DUMMYFUNCTION("""COMPUTED_VALUE"""),"Cluster - Mayur")</f>
        <v>Cluster - Mayur</v>
      </c>
      <c r="H271" s="4" t="str">
        <f>IFERROR(__xludf.DUMMYFUNCTION("""COMPUTED_VALUE"""),"ONIPTSYX1")</f>
        <v>ONIPTSYX1</v>
      </c>
      <c r="I271" s="5">
        <f>IFERROR(__xludf.DUMMYFUNCTION("""COMPUTED_VALUE"""),0.0)</f>
        <v>0</v>
      </c>
      <c r="J271" s="4" t="str">
        <f>IFERROR(__xludf.DUMMYFUNCTION("""COMPUTED_VALUE"""),"Tier 4")</f>
        <v>Tier 4</v>
      </c>
      <c r="K271" s="4" t="str">
        <f>IFERROR(__xludf.DUMMYFUNCTION("""COMPUTED_VALUE"""),"ID Created DRP score 0")</f>
        <v>ID Created DRP score 0</v>
      </c>
      <c r="L271" s="4"/>
    </row>
    <row r="272">
      <c r="A272" s="4" t="str">
        <f>IFERROR(__xludf.DUMMYFUNCTION("""COMPUTED_VALUE"""),"DME1923")</f>
        <v>DME1923</v>
      </c>
      <c r="B272" s="4" t="str">
        <f>IFERROR(__xludf.DUMMYFUNCTION("""COMPUTED_VALUE"""),"Rohan Londhe")</f>
        <v>Rohan Londhe</v>
      </c>
      <c r="C272" s="4" t="str">
        <f>IFERROR(__xludf.DUMMYFUNCTION("""COMPUTED_VALUE"""),"rohan.londhe@onixnet.com")</f>
        <v>rohan.londhe@onixnet.com</v>
      </c>
      <c r="D272" s="4" t="str">
        <f>IFERROR(__xludf.DUMMYFUNCTION("""COMPUTED_VALUE"""),"Active")</f>
        <v>Active</v>
      </c>
      <c r="E272" s="4" t="str">
        <f>IFERROR(__xludf.DUMMYFUNCTION("""COMPUTED_VALUE"""),"Product Engineering")</f>
        <v>Product Engineering</v>
      </c>
      <c r="F272" s="4" t="str">
        <f>IFERROR(__xludf.DUMMYFUNCTION("""COMPUTED_VALUE"""),"Chandni Thakkar")</f>
        <v>Chandni Thakkar</v>
      </c>
      <c r="G272" s="4" t="str">
        <f>IFERROR(__xludf.DUMMYFUNCTION("""COMPUTED_VALUE"""),"Cluster - Mayur")</f>
        <v>Cluster - Mayur</v>
      </c>
      <c r="H272" s="4" t="str">
        <f>IFERROR(__xludf.DUMMYFUNCTION("""COMPUTED_VALUE"""),"DATRLKSA1")</f>
        <v>DATRLKSA1</v>
      </c>
      <c r="I272" s="5">
        <f>IFERROR(__xludf.DUMMYFUNCTION("""COMPUTED_VALUE"""),30.0)</f>
        <v>30</v>
      </c>
      <c r="J272" s="4" t="str">
        <f>IFERROR(__xludf.DUMMYFUNCTION("""COMPUTED_VALUE"""),"Tier 3")</f>
        <v>Tier 3</v>
      </c>
      <c r="K272" s="4" t="str">
        <f>IFERROR(__xludf.DUMMYFUNCTION("""COMPUTED_VALUE"""),"Active")</f>
        <v>Active</v>
      </c>
      <c r="L272" s="4" t="str">
        <f>IFERROR(__xludf.DUMMYFUNCTION("""COMPUTED_VALUE"""),"AI Applications")</f>
        <v>AI Applications</v>
      </c>
    </row>
    <row r="273">
      <c r="A273" s="4" t="str">
        <f>IFERROR(__xludf.DUMMYFUNCTION("""COMPUTED_VALUE"""),"DME1922")</f>
        <v>DME1922</v>
      </c>
      <c r="B273" s="4" t="str">
        <f>IFERROR(__xludf.DUMMYFUNCTION("""COMPUTED_VALUE"""),"Manish Yeul")</f>
        <v>Manish Yeul</v>
      </c>
      <c r="C273" s="4" t="str">
        <f>IFERROR(__xludf.DUMMYFUNCTION("""COMPUTED_VALUE"""),"manish.yeul@onixnet.com")</f>
        <v>manish.yeul@onixnet.com</v>
      </c>
      <c r="D273" s="4" t="str">
        <f>IFERROR(__xludf.DUMMYFUNCTION("""COMPUTED_VALUE"""),"Active")</f>
        <v>Active</v>
      </c>
      <c r="E273" s="4" t="str">
        <f>IFERROR(__xludf.DUMMYFUNCTION("""COMPUTED_VALUE"""),"Delivery Services")</f>
        <v>Delivery Services</v>
      </c>
      <c r="F273" s="4" t="str">
        <f>IFERROR(__xludf.DUMMYFUNCTION("""COMPUTED_VALUE"""),"Noorulla Shaik")</f>
        <v>Noorulla Shaik</v>
      </c>
      <c r="G273" s="4" t="str">
        <f>IFERROR(__xludf.DUMMYFUNCTION("""COMPUTED_VALUE"""),"Cluster - Kanhaiya")</f>
        <v>Cluster - Kanhaiya</v>
      </c>
      <c r="H273" s="4"/>
      <c r="I273" s="5"/>
      <c r="J273" s="4"/>
      <c r="K273" s="4" t="str">
        <f>IFERROR(__xludf.DUMMYFUNCTION("""COMPUTED_VALUE"""),"ID Not Created")</f>
        <v>ID Not Created</v>
      </c>
      <c r="L273" s="4"/>
    </row>
    <row r="274">
      <c r="A274" s="4" t="str">
        <f>IFERROR(__xludf.DUMMYFUNCTION("""COMPUTED_VALUE"""),"DME1921")</f>
        <v>DME1921</v>
      </c>
      <c r="B274" s="4" t="str">
        <f>IFERROR(__xludf.DUMMYFUNCTION("""COMPUTED_VALUE"""),"Kiran Jagdale")</f>
        <v>Kiran Jagdale</v>
      </c>
      <c r="C274" s="4" t="str">
        <f>IFERROR(__xludf.DUMMYFUNCTION("""COMPUTED_VALUE"""),"kiran.jagdale@onixnet.com")</f>
        <v>kiran.jagdale@onixnet.com</v>
      </c>
      <c r="D274" s="4" t="str">
        <f>IFERROR(__xludf.DUMMYFUNCTION("""COMPUTED_VALUE"""),"Active")</f>
        <v>Active</v>
      </c>
      <c r="E274" s="4" t="str">
        <f>IFERROR(__xludf.DUMMYFUNCTION("""COMPUTED_VALUE"""),"Delivery Services")</f>
        <v>Delivery Services</v>
      </c>
      <c r="F274" s="4" t="str">
        <f>IFERROR(__xludf.DUMMYFUNCTION("""COMPUTED_VALUE"""),"Sneha Bhatambrekar")</f>
        <v>Sneha Bhatambrekar</v>
      </c>
      <c r="G274" s="4" t="str">
        <f>IFERROR(__xludf.DUMMYFUNCTION("""COMPUTED_VALUE"""),"Cluster - Sandeep")</f>
        <v>Cluster - Sandeep</v>
      </c>
      <c r="H274" s="4" t="str">
        <f>IFERROR(__xludf.DUMMYFUNCTION("""COMPUTED_VALUE"""),"ONIKJRGV8")</f>
        <v>ONIKJRGV8</v>
      </c>
      <c r="I274" s="5">
        <f>IFERROR(__xludf.DUMMYFUNCTION("""COMPUTED_VALUE"""),34.0)</f>
        <v>34</v>
      </c>
      <c r="J274" s="4" t="str">
        <f>IFERROR(__xludf.DUMMYFUNCTION("""COMPUTED_VALUE"""),"Tier 3")</f>
        <v>Tier 3</v>
      </c>
      <c r="K274" s="4" t="str">
        <f>IFERROR(__xludf.DUMMYFUNCTION("""COMPUTED_VALUE"""),"Active")</f>
        <v>Active</v>
      </c>
      <c r="L274" s="4" t="str">
        <f>IFERROR(__xludf.DUMMYFUNCTION("""COMPUTED_VALUE"""),"BigQuery")</f>
        <v>BigQuery</v>
      </c>
    </row>
    <row r="275">
      <c r="A275" s="4" t="str">
        <f>IFERROR(__xludf.DUMMYFUNCTION("""COMPUTED_VALUE"""),"DME1925")</f>
        <v>DME1925</v>
      </c>
      <c r="B275" s="4" t="str">
        <f>IFERROR(__xludf.DUMMYFUNCTION("""COMPUTED_VALUE"""),"Sameer Mulani")</f>
        <v>Sameer Mulani</v>
      </c>
      <c r="C275" s="4" t="str">
        <f>IFERROR(__xludf.DUMMYFUNCTION("""COMPUTED_VALUE"""),"sameer.mulani@onixnet.com")</f>
        <v>sameer.mulani@onixnet.com</v>
      </c>
      <c r="D275" s="4" t="str">
        <f>IFERROR(__xludf.DUMMYFUNCTION("""COMPUTED_VALUE"""),"Active")</f>
        <v>Active</v>
      </c>
      <c r="E275" s="4" t="str">
        <f>IFERROR(__xludf.DUMMYFUNCTION("""COMPUTED_VALUE"""),"Product Engineering")</f>
        <v>Product Engineering</v>
      </c>
      <c r="F275" s="4" t="str">
        <f>IFERROR(__xludf.DUMMYFUNCTION("""COMPUTED_VALUE"""),"Venkat Shivkumar")</f>
        <v>Venkat Shivkumar</v>
      </c>
      <c r="G275" s="4" t="str">
        <f>IFERROR(__xludf.DUMMYFUNCTION("""COMPUTED_VALUE"""),"Cluster - Mayur")</f>
        <v>Cluster - Mayur</v>
      </c>
      <c r="H275" s="4" t="str">
        <f>IFERROR(__xludf.DUMMYFUNCTION("""COMPUTED_VALUE"""),"ONISMRXG3")</f>
        <v>ONISMRXG3</v>
      </c>
      <c r="I275" s="5">
        <f>IFERROR(__xludf.DUMMYFUNCTION("""COMPUTED_VALUE"""),34.0)</f>
        <v>34</v>
      </c>
      <c r="J275" s="4" t="str">
        <f>IFERROR(__xludf.DUMMYFUNCTION("""COMPUTED_VALUE"""),"Tier 3")</f>
        <v>Tier 3</v>
      </c>
      <c r="K275" s="4" t="str">
        <f>IFERROR(__xludf.DUMMYFUNCTION("""COMPUTED_VALUE"""),"Active")</f>
        <v>Active</v>
      </c>
      <c r="L275" s="4" t="str">
        <f>IFERROR(__xludf.DUMMYFUNCTION("""COMPUTED_VALUE"""),"BigQuery")</f>
        <v>BigQuery</v>
      </c>
    </row>
    <row r="276">
      <c r="A276" s="4" t="str">
        <f>IFERROR(__xludf.DUMMYFUNCTION("""COMPUTED_VALUE"""),"DME1929")</f>
        <v>DME1929</v>
      </c>
      <c r="B276" s="4" t="str">
        <f>IFERROR(__xludf.DUMMYFUNCTION("""COMPUTED_VALUE"""),"Chahat Patni")</f>
        <v>Chahat Patni</v>
      </c>
      <c r="C276" s="4" t="str">
        <f>IFERROR(__xludf.DUMMYFUNCTION("""COMPUTED_VALUE"""),"Chahat.Patni@onixnet.com")</f>
        <v>Chahat.Patni@onixnet.com</v>
      </c>
      <c r="D276" s="4" t="str">
        <f>IFERROR(__xludf.DUMMYFUNCTION("""COMPUTED_VALUE"""),"Active")</f>
        <v>Active</v>
      </c>
      <c r="E276" s="4" t="str">
        <f>IFERROR(__xludf.DUMMYFUNCTION("""COMPUTED_VALUE"""),"Eagle Assessment")</f>
        <v>Eagle Assessment</v>
      </c>
      <c r="F276" s="4" t="str">
        <f>IFERROR(__xludf.DUMMYFUNCTION("""COMPUTED_VALUE"""),"Ashish Taman")</f>
        <v>Ashish Taman</v>
      </c>
      <c r="G276" s="4" t="str">
        <f>IFERROR(__xludf.DUMMYFUNCTION("""COMPUTED_VALUE"""),"Cluster - Kalpa")</f>
        <v>Cluster - Kalpa</v>
      </c>
      <c r="H276" s="4" t="str">
        <f>IFERROR(__xludf.DUMMYFUNCTION("""COMPUTED_VALUE"""),"DATCPZSY1")</f>
        <v>DATCPZSY1</v>
      </c>
      <c r="I276" s="5">
        <f>IFERROR(__xludf.DUMMYFUNCTION("""COMPUTED_VALUE"""),14.0)</f>
        <v>14</v>
      </c>
      <c r="J276" s="4" t="str">
        <f>IFERROR(__xludf.DUMMYFUNCTION("""COMPUTED_VALUE"""),"Tier 4")</f>
        <v>Tier 4</v>
      </c>
      <c r="K276" s="4" t="str">
        <f>IFERROR(__xludf.DUMMYFUNCTION("""COMPUTED_VALUE"""),"Active")</f>
        <v>Active</v>
      </c>
      <c r="L276" s="4" t="str">
        <f>IFERROR(__xludf.DUMMYFUNCTION("""COMPUTED_VALUE"""),"BigQuery")</f>
        <v>BigQuery</v>
      </c>
    </row>
    <row r="277">
      <c r="A277" s="4" t="str">
        <f>IFERROR(__xludf.DUMMYFUNCTION("""COMPUTED_VALUE"""),"DME1928")</f>
        <v>DME1928</v>
      </c>
      <c r="B277" s="4" t="str">
        <f>IFERROR(__xludf.DUMMYFUNCTION("""COMPUTED_VALUE"""),"Shantanu Charpe")</f>
        <v>Shantanu Charpe</v>
      </c>
      <c r="C277" s="4" t="str">
        <f>IFERROR(__xludf.DUMMYFUNCTION("""COMPUTED_VALUE"""),"Shantanu.Charpe@onixnet.com")</f>
        <v>Shantanu.Charpe@onixnet.com</v>
      </c>
      <c r="D277" s="4" t="str">
        <f>IFERROR(__xludf.DUMMYFUNCTION("""COMPUTED_VALUE"""),"Active")</f>
        <v>Active</v>
      </c>
      <c r="E277" s="4" t="str">
        <f>IFERROR(__xludf.DUMMYFUNCTION("""COMPUTED_VALUE"""),"Product Engineering")</f>
        <v>Product Engineering</v>
      </c>
      <c r="F277" s="4" t="str">
        <f>IFERROR(__xludf.DUMMYFUNCTION("""COMPUTED_VALUE"""),"Anand Sharma")</f>
        <v>Anand Sharma</v>
      </c>
      <c r="G277" s="4" t="str">
        <f>IFERROR(__xludf.DUMMYFUNCTION("""COMPUTED_VALUE"""),"Cluster - Mayur")</f>
        <v>Cluster - Mayur</v>
      </c>
      <c r="H277" s="4"/>
      <c r="I277" s="5"/>
      <c r="J277" s="4"/>
      <c r="K277" s="4" t="str">
        <f>IFERROR(__xludf.DUMMYFUNCTION("""COMPUTED_VALUE"""),"ID Not Created")</f>
        <v>ID Not Created</v>
      </c>
      <c r="L277" s="4"/>
    </row>
    <row r="278">
      <c r="A278" s="4" t="str">
        <f>IFERROR(__xludf.DUMMYFUNCTION("""COMPUTED_VALUE"""),"DME1968")</f>
        <v>DME1968</v>
      </c>
      <c r="B278" s="4" t="str">
        <f>IFERROR(__xludf.DUMMYFUNCTION("""COMPUTED_VALUE"""),"Sushant Maruti Desai")</f>
        <v>Sushant Maruti Desai</v>
      </c>
      <c r="C278" s="4" t="str">
        <f>IFERROR(__xludf.DUMMYFUNCTION("""COMPUTED_VALUE"""),"sushant.desai@onixnet.com")</f>
        <v>sushant.desai@onixnet.com</v>
      </c>
      <c r="D278" s="4" t="str">
        <f>IFERROR(__xludf.DUMMYFUNCTION("""COMPUTED_VALUE"""),"Active")</f>
        <v>Active</v>
      </c>
      <c r="E278" s="4" t="str">
        <f>IFERROR(__xludf.DUMMYFUNCTION("""COMPUTED_VALUE"""),"Delivery Services")</f>
        <v>Delivery Services</v>
      </c>
      <c r="F278" s="4" t="str">
        <f>IFERROR(__xludf.DUMMYFUNCTION("""COMPUTED_VALUE"""),"Aarti Borhade")</f>
        <v>Aarti Borhade</v>
      </c>
      <c r="G278" s="4" t="str">
        <f>IFERROR(__xludf.DUMMYFUNCTION("""COMPUTED_VALUE"""),"Cluster - Sagar")</f>
        <v>Cluster - Sagar</v>
      </c>
      <c r="H278" s="4" t="str">
        <f>IFERROR(__xludf.DUMMYFUNCTION("""COMPUTED_VALUE"""),"DATSDVHM2")</f>
        <v>DATSDVHM2</v>
      </c>
      <c r="I278" s="5">
        <f>IFERROR(__xludf.DUMMYFUNCTION("""COMPUTED_VALUE"""),27.0)</f>
        <v>27</v>
      </c>
      <c r="J278" s="4" t="str">
        <f>IFERROR(__xludf.DUMMYFUNCTION("""COMPUTED_VALUE"""),"Tier 3")</f>
        <v>Tier 3</v>
      </c>
      <c r="K278" s="4" t="str">
        <f>IFERROR(__xludf.DUMMYFUNCTION("""COMPUTED_VALUE"""),"Active")</f>
        <v>Active</v>
      </c>
      <c r="L278" s="4" t="str">
        <f>IFERROR(__xludf.DUMMYFUNCTION("""COMPUTED_VALUE"""),"BigQuery")</f>
        <v>BigQuery</v>
      </c>
    </row>
    <row r="279">
      <c r="A279" s="4" t="str">
        <f>IFERROR(__xludf.DUMMYFUNCTION("""COMPUTED_VALUE"""),"DME1960")</f>
        <v>DME1960</v>
      </c>
      <c r="B279" s="4" t="str">
        <f>IFERROR(__xludf.DUMMYFUNCTION("""COMPUTED_VALUE"""),"Sachin Basavraj Sutar")</f>
        <v>Sachin Basavraj Sutar</v>
      </c>
      <c r="C279" s="4" t="str">
        <f>IFERROR(__xludf.DUMMYFUNCTION("""COMPUTED_VALUE"""),"sachin.sutar@onixnet.com")</f>
        <v>sachin.sutar@onixnet.com</v>
      </c>
      <c r="D279" s="4" t="str">
        <f>IFERROR(__xludf.DUMMYFUNCTION("""COMPUTED_VALUE"""),"Active")</f>
        <v>Active</v>
      </c>
      <c r="E279" s="4" t="str">
        <f>IFERROR(__xludf.DUMMYFUNCTION("""COMPUTED_VALUE"""),"Delivery Services")</f>
        <v>Delivery Services</v>
      </c>
      <c r="F279" s="4" t="str">
        <f>IFERROR(__xludf.DUMMYFUNCTION("""COMPUTED_VALUE"""),"Gaurav Rajpal")</f>
        <v>Gaurav Rajpal</v>
      </c>
      <c r="G279" s="4" t="str">
        <f>IFERROR(__xludf.DUMMYFUNCTION("""COMPUTED_VALUE"""),"Cluster - Sagar")</f>
        <v>Cluster - Sagar</v>
      </c>
      <c r="H279" s="4" t="str">
        <f>IFERROR(__xludf.DUMMYFUNCTION("""COMPUTED_VALUE"""),"ONISSYSE7")</f>
        <v>ONISSYSE7</v>
      </c>
      <c r="I279" s="5">
        <f>IFERROR(__xludf.DUMMYFUNCTION("""COMPUTED_VALUE"""),15.0)</f>
        <v>15</v>
      </c>
      <c r="J279" s="4" t="str">
        <f>IFERROR(__xludf.DUMMYFUNCTION("""COMPUTED_VALUE"""),"Tier 4")</f>
        <v>Tier 4</v>
      </c>
      <c r="K279" s="4" t="str">
        <f>IFERROR(__xludf.DUMMYFUNCTION("""COMPUTED_VALUE"""),"Active")</f>
        <v>Active</v>
      </c>
      <c r="L279" s="4" t="str">
        <f>IFERROR(__xludf.DUMMYFUNCTION("""COMPUTED_VALUE"""),"AI Applications")</f>
        <v>AI Applications</v>
      </c>
    </row>
    <row r="280">
      <c r="A280" s="4" t="str">
        <f>IFERROR(__xludf.DUMMYFUNCTION("""COMPUTED_VALUE"""),"DME1954")</f>
        <v>DME1954</v>
      </c>
      <c r="B280" s="4" t="str">
        <f>IFERROR(__xludf.DUMMYFUNCTION("""COMPUTED_VALUE"""),"Vishal Shinde")</f>
        <v>Vishal Shinde</v>
      </c>
      <c r="C280" s="4" t="str">
        <f>IFERROR(__xludf.DUMMYFUNCTION("""COMPUTED_VALUE"""),"vishal.shinde@onixnet.com")</f>
        <v>vishal.shinde@onixnet.com</v>
      </c>
      <c r="D280" s="4" t="str">
        <f>IFERROR(__xludf.DUMMYFUNCTION("""COMPUTED_VALUE"""),"Active")</f>
        <v>Active</v>
      </c>
      <c r="E280" s="4" t="str">
        <f>IFERROR(__xludf.DUMMYFUNCTION("""COMPUTED_VALUE"""),"Delivery Services")</f>
        <v>Delivery Services</v>
      </c>
      <c r="F280" s="4" t="str">
        <f>IFERROR(__xludf.DUMMYFUNCTION("""COMPUTED_VALUE"""),"Anubhav Sharma")</f>
        <v>Anubhav Sharma</v>
      </c>
      <c r="G280" s="4" t="str">
        <f>IFERROR(__xludf.DUMMYFUNCTION("""COMPUTED_VALUE"""),"Cluster - Varun")</f>
        <v>Cluster - Varun</v>
      </c>
      <c r="H280" s="4" t="str">
        <f>IFERROR(__xludf.DUMMYFUNCTION("""COMPUTED_VALUE"""),"DATVSTHF1")</f>
        <v>DATVSTHF1</v>
      </c>
      <c r="I280" s="5">
        <f>IFERROR(__xludf.DUMMYFUNCTION("""COMPUTED_VALUE"""),54.0)</f>
        <v>54</v>
      </c>
      <c r="J280" s="4" t="str">
        <f>IFERROR(__xludf.DUMMYFUNCTION("""COMPUTED_VALUE"""),"Tier 1")</f>
        <v>Tier 1</v>
      </c>
      <c r="K280" s="4" t="str">
        <f>IFERROR(__xludf.DUMMYFUNCTION("""COMPUTED_VALUE"""),"Active")</f>
        <v>Active</v>
      </c>
      <c r="L280" s="4" t="str">
        <f>IFERROR(__xludf.DUMMYFUNCTION("""COMPUTED_VALUE"""),"Google Compute Engine")</f>
        <v>Google Compute Engine</v>
      </c>
    </row>
    <row r="281">
      <c r="A281" s="4" t="str">
        <f>IFERROR(__xludf.DUMMYFUNCTION("""COMPUTED_VALUE"""),"DME1952")</f>
        <v>DME1952</v>
      </c>
      <c r="B281" s="4" t="str">
        <f>IFERROR(__xludf.DUMMYFUNCTION("""COMPUTED_VALUE"""),"Pooja Sudam Mojad")</f>
        <v>Pooja Sudam Mojad</v>
      </c>
      <c r="C281" s="4" t="str">
        <f>IFERROR(__xludf.DUMMYFUNCTION("""COMPUTED_VALUE"""),"pooja.mojad@onixnet.com")</f>
        <v>pooja.mojad@onixnet.com</v>
      </c>
      <c r="D281" s="4" t="str">
        <f>IFERROR(__xludf.DUMMYFUNCTION("""COMPUTED_VALUE"""),"Active")</f>
        <v>Active</v>
      </c>
      <c r="E281" s="4" t="str">
        <f>IFERROR(__xludf.DUMMYFUNCTION("""COMPUTED_VALUE"""),"Delivery Services")</f>
        <v>Delivery Services</v>
      </c>
      <c r="F281" s="4" t="str">
        <f>IFERROR(__xludf.DUMMYFUNCTION("""COMPUTED_VALUE"""),"Akash Choudhari")</f>
        <v>Akash Choudhari</v>
      </c>
      <c r="G281" s="4" t="str">
        <f>IFERROR(__xludf.DUMMYFUNCTION("""COMPUTED_VALUE"""),"Cluster - Sandeep")</f>
        <v>Cluster - Sandeep</v>
      </c>
      <c r="H281" s="4" t="str">
        <f>IFERROR(__xludf.DUMMYFUNCTION("""COMPUTED_VALUE"""),"DATPMSTO0")</f>
        <v>DATPMSTO0</v>
      </c>
      <c r="I281" s="5">
        <f>IFERROR(__xludf.DUMMYFUNCTION("""COMPUTED_VALUE"""),19.0)</f>
        <v>19</v>
      </c>
      <c r="J281" s="4" t="str">
        <f>IFERROR(__xludf.DUMMYFUNCTION("""COMPUTED_VALUE"""),"Tier 4")</f>
        <v>Tier 4</v>
      </c>
      <c r="K281" s="4" t="str">
        <f>IFERROR(__xludf.DUMMYFUNCTION("""COMPUTED_VALUE"""),"Active")</f>
        <v>Active</v>
      </c>
      <c r="L281" s="4" t="str">
        <f>IFERROR(__xludf.DUMMYFUNCTION("""COMPUTED_VALUE"""),"AI Applications")</f>
        <v>AI Applications</v>
      </c>
    </row>
    <row r="282">
      <c r="A282" s="4" t="str">
        <f>IFERROR(__xludf.DUMMYFUNCTION("""COMPUTED_VALUE"""),"DME1951")</f>
        <v>DME1951</v>
      </c>
      <c r="B282" s="4" t="str">
        <f>IFERROR(__xludf.DUMMYFUNCTION("""COMPUTED_VALUE"""),"Abhilash Anil Shinde")</f>
        <v>Abhilash Anil Shinde</v>
      </c>
      <c r="C282" s="4" t="str">
        <f>IFERROR(__xludf.DUMMYFUNCTION("""COMPUTED_VALUE"""),"abhilash.shinde@onixnet.com")</f>
        <v>abhilash.shinde@onixnet.com</v>
      </c>
      <c r="D282" s="4" t="str">
        <f>IFERROR(__xludf.DUMMYFUNCTION("""COMPUTED_VALUE"""),"Active")</f>
        <v>Active</v>
      </c>
      <c r="E282" s="4" t="str">
        <f>IFERROR(__xludf.DUMMYFUNCTION("""COMPUTED_VALUE"""),"Delivery Services")</f>
        <v>Delivery Services</v>
      </c>
      <c r="F282" s="4" t="str">
        <f>IFERROR(__xludf.DUMMYFUNCTION("""COMPUTED_VALUE"""),"Rabindra Nayak")</f>
        <v>Rabindra Nayak</v>
      </c>
      <c r="G282" s="4" t="str">
        <f>IFERROR(__xludf.DUMMYFUNCTION("""COMPUTED_VALUE"""),"Cluster - Sagar")</f>
        <v>Cluster - Sagar</v>
      </c>
      <c r="H282" s="4" t="str">
        <f>IFERROR(__xludf.DUMMYFUNCTION("""COMPUTED_VALUE"""),"ONIASDQA3")</f>
        <v>ONIASDQA3</v>
      </c>
      <c r="I282" s="5">
        <f>IFERROR(__xludf.DUMMYFUNCTION("""COMPUTED_VALUE"""),28.0)</f>
        <v>28</v>
      </c>
      <c r="J282" s="4" t="str">
        <f>IFERROR(__xludf.DUMMYFUNCTION("""COMPUTED_VALUE"""),"Tier 3")</f>
        <v>Tier 3</v>
      </c>
      <c r="K282" s="4" t="str">
        <f>IFERROR(__xludf.DUMMYFUNCTION("""COMPUTED_VALUE"""),"Active")</f>
        <v>Active</v>
      </c>
      <c r="L282" s="4" t="str">
        <f>IFERROR(__xludf.DUMMYFUNCTION("""COMPUTED_VALUE"""),"BigQuery")</f>
        <v>BigQuery</v>
      </c>
    </row>
    <row r="283">
      <c r="A283" s="4" t="str">
        <f>IFERROR(__xludf.DUMMYFUNCTION("""COMPUTED_VALUE"""),"DME1947")</f>
        <v>DME1947</v>
      </c>
      <c r="B283" s="4" t="str">
        <f>IFERROR(__xludf.DUMMYFUNCTION("""COMPUTED_VALUE"""),"Vivek Sonara")</f>
        <v>Vivek Sonara</v>
      </c>
      <c r="C283" s="4" t="str">
        <f>IFERROR(__xludf.DUMMYFUNCTION("""COMPUTED_VALUE"""),"vivek.sonara@onixnet.com")</f>
        <v>vivek.sonara@onixnet.com</v>
      </c>
      <c r="D283" s="4" t="str">
        <f>IFERROR(__xludf.DUMMYFUNCTION("""COMPUTED_VALUE"""),"Active")</f>
        <v>Active</v>
      </c>
      <c r="E283" s="4" t="str">
        <f>IFERROR(__xludf.DUMMYFUNCTION("""COMPUTED_VALUE"""),"Product Engineering")</f>
        <v>Product Engineering</v>
      </c>
      <c r="F283" s="4" t="str">
        <f>IFERROR(__xludf.DUMMYFUNCTION("""COMPUTED_VALUE"""),"Laxmikant Chavan")</f>
        <v>Laxmikant Chavan</v>
      </c>
      <c r="G283" s="4" t="str">
        <f>IFERROR(__xludf.DUMMYFUNCTION("""COMPUTED_VALUE"""),"Cluster - Mayur")</f>
        <v>Cluster - Mayur</v>
      </c>
      <c r="H283" s="4" t="str">
        <f>IFERROR(__xludf.DUMMYFUNCTION("""COMPUTED_VALUE"""),"DATVSWH20")</f>
        <v>DATVSWH20</v>
      </c>
      <c r="I283" s="5">
        <f>IFERROR(__xludf.DUMMYFUNCTION("""COMPUTED_VALUE"""),26.0)</f>
        <v>26</v>
      </c>
      <c r="J283" s="4" t="str">
        <f>IFERROR(__xludf.DUMMYFUNCTION("""COMPUTED_VALUE"""),"Tier 3")</f>
        <v>Tier 3</v>
      </c>
      <c r="K283" s="4" t="str">
        <f>IFERROR(__xludf.DUMMYFUNCTION("""COMPUTED_VALUE"""),"Active")</f>
        <v>Active</v>
      </c>
      <c r="L283" s="4" t="str">
        <f>IFERROR(__xludf.DUMMYFUNCTION("""COMPUTED_VALUE"""),"BigQuery")</f>
        <v>BigQuery</v>
      </c>
    </row>
    <row r="284">
      <c r="A284" s="4" t="str">
        <f>IFERROR(__xludf.DUMMYFUNCTION("""COMPUTED_VALUE"""),"DME1936")</f>
        <v>DME1936</v>
      </c>
      <c r="B284" s="4" t="str">
        <f>IFERROR(__xludf.DUMMYFUNCTION("""COMPUTED_VALUE"""),"Sandeep Kumar")</f>
        <v>Sandeep Kumar</v>
      </c>
      <c r="C284" s="4" t="str">
        <f>IFERROR(__xludf.DUMMYFUNCTION("""COMPUTED_VALUE"""),"Sandeep.Kumar@onixnet.com")</f>
        <v>Sandeep.Kumar@onixnet.com</v>
      </c>
      <c r="D284" s="4" t="str">
        <f>IFERROR(__xludf.DUMMYFUNCTION("""COMPUTED_VALUE"""),"Active")</f>
        <v>Active</v>
      </c>
      <c r="E284" s="4" t="str">
        <f>IFERROR(__xludf.DUMMYFUNCTION("""COMPUTED_VALUE"""),"Delivery Services")</f>
        <v>Delivery Services</v>
      </c>
      <c r="F284" s="4" t="str">
        <f>IFERROR(__xludf.DUMMYFUNCTION("""COMPUTED_VALUE"""),"Gaurav Bharara")</f>
        <v>Gaurav Bharara</v>
      </c>
      <c r="G284" s="4" t="str">
        <f>IFERROR(__xludf.DUMMYFUNCTION("""COMPUTED_VALUE"""),"Cluster - Sandeep")</f>
        <v>Cluster - Sandeep</v>
      </c>
      <c r="H284" s="4" t="str">
        <f>IFERROR(__xludf.DUMMYFUNCTION("""COMPUTED_VALUE"""),"DATSKWYO0")</f>
        <v>DATSKWYO0</v>
      </c>
      <c r="I284" s="5">
        <f>IFERROR(__xludf.DUMMYFUNCTION("""COMPUTED_VALUE"""),19.0)</f>
        <v>19</v>
      </c>
      <c r="J284" s="4" t="str">
        <f>IFERROR(__xludf.DUMMYFUNCTION("""COMPUTED_VALUE"""),"Tier 4")</f>
        <v>Tier 4</v>
      </c>
      <c r="K284" s="4" t="str">
        <f>IFERROR(__xludf.DUMMYFUNCTION("""COMPUTED_VALUE"""),"Active")</f>
        <v>Active</v>
      </c>
      <c r="L284" s="4" t="str">
        <f>IFERROR(__xludf.DUMMYFUNCTION("""COMPUTED_VALUE"""),"BigQuery")</f>
        <v>BigQuery</v>
      </c>
    </row>
    <row r="285">
      <c r="A285" s="4" t="str">
        <f>IFERROR(__xludf.DUMMYFUNCTION("""COMPUTED_VALUE"""),"DME1935")</f>
        <v>DME1935</v>
      </c>
      <c r="B285" s="4" t="str">
        <f>IFERROR(__xludf.DUMMYFUNCTION("""COMPUTED_VALUE"""),"Shubham Gupta")</f>
        <v>Shubham Gupta</v>
      </c>
      <c r="C285" s="4" t="str">
        <f>IFERROR(__xludf.DUMMYFUNCTION("""COMPUTED_VALUE"""),"Shubham.Gupta@onixnet.com")</f>
        <v>Shubham.Gupta@onixnet.com</v>
      </c>
      <c r="D285" s="4" t="str">
        <f>IFERROR(__xludf.DUMMYFUNCTION("""COMPUTED_VALUE"""),"Active")</f>
        <v>Active</v>
      </c>
      <c r="E285" s="4" t="str">
        <f>IFERROR(__xludf.DUMMYFUNCTION("""COMPUTED_VALUE"""),"Product Engineering")</f>
        <v>Product Engineering</v>
      </c>
      <c r="F285" s="4" t="str">
        <f>IFERROR(__xludf.DUMMYFUNCTION("""COMPUTED_VALUE"""),"Anand Sharma")</f>
        <v>Anand Sharma</v>
      </c>
      <c r="G285" s="4" t="str">
        <f>IFERROR(__xludf.DUMMYFUNCTION("""COMPUTED_VALUE"""),"Cluster - Mayur")</f>
        <v>Cluster - Mayur</v>
      </c>
      <c r="H285" s="4" t="str">
        <f>IFERROR(__xludf.DUMMYFUNCTION("""COMPUTED_VALUE"""),"ONISGNPG5")</f>
        <v>ONISGNPG5</v>
      </c>
      <c r="I285" s="5">
        <f>IFERROR(__xludf.DUMMYFUNCTION("""COMPUTED_VALUE"""),0.0)</f>
        <v>0</v>
      </c>
      <c r="J285" s="4" t="str">
        <f>IFERROR(__xludf.DUMMYFUNCTION("""COMPUTED_VALUE"""),"Tier 4")</f>
        <v>Tier 4</v>
      </c>
      <c r="K285" s="4" t="str">
        <f>IFERROR(__xludf.DUMMYFUNCTION("""COMPUTED_VALUE"""),"ID Created DRP score 0")</f>
        <v>ID Created DRP score 0</v>
      </c>
      <c r="L285" s="4"/>
    </row>
    <row r="286">
      <c r="A286" s="4" t="str">
        <f>IFERROR(__xludf.DUMMYFUNCTION("""COMPUTED_VALUE"""),"DME1932")</f>
        <v>DME1932</v>
      </c>
      <c r="B286" s="4" t="str">
        <f>IFERROR(__xludf.DUMMYFUNCTION("""COMPUTED_VALUE"""),"Vishvajit Krishnat Bhusari")</f>
        <v>Vishvajit Krishnat Bhusari</v>
      </c>
      <c r="C286" s="4" t="str">
        <f>IFERROR(__xludf.DUMMYFUNCTION("""COMPUTED_VALUE"""),"Vishvajit.Bhusari@onixnet.com")</f>
        <v>Vishvajit.Bhusari@onixnet.com</v>
      </c>
      <c r="D286" s="4" t="str">
        <f>IFERROR(__xludf.DUMMYFUNCTION("""COMPUTED_VALUE"""),"Active")</f>
        <v>Active</v>
      </c>
      <c r="E286" s="4" t="str">
        <f>IFERROR(__xludf.DUMMYFUNCTION("""COMPUTED_VALUE"""),"Eagle Assessment")</f>
        <v>Eagle Assessment</v>
      </c>
      <c r="F286" s="4" t="str">
        <f>IFERROR(__xludf.DUMMYFUNCTION("""COMPUTED_VALUE"""),"Chahat Patni")</f>
        <v>Chahat Patni</v>
      </c>
      <c r="G286" s="4" t="str">
        <f>IFERROR(__xludf.DUMMYFUNCTION("""COMPUTED_VALUE"""),"Cluster - Kalpa")</f>
        <v>Cluster - Kalpa</v>
      </c>
      <c r="H286" s="4" t="str">
        <f>IFERROR(__xludf.DUMMYFUNCTION("""COMPUTED_VALUE"""),"DATVBGQB8")</f>
        <v>DATVBGQB8</v>
      </c>
      <c r="I286" s="5">
        <f>IFERROR(__xludf.DUMMYFUNCTION("""COMPUTED_VALUE"""),37.0)</f>
        <v>37</v>
      </c>
      <c r="J286" s="4" t="str">
        <f>IFERROR(__xludf.DUMMYFUNCTION("""COMPUTED_VALUE"""),"Tier 2")</f>
        <v>Tier 2</v>
      </c>
      <c r="K286" s="4" t="str">
        <f>IFERROR(__xludf.DUMMYFUNCTION("""COMPUTED_VALUE"""),"Active")</f>
        <v>Active</v>
      </c>
      <c r="L286" s="4" t="str">
        <f>IFERROR(__xludf.DUMMYFUNCTION("""COMPUTED_VALUE"""),"BigQuery")</f>
        <v>BigQuery</v>
      </c>
    </row>
    <row r="287">
      <c r="A287" s="4" t="str">
        <f>IFERROR(__xludf.DUMMYFUNCTION("""COMPUTED_VALUE"""),"DME1931")</f>
        <v>DME1931</v>
      </c>
      <c r="B287" s="4" t="str">
        <f>IFERROR(__xludf.DUMMYFUNCTION("""COMPUTED_VALUE"""),"Vijay Dalpatram Jogi")</f>
        <v>Vijay Dalpatram Jogi</v>
      </c>
      <c r="C287" s="4" t="str">
        <f>IFERROR(__xludf.DUMMYFUNCTION("""COMPUTED_VALUE"""),"vijay.jogi@onixnet.com")</f>
        <v>vijay.jogi@onixnet.com</v>
      </c>
      <c r="D287" s="4" t="str">
        <f>IFERROR(__xludf.DUMMYFUNCTION("""COMPUTED_VALUE"""),"Active")</f>
        <v>Active</v>
      </c>
      <c r="E287" s="4" t="str">
        <f>IFERROR(__xludf.DUMMYFUNCTION("""COMPUTED_VALUE"""),"Product Engineering")</f>
        <v>Product Engineering</v>
      </c>
      <c r="F287" s="4" t="str">
        <f>IFERROR(__xludf.DUMMYFUNCTION("""COMPUTED_VALUE"""),"Anand Sharma")</f>
        <v>Anand Sharma</v>
      </c>
      <c r="G287" s="4" t="str">
        <f>IFERROR(__xludf.DUMMYFUNCTION("""COMPUTED_VALUE"""),"Cluster - Mayur")</f>
        <v>Cluster - Mayur</v>
      </c>
      <c r="H287" s="4" t="str">
        <f>IFERROR(__xludf.DUMMYFUNCTION("""COMPUTED_VALUE"""),"ONIVJMMM8")</f>
        <v>ONIVJMMM8</v>
      </c>
      <c r="I287" s="5">
        <f>IFERROR(__xludf.DUMMYFUNCTION("""COMPUTED_VALUE"""),0.0)</f>
        <v>0</v>
      </c>
      <c r="J287" s="4" t="str">
        <f>IFERROR(__xludf.DUMMYFUNCTION("""COMPUTED_VALUE"""),"Tier 4")</f>
        <v>Tier 4</v>
      </c>
      <c r="K287" s="4" t="str">
        <f>IFERROR(__xludf.DUMMYFUNCTION("""COMPUTED_VALUE"""),"ID Created DRP score 0")</f>
        <v>ID Created DRP score 0</v>
      </c>
      <c r="L287" s="4"/>
    </row>
    <row r="288">
      <c r="A288" s="4" t="str">
        <f>IFERROR(__xludf.DUMMYFUNCTION("""COMPUTED_VALUE"""),"DME1966")</f>
        <v>DME1966</v>
      </c>
      <c r="B288" s="4" t="str">
        <f>IFERROR(__xludf.DUMMYFUNCTION("""COMPUTED_VALUE"""),"Tanuja Suryabhan Bhusal")</f>
        <v>Tanuja Suryabhan Bhusal</v>
      </c>
      <c r="C288" s="4" t="str">
        <f>IFERROR(__xludf.DUMMYFUNCTION("""COMPUTED_VALUE"""),"Tanuja.Bhusal@onixnet.com")</f>
        <v>Tanuja.Bhusal@onixnet.com</v>
      </c>
      <c r="D288" s="4" t="str">
        <f>IFERROR(__xludf.DUMMYFUNCTION("""COMPUTED_VALUE"""),"Active")</f>
        <v>Active</v>
      </c>
      <c r="E288" s="4" t="str">
        <f>IFERROR(__xludf.DUMMYFUNCTION("""COMPUTED_VALUE"""),"Product Engineering")</f>
        <v>Product Engineering</v>
      </c>
      <c r="F288" s="4" t="str">
        <f>IFERROR(__xludf.DUMMYFUNCTION("""COMPUTED_VALUE"""),"Harshit Soni")</f>
        <v>Harshit Soni</v>
      </c>
      <c r="G288" s="4" t="str">
        <f>IFERROR(__xludf.DUMMYFUNCTION("""COMPUTED_VALUE"""),"Cluster - Mayur")</f>
        <v>Cluster - Mayur</v>
      </c>
      <c r="H288" s="4" t="str">
        <f>IFERROR(__xludf.DUMMYFUNCTION("""COMPUTED_VALUE"""),"ONITBRFC4")</f>
        <v>ONITBRFC4</v>
      </c>
      <c r="I288" s="5">
        <f>IFERROR(__xludf.DUMMYFUNCTION("""COMPUTED_VALUE"""),10.0)</f>
        <v>10</v>
      </c>
      <c r="J288" s="4" t="str">
        <f>IFERROR(__xludf.DUMMYFUNCTION("""COMPUTED_VALUE"""),"Tier 4")</f>
        <v>Tier 4</v>
      </c>
      <c r="K288" s="4" t="str">
        <f>IFERROR(__xludf.DUMMYFUNCTION("""COMPUTED_VALUE"""),"Active")</f>
        <v>Active</v>
      </c>
      <c r="L288" s="4" t="str">
        <f>IFERROR(__xludf.DUMMYFUNCTION("""COMPUTED_VALUE"""),"Cloud SQL")</f>
        <v>Cloud SQL</v>
      </c>
    </row>
    <row r="289">
      <c r="A289" s="4" t="str">
        <f>IFERROR(__xludf.DUMMYFUNCTION("""COMPUTED_VALUE"""),"DME1972")</f>
        <v>DME1972</v>
      </c>
      <c r="B289" s="4" t="str">
        <f>IFERROR(__xludf.DUMMYFUNCTION("""COMPUTED_VALUE"""),"Rajik Dilip Tadvi")</f>
        <v>Rajik Dilip Tadvi</v>
      </c>
      <c r="C289" s="4" t="str">
        <f>IFERROR(__xludf.DUMMYFUNCTION("""COMPUTED_VALUE"""),"Rajik.Tadvi@onixnet.com")</f>
        <v>Rajik.Tadvi@onixnet.com</v>
      </c>
      <c r="D289" s="4" t="str">
        <f>IFERROR(__xludf.DUMMYFUNCTION("""COMPUTED_VALUE"""),"Active")</f>
        <v>Active</v>
      </c>
      <c r="E289" s="4" t="str">
        <f>IFERROR(__xludf.DUMMYFUNCTION("""COMPUTED_VALUE"""),"Product Engineering")</f>
        <v>Product Engineering</v>
      </c>
      <c r="F289" s="4" t="str">
        <f>IFERROR(__xludf.DUMMYFUNCTION("""COMPUTED_VALUE"""),"Sachin Sakle")</f>
        <v>Sachin Sakle</v>
      </c>
      <c r="G289" s="4" t="str">
        <f>IFERROR(__xludf.DUMMYFUNCTION("""COMPUTED_VALUE"""),"Cluster - Mayur")</f>
        <v>Cluster - Mayur</v>
      </c>
      <c r="H289" s="4" t="str">
        <f>IFERROR(__xludf.DUMMYFUNCTION("""COMPUTED_VALUE"""),"DATRTOPJ0")</f>
        <v>DATRTOPJ0</v>
      </c>
      <c r="I289" s="5">
        <f>IFERROR(__xludf.DUMMYFUNCTION("""COMPUTED_VALUE"""),28.0)</f>
        <v>28</v>
      </c>
      <c r="J289" s="4" t="str">
        <f>IFERROR(__xludf.DUMMYFUNCTION("""COMPUTED_VALUE"""),"Tier 3")</f>
        <v>Tier 3</v>
      </c>
      <c r="K289" s="4" t="str">
        <f>IFERROR(__xludf.DUMMYFUNCTION("""COMPUTED_VALUE"""),"Active")</f>
        <v>Active</v>
      </c>
      <c r="L289" s="4" t="str">
        <f>IFERROR(__xludf.DUMMYFUNCTION("""COMPUTED_VALUE"""),"BigQuery")</f>
        <v>BigQuery</v>
      </c>
    </row>
    <row r="290">
      <c r="A290" s="4" t="str">
        <f>IFERROR(__xludf.DUMMYFUNCTION("""COMPUTED_VALUE"""),"DME1971")</f>
        <v>DME1971</v>
      </c>
      <c r="B290" s="4" t="str">
        <f>IFERROR(__xludf.DUMMYFUNCTION("""COMPUTED_VALUE"""),"Kiran Pandurang Rathod")</f>
        <v>Kiran Pandurang Rathod</v>
      </c>
      <c r="C290" s="4" t="str">
        <f>IFERROR(__xludf.DUMMYFUNCTION("""COMPUTED_VALUE"""),"Kiran.rathod@onixnet.com")</f>
        <v>Kiran.rathod@onixnet.com</v>
      </c>
      <c r="D290" s="4" t="str">
        <f>IFERROR(__xludf.DUMMYFUNCTION("""COMPUTED_VALUE"""),"Active")</f>
        <v>Active</v>
      </c>
      <c r="E290" s="4" t="str">
        <f>IFERROR(__xludf.DUMMYFUNCTION("""COMPUTED_VALUE"""),"Delivery Services")</f>
        <v>Delivery Services</v>
      </c>
      <c r="F290" s="4" t="str">
        <f>IFERROR(__xludf.DUMMYFUNCTION("""COMPUTED_VALUE"""),"Pooja Chawda")</f>
        <v>Pooja Chawda</v>
      </c>
      <c r="G290" s="4" t="str">
        <f>IFERROR(__xludf.DUMMYFUNCTION("""COMPUTED_VALUE"""),"Cluster - Sandeep")</f>
        <v>Cluster - Sandeep</v>
      </c>
      <c r="H290" s="4" t="str">
        <f>IFERROR(__xludf.DUMMYFUNCTION("""COMPUTED_VALUE"""),"ONIKRMLK0")</f>
        <v>ONIKRMLK0</v>
      </c>
      <c r="I290" s="5">
        <f>IFERROR(__xludf.DUMMYFUNCTION("""COMPUTED_VALUE"""),10.0)</f>
        <v>10</v>
      </c>
      <c r="J290" s="4" t="str">
        <f>IFERROR(__xludf.DUMMYFUNCTION("""COMPUTED_VALUE"""),"Tier 4")</f>
        <v>Tier 4</v>
      </c>
      <c r="K290" s="4" t="str">
        <f>IFERROR(__xludf.DUMMYFUNCTION("""COMPUTED_VALUE"""),"Active")</f>
        <v>Active</v>
      </c>
      <c r="L290" s="4" t="str">
        <f>IFERROR(__xludf.DUMMYFUNCTION("""COMPUTED_VALUE"""),"BigQuery")</f>
        <v>BigQuery</v>
      </c>
    </row>
    <row r="291">
      <c r="A291" s="4" t="str">
        <f>IFERROR(__xludf.DUMMYFUNCTION("""COMPUTED_VALUE"""),"DME1974")</f>
        <v>DME1974</v>
      </c>
      <c r="B291" s="4" t="str">
        <f>IFERROR(__xludf.DUMMYFUNCTION("""COMPUTED_VALUE"""),"Abhishek Omprakash Singh")</f>
        <v>Abhishek Omprakash Singh</v>
      </c>
      <c r="C291" s="4" t="str">
        <f>IFERROR(__xludf.DUMMYFUNCTION("""COMPUTED_VALUE"""),"Abhishek.Singh@onixnet.com")</f>
        <v>Abhishek.Singh@onixnet.com</v>
      </c>
      <c r="D291" s="4" t="str">
        <f>IFERROR(__xludf.DUMMYFUNCTION("""COMPUTED_VALUE"""),"Active")</f>
        <v>Active</v>
      </c>
      <c r="E291" s="4" t="str">
        <f>IFERROR(__xludf.DUMMYFUNCTION("""COMPUTED_VALUE"""),"Eagle Assessment")</f>
        <v>Eagle Assessment</v>
      </c>
      <c r="F291" s="4" t="str">
        <f>IFERROR(__xludf.DUMMYFUNCTION("""COMPUTED_VALUE"""),"Vinod Ghogare")</f>
        <v>Vinod Ghogare</v>
      </c>
      <c r="G291" s="4" t="str">
        <f>IFERROR(__xludf.DUMMYFUNCTION("""COMPUTED_VALUE"""),"Cluster - Kalpa")</f>
        <v>Cluster - Kalpa</v>
      </c>
      <c r="H291" s="4" t="str">
        <f>IFERROR(__xludf.DUMMYFUNCTION("""COMPUTED_VALUE"""),"DATASRPR3")</f>
        <v>DATASRPR3</v>
      </c>
      <c r="I291" s="5">
        <f>IFERROR(__xludf.DUMMYFUNCTION("""COMPUTED_VALUE"""),24.0)</f>
        <v>24</v>
      </c>
      <c r="J291" s="4" t="str">
        <f>IFERROR(__xludf.DUMMYFUNCTION("""COMPUTED_VALUE"""),"Tier 3")</f>
        <v>Tier 3</v>
      </c>
      <c r="K291" s="4" t="str">
        <f>IFERROR(__xludf.DUMMYFUNCTION("""COMPUTED_VALUE"""),"Active")</f>
        <v>Active</v>
      </c>
      <c r="L291" s="4" t="str">
        <f>IFERROR(__xludf.DUMMYFUNCTION("""COMPUTED_VALUE"""),"GECX - CX Agent Studio")</f>
        <v>GECX - CX Agent Studio</v>
      </c>
    </row>
    <row r="292">
      <c r="A292" s="4" t="str">
        <f>IFERROR(__xludf.DUMMYFUNCTION("""COMPUTED_VALUE"""),"DME2096")</f>
        <v>DME2096</v>
      </c>
      <c r="B292" s="4" t="str">
        <f>IFERROR(__xludf.DUMMYFUNCTION("""COMPUTED_VALUE"""),"Abhijit Mahajan")</f>
        <v>Abhijit Mahajan</v>
      </c>
      <c r="C292" s="4" t="str">
        <f>IFERROR(__xludf.DUMMYFUNCTION("""COMPUTED_VALUE"""),"abhijit.mahajan@onixnet.com")</f>
        <v>abhijit.mahajan@onixnet.com</v>
      </c>
      <c r="D292" s="4" t="str">
        <f>IFERROR(__xludf.DUMMYFUNCTION("""COMPUTED_VALUE"""),"Active")</f>
        <v>Active</v>
      </c>
      <c r="E292" s="4" t="str">
        <f>IFERROR(__xludf.DUMMYFUNCTION("""COMPUTED_VALUE"""),"Delivery Services")</f>
        <v>Delivery Services</v>
      </c>
      <c r="F292" s="4" t="str">
        <f>IFERROR(__xludf.DUMMYFUNCTION("""COMPUTED_VALUE"""),"Lalit Sakure")</f>
        <v>Lalit Sakure</v>
      </c>
      <c r="G292" s="4" t="str">
        <f>IFERROR(__xludf.DUMMYFUNCTION("""COMPUTED_VALUE"""),"Cluster - Gaurav")</f>
        <v>Cluster - Gaurav</v>
      </c>
      <c r="H292" s="4" t="str">
        <f>IFERROR(__xludf.DUMMYFUNCTION("""COMPUTED_VALUE"""),"ONIAMIYJ3")</f>
        <v>ONIAMIYJ3</v>
      </c>
      <c r="I292" s="5">
        <f>IFERROR(__xludf.DUMMYFUNCTION("""COMPUTED_VALUE"""),45.0)</f>
        <v>45</v>
      </c>
      <c r="J292" s="4" t="str">
        <f>IFERROR(__xludf.DUMMYFUNCTION("""COMPUTED_VALUE"""),"Tier 2")</f>
        <v>Tier 2</v>
      </c>
      <c r="K292" s="4" t="str">
        <f>IFERROR(__xludf.DUMMYFUNCTION("""COMPUTED_VALUE"""),"Active")</f>
        <v>Active</v>
      </c>
      <c r="L292" s="4" t="str">
        <f>IFERROR(__xludf.DUMMYFUNCTION("""COMPUTED_VALUE"""),"Gemini Enterprise Agent Platform")</f>
        <v>Gemini Enterprise Agent Platform</v>
      </c>
    </row>
    <row r="293">
      <c r="A293" s="4" t="str">
        <f>IFERROR(__xludf.DUMMYFUNCTION("""COMPUTED_VALUE"""),"DME2087")</f>
        <v>DME2087</v>
      </c>
      <c r="B293" s="4" t="str">
        <f>IFERROR(__xludf.DUMMYFUNCTION("""COMPUTED_VALUE"""),"Arvindkumar Ramnivas Ram")</f>
        <v>Arvindkumar Ramnivas Ram</v>
      </c>
      <c r="C293" s="4" t="str">
        <f>IFERROR(__xludf.DUMMYFUNCTION("""COMPUTED_VALUE"""),"arvindkumar.ram@onixnet.com")</f>
        <v>arvindkumar.ram@onixnet.com</v>
      </c>
      <c r="D293" s="4" t="str">
        <f>IFERROR(__xludf.DUMMYFUNCTION("""COMPUTED_VALUE"""),"Active")</f>
        <v>Active</v>
      </c>
      <c r="E293" s="4" t="str">
        <f>IFERROR(__xludf.DUMMYFUNCTION("""COMPUTED_VALUE"""),"Eagle Assessment")</f>
        <v>Eagle Assessment</v>
      </c>
      <c r="F293" s="4" t="str">
        <f>IFERROR(__xludf.DUMMYFUNCTION("""COMPUTED_VALUE"""),"Lokesh Bhardwaj")</f>
        <v>Lokesh Bhardwaj</v>
      </c>
      <c r="G293" s="4" t="str">
        <f>IFERROR(__xludf.DUMMYFUNCTION("""COMPUTED_VALUE"""),"Cluster - Kalpa")</f>
        <v>Cluster - Kalpa</v>
      </c>
      <c r="H293" s="4" t="str">
        <f>IFERROR(__xludf.DUMMYFUNCTION("""COMPUTED_VALUE"""),"DATARXWL2")</f>
        <v>DATARXWL2</v>
      </c>
      <c r="I293" s="5">
        <f>IFERROR(__xludf.DUMMYFUNCTION("""COMPUTED_VALUE"""),21.0)</f>
        <v>21</v>
      </c>
      <c r="J293" s="4" t="str">
        <f>IFERROR(__xludf.DUMMYFUNCTION("""COMPUTED_VALUE"""),"Tier 3")</f>
        <v>Tier 3</v>
      </c>
      <c r="K293" s="4" t="str">
        <f>IFERROR(__xludf.DUMMYFUNCTION("""COMPUTED_VALUE"""),"Active")</f>
        <v>Active</v>
      </c>
      <c r="L293" s="4" t="str">
        <f>IFERROR(__xludf.DUMMYFUNCTION("""COMPUTED_VALUE"""),"GECX - CX Agent Studio")</f>
        <v>GECX - CX Agent Studio</v>
      </c>
    </row>
    <row r="294">
      <c r="A294" s="4" t="str">
        <f>IFERROR(__xludf.DUMMYFUNCTION("""COMPUTED_VALUE"""),"DME2086")</f>
        <v>DME2086</v>
      </c>
      <c r="B294" s="4" t="str">
        <f>IFERROR(__xludf.DUMMYFUNCTION("""COMPUTED_VALUE"""),"Akshay Bharat Tathe")</f>
        <v>Akshay Bharat Tathe</v>
      </c>
      <c r="C294" s="4" t="str">
        <f>IFERROR(__xludf.DUMMYFUNCTION("""COMPUTED_VALUE"""),"akshay.tathe@onixnet.com")</f>
        <v>akshay.tathe@onixnet.com</v>
      </c>
      <c r="D294" s="4" t="str">
        <f>IFERROR(__xludf.DUMMYFUNCTION("""COMPUTED_VALUE"""),"Active")</f>
        <v>Active</v>
      </c>
      <c r="E294" s="4" t="str">
        <f>IFERROR(__xludf.DUMMYFUNCTION("""COMPUTED_VALUE"""),"Delivery Services")</f>
        <v>Delivery Services</v>
      </c>
      <c r="F294" s="4" t="str">
        <f>IFERROR(__xludf.DUMMYFUNCTION("""COMPUTED_VALUE"""),"Suresh Shankar Rasal")</f>
        <v>Suresh Shankar Rasal</v>
      </c>
      <c r="G294" s="4" t="str">
        <f>IFERROR(__xludf.DUMMYFUNCTION("""COMPUTED_VALUE"""),"Cluster - Gaurav")</f>
        <v>Cluster - Gaurav</v>
      </c>
      <c r="H294" s="4" t="str">
        <f>IFERROR(__xludf.DUMMYFUNCTION("""COMPUTED_VALUE"""),"ONIATTIM7")</f>
        <v>ONIATTIM7</v>
      </c>
      <c r="I294" s="5">
        <f>IFERROR(__xludf.DUMMYFUNCTION("""COMPUTED_VALUE"""),29.0)</f>
        <v>29</v>
      </c>
      <c r="J294" s="4" t="str">
        <f>IFERROR(__xludf.DUMMYFUNCTION("""COMPUTED_VALUE"""),"Tier 3")</f>
        <v>Tier 3</v>
      </c>
      <c r="K294" s="4" t="str">
        <f>IFERROR(__xludf.DUMMYFUNCTION("""COMPUTED_VALUE"""),"Active")</f>
        <v>Active</v>
      </c>
      <c r="L294" s="4" t="str">
        <f>IFERROR(__xludf.DUMMYFUNCTION("""COMPUTED_VALUE"""),"BigQuery")</f>
        <v>BigQuery</v>
      </c>
    </row>
    <row r="295">
      <c r="A295" s="4" t="str">
        <f>IFERROR(__xludf.DUMMYFUNCTION("""COMPUTED_VALUE"""),"DME2084")</f>
        <v>DME2084</v>
      </c>
      <c r="B295" s="4" t="str">
        <f>IFERROR(__xludf.DUMMYFUNCTION("""COMPUTED_VALUE"""),"Vinay Rajendra Chaudhari")</f>
        <v>Vinay Rajendra Chaudhari</v>
      </c>
      <c r="C295" s="4" t="str">
        <f>IFERROR(__xludf.DUMMYFUNCTION("""COMPUTED_VALUE"""),"vinay.chaudhari@onixnet.com")</f>
        <v>vinay.chaudhari@onixnet.com</v>
      </c>
      <c r="D295" s="4" t="str">
        <f>IFERROR(__xludf.DUMMYFUNCTION("""COMPUTED_VALUE"""),"Active")</f>
        <v>Active</v>
      </c>
      <c r="E295" s="4" t="str">
        <f>IFERROR(__xludf.DUMMYFUNCTION("""COMPUTED_VALUE"""),"Eagle Assessment")</f>
        <v>Eagle Assessment</v>
      </c>
      <c r="F295" s="4" t="str">
        <f>IFERROR(__xludf.DUMMYFUNCTION("""COMPUTED_VALUE"""),"Ankit Khandelwal")</f>
        <v>Ankit Khandelwal</v>
      </c>
      <c r="G295" s="4" t="str">
        <f>IFERROR(__xludf.DUMMYFUNCTION("""COMPUTED_VALUE"""),"Cluster - Kalpa")</f>
        <v>Cluster - Kalpa</v>
      </c>
      <c r="H295" s="4" t="str">
        <f>IFERROR(__xludf.DUMMYFUNCTION("""COMPUTED_VALUE"""),"DATVCRHX9")</f>
        <v>DATVCRHX9</v>
      </c>
      <c r="I295" s="5">
        <f>IFERROR(__xludf.DUMMYFUNCTION("""COMPUTED_VALUE"""),16.0)</f>
        <v>16</v>
      </c>
      <c r="J295" s="4" t="str">
        <f>IFERROR(__xludf.DUMMYFUNCTION("""COMPUTED_VALUE"""),"Tier 4")</f>
        <v>Tier 4</v>
      </c>
      <c r="K295" s="4" t="str">
        <f>IFERROR(__xludf.DUMMYFUNCTION("""COMPUTED_VALUE"""),"Active")</f>
        <v>Active</v>
      </c>
      <c r="L295" s="4" t="str">
        <f>IFERROR(__xludf.DUMMYFUNCTION("""COMPUTED_VALUE"""),"BigQuery")</f>
        <v>BigQuery</v>
      </c>
    </row>
    <row r="296">
      <c r="A296" s="4" t="str">
        <f>IFERROR(__xludf.DUMMYFUNCTION("""COMPUTED_VALUE"""),"DME2071")</f>
        <v>DME2071</v>
      </c>
      <c r="B296" s="4" t="str">
        <f>IFERROR(__xludf.DUMMYFUNCTION("""COMPUTED_VALUE"""),"Prathamesh Badgujar")</f>
        <v>Prathamesh Badgujar</v>
      </c>
      <c r="C296" s="4" t="str">
        <f>IFERROR(__xludf.DUMMYFUNCTION("""COMPUTED_VALUE"""),"prathamesh.b@onixnet.com")</f>
        <v>prathamesh.b@onixnet.com</v>
      </c>
      <c r="D296" s="4" t="str">
        <f>IFERROR(__xludf.DUMMYFUNCTION("""COMPUTED_VALUE"""),"Active")</f>
        <v>Active</v>
      </c>
      <c r="E296" s="4" t="str">
        <f>IFERROR(__xludf.DUMMYFUNCTION("""COMPUTED_VALUE"""),"Product Engineering")</f>
        <v>Product Engineering</v>
      </c>
      <c r="F296" s="4" t="str">
        <f>IFERROR(__xludf.DUMMYFUNCTION("""COMPUTED_VALUE"""),"Sameer Sudhakar Mahabole")</f>
        <v>Sameer Sudhakar Mahabole</v>
      </c>
      <c r="G296" s="4" t="str">
        <f>IFERROR(__xludf.DUMMYFUNCTION("""COMPUTED_VALUE"""),"Cluster - Mayur")</f>
        <v>Cluster - Mayur</v>
      </c>
      <c r="H296" s="4" t="str">
        <f>IFERROR(__xludf.DUMMYFUNCTION("""COMPUTED_VALUE"""),"DATPBPJY1")</f>
        <v>DATPBPJY1</v>
      </c>
      <c r="I296" s="5">
        <f>IFERROR(__xludf.DUMMYFUNCTION("""COMPUTED_VALUE"""),31.0)</f>
        <v>31</v>
      </c>
      <c r="J296" s="4" t="str">
        <f>IFERROR(__xludf.DUMMYFUNCTION("""COMPUTED_VALUE"""),"Tier 3")</f>
        <v>Tier 3</v>
      </c>
      <c r="K296" s="4" t="str">
        <f>IFERROR(__xludf.DUMMYFUNCTION("""COMPUTED_VALUE"""),"Active")</f>
        <v>Active</v>
      </c>
      <c r="L296" s="4" t="str">
        <f>IFERROR(__xludf.DUMMYFUNCTION("""COMPUTED_VALUE"""),"Google Compute Engine")</f>
        <v>Google Compute Engine</v>
      </c>
    </row>
    <row r="297">
      <c r="A297" s="4" t="str">
        <f>IFERROR(__xludf.DUMMYFUNCTION("""COMPUTED_VALUE"""),"DME2062")</f>
        <v>DME2062</v>
      </c>
      <c r="B297" s="4" t="str">
        <f>IFERROR(__xludf.DUMMYFUNCTION("""COMPUTED_VALUE"""),"Saurabh Bharat Magar")</f>
        <v>Saurabh Bharat Magar</v>
      </c>
      <c r="C297" s="4" t="str">
        <f>IFERROR(__xludf.DUMMYFUNCTION("""COMPUTED_VALUE"""),"saurabh.magar@onixnet.com")</f>
        <v>saurabh.magar@onixnet.com</v>
      </c>
      <c r="D297" s="4" t="str">
        <f>IFERROR(__xludf.DUMMYFUNCTION("""COMPUTED_VALUE"""),"Active")</f>
        <v>Active</v>
      </c>
      <c r="E297" s="4" t="str">
        <f>IFERROR(__xludf.DUMMYFUNCTION("""COMPUTED_VALUE"""),"Delivery Services")</f>
        <v>Delivery Services</v>
      </c>
      <c r="F297" s="4" t="str">
        <f>IFERROR(__xludf.DUMMYFUNCTION("""COMPUTED_VALUE"""),"Birendra Kumar Negi")</f>
        <v>Birendra Kumar Negi</v>
      </c>
      <c r="G297" s="4" t="str">
        <f>IFERROR(__xludf.DUMMYFUNCTION("""COMPUTED_VALUE"""),"Cluster - Sachin")</f>
        <v>Cluster - Sachin</v>
      </c>
      <c r="H297" s="4" t="str">
        <f>IFERROR(__xludf.DUMMYFUNCTION("""COMPUTED_VALUE"""),"ONISMXBP6")</f>
        <v>ONISMXBP6</v>
      </c>
      <c r="I297" s="5">
        <f>IFERROR(__xludf.DUMMYFUNCTION("""COMPUTED_VALUE"""),38.0)</f>
        <v>38</v>
      </c>
      <c r="J297" s="4" t="str">
        <f>IFERROR(__xludf.DUMMYFUNCTION("""COMPUTED_VALUE"""),"Tier 2")</f>
        <v>Tier 2</v>
      </c>
      <c r="K297" s="4" t="str">
        <f>IFERROR(__xludf.DUMMYFUNCTION("""COMPUTED_VALUE"""),"Active")</f>
        <v>Active</v>
      </c>
      <c r="L297" s="4" t="str">
        <f>IFERROR(__xludf.DUMMYFUNCTION("""COMPUTED_VALUE"""),"BigQuery")</f>
        <v>BigQuery</v>
      </c>
    </row>
    <row r="298">
      <c r="A298" s="4" t="str">
        <f>IFERROR(__xludf.DUMMYFUNCTION("""COMPUTED_VALUE"""),"DME2059")</f>
        <v>DME2059</v>
      </c>
      <c r="B298" s="4" t="str">
        <f>IFERROR(__xludf.DUMMYFUNCTION("""COMPUTED_VALUE"""),"Shrinivas Balaji Chalikwar")</f>
        <v>Shrinivas Balaji Chalikwar</v>
      </c>
      <c r="C298" s="4" t="str">
        <f>IFERROR(__xludf.DUMMYFUNCTION("""COMPUTED_VALUE"""),"shrinivas.c@onixnet.com")</f>
        <v>shrinivas.c@onixnet.com</v>
      </c>
      <c r="D298" s="4" t="str">
        <f>IFERROR(__xludf.DUMMYFUNCTION("""COMPUTED_VALUE"""),"Active")</f>
        <v>Active</v>
      </c>
      <c r="E298" s="4" t="str">
        <f>IFERROR(__xludf.DUMMYFUNCTION("""COMPUTED_VALUE"""),"Product Engineering")</f>
        <v>Product Engineering</v>
      </c>
      <c r="F298" s="4" t="str">
        <f>IFERROR(__xludf.DUMMYFUNCTION("""COMPUTED_VALUE"""),"Nishant Tiwary")</f>
        <v>Nishant Tiwary</v>
      </c>
      <c r="G298" s="4" t="str">
        <f>IFERROR(__xludf.DUMMYFUNCTION("""COMPUTED_VALUE"""),"Cluster - Mayur")</f>
        <v>Cluster - Mayur</v>
      </c>
      <c r="H298" s="4" t="str">
        <f>IFERROR(__xludf.DUMMYFUNCTION("""COMPUTED_VALUE"""),"DATSCMAV0")</f>
        <v>DATSCMAV0</v>
      </c>
      <c r="I298" s="5">
        <f>IFERROR(__xludf.DUMMYFUNCTION("""COMPUTED_VALUE"""),28.0)</f>
        <v>28</v>
      </c>
      <c r="J298" s="4" t="str">
        <f>IFERROR(__xludf.DUMMYFUNCTION("""COMPUTED_VALUE"""),"Tier 3")</f>
        <v>Tier 3</v>
      </c>
      <c r="K298" s="4" t="str">
        <f>IFERROR(__xludf.DUMMYFUNCTION("""COMPUTED_VALUE"""),"Active")</f>
        <v>Active</v>
      </c>
      <c r="L298" s="4" t="str">
        <f>IFERROR(__xludf.DUMMYFUNCTION("""COMPUTED_VALUE"""),"Gemini Enterprise Agent Platform")</f>
        <v>Gemini Enterprise Agent Platform</v>
      </c>
    </row>
    <row r="299">
      <c r="A299" s="4" t="str">
        <f>IFERROR(__xludf.DUMMYFUNCTION("""COMPUTED_VALUE"""),"DME2056")</f>
        <v>DME2056</v>
      </c>
      <c r="B299" s="4" t="str">
        <f>IFERROR(__xludf.DUMMYFUNCTION("""COMPUTED_VALUE"""),"Sapana Anil Shelar")</f>
        <v>Sapana Anil Shelar</v>
      </c>
      <c r="C299" s="4" t="str">
        <f>IFERROR(__xludf.DUMMYFUNCTION("""COMPUTED_VALUE"""),"sapana.shelar@onixnet.com")</f>
        <v>sapana.shelar@onixnet.com</v>
      </c>
      <c r="D299" s="4" t="str">
        <f>IFERROR(__xludf.DUMMYFUNCTION("""COMPUTED_VALUE"""),"Active")</f>
        <v>Active</v>
      </c>
      <c r="E299" s="4" t="str">
        <f>IFERROR(__xludf.DUMMYFUNCTION("""COMPUTED_VALUE"""),"Delivery Services")</f>
        <v>Delivery Services</v>
      </c>
      <c r="F299" s="4" t="str">
        <f>IFERROR(__xludf.DUMMYFUNCTION("""COMPUTED_VALUE"""),"Pritesh Chaudhari")</f>
        <v>Pritesh Chaudhari</v>
      </c>
      <c r="G299" s="4" t="str">
        <f>IFERROR(__xludf.DUMMYFUNCTION("""COMPUTED_VALUE"""),"Cluster - Sagar")</f>
        <v>Cluster - Sagar</v>
      </c>
      <c r="H299" s="4" t="str">
        <f>IFERROR(__xludf.DUMMYFUNCTION("""COMPUTED_VALUE"""),"ONISSWFD2")</f>
        <v>ONISSWFD2</v>
      </c>
      <c r="I299" s="5">
        <f>IFERROR(__xludf.DUMMYFUNCTION("""COMPUTED_VALUE"""),8.0)</f>
        <v>8</v>
      </c>
      <c r="J299" s="4" t="str">
        <f>IFERROR(__xludf.DUMMYFUNCTION("""COMPUTED_VALUE"""),"Tier 4")</f>
        <v>Tier 4</v>
      </c>
      <c r="K299" s="4" t="str">
        <f>IFERROR(__xludf.DUMMYFUNCTION("""COMPUTED_VALUE"""),"Active")</f>
        <v>Active</v>
      </c>
      <c r="L299" s="4" t="str">
        <f>IFERROR(__xludf.DUMMYFUNCTION("""COMPUTED_VALUE"""),"BigQuery")</f>
        <v>BigQuery</v>
      </c>
    </row>
    <row r="300">
      <c r="A300" s="4" t="str">
        <f>IFERROR(__xludf.DUMMYFUNCTION("""COMPUTED_VALUE"""),"DME2048")</f>
        <v>DME2048</v>
      </c>
      <c r="B300" s="4" t="str">
        <f>IFERROR(__xludf.DUMMYFUNCTION("""COMPUTED_VALUE"""),"Vedant Rajaram Bhogawade")</f>
        <v>Vedant Rajaram Bhogawade</v>
      </c>
      <c r="C300" s="4" t="str">
        <f>IFERROR(__xludf.DUMMYFUNCTION("""COMPUTED_VALUE"""),"vedant.bhogawade@onixnet.com")</f>
        <v>vedant.bhogawade@onixnet.com</v>
      </c>
      <c r="D300" s="4" t="str">
        <f>IFERROR(__xludf.DUMMYFUNCTION("""COMPUTED_VALUE"""),"Active")</f>
        <v>Active</v>
      </c>
      <c r="E300" s="4" t="str">
        <f>IFERROR(__xludf.DUMMYFUNCTION("""COMPUTED_VALUE"""),"Delivery Services")</f>
        <v>Delivery Services</v>
      </c>
      <c r="F300" s="4" t="str">
        <f>IFERROR(__xludf.DUMMYFUNCTION("""COMPUTED_VALUE"""),"Varun Katyal")</f>
        <v>Varun Katyal</v>
      </c>
      <c r="G300" s="4" t="str">
        <f>IFERROR(__xludf.DUMMYFUNCTION("""COMPUTED_VALUE"""),"Cluster - Varun")</f>
        <v>Cluster - Varun</v>
      </c>
      <c r="H300" s="4" t="str">
        <f>IFERROR(__xludf.DUMMYFUNCTION("""COMPUTED_VALUE"""),"ONIVBCZX6")</f>
        <v>ONIVBCZX6</v>
      </c>
      <c r="I300" s="5">
        <f>IFERROR(__xludf.DUMMYFUNCTION("""COMPUTED_VALUE"""),39.0)</f>
        <v>39</v>
      </c>
      <c r="J300" s="4" t="str">
        <f>IFERROR(__xludf.DUMMYFUNCTION("""COMPUTED_VALUE"""),"Tier 2")</f>
        <v>Tier 2</v>
      </c>
      <c r="K300" s="4" t="str">
        <f>IFERROR(__xludf.DUMMYFUNCTION("""COMPUTED_VALUE"""),"Active")</f>
        <v>Active</v>
      </c>
      <c r="L300" s="4" t="str">
        <f>IFERROR(__xludf.DUMMYFUNCTION("""COMPUTED_VALUE"""),"Google Cloud Networking")</f>
        <v>Google Cloud Networking</v>
      </c>
    </row>
    <row r="301">
      <c r="A301" s="4" t="str">
        <f>IFERROR(__xludf.DUMMYFUNCTION("""COMPUTED_VALUE"""),"DME2046")</f>
        <v>DME2046</v>
      </c>
      <c r="B301" s="4" t="str">
        <f>IFERROR(__xludf.DUMMYFUNCTION("""COMPUTED_VALUE"""),"Vaibhav Gole")</f>
        <v>Vaibhav Gole</v>
      </c>
      <c r="C301" s="4" t="str">
        <f>IFERROR(__xludf.DUMMYFUNCTION("""COMPUTED_VALUE"""),"vaibhav.gole@onixnet.com")</f>
        <v>vaibhav.gole@onixnet.com</v>
      </c>
      <c r="D301" s="4" t="str">
        <f>IFERROR(__xludf.DUMMYFUNCTION("""COMPUTED_VALUE"""),"Active")</f>
        <v>Active</v>
      </c>
      <c r="E301" s="4" t="str">
        <f>IFERROR(__xludf.DUMMYFUNCTION("""COMPUTED_VALUE"""),"Delivery Services")</f>
        <v>Delivery Services</v>
      </c>
      <c r="F301" s="4" t="str">
        <f>IFERROR(__xludf.DUMMYFUNCTION("""COMPUTED_VALUE"""),"Varun Katyal")</f>
        <v>Varun Katyal</v>
      </c>
      <c r="G301" s="4" t="str">
        <f>IFERROR(__xludf.DUMMYFUNCTION("""COMPUTED_VALUE"""),"Cluster - Varun")</f>
        <v>Cluster - Varun</v>
      </c>
      <c r="H301" s="4" t="str">
        <f>IFERROR(__xludf.DUMMYFUNCTION("""COMPUTED_VALUE"""),"DATVGJRH3")</f>
        <v>DATVGJRH3</v>
      </c>
      <c r="I301" s="5">
        <f>IFERROR(__xludf.DUMMYFUNCTION("""COMPUTED_VALUE"""),21.0)</f>
        <v>21</v>
      </c>
      <c r="J301" s="4" t="str">
        <f>IFERROR(__xludf.DUMMYFUNCTION("""COMPUTED_VALUE"""),"Tier 3")</f>
        <v>Tier 3</v>
      </c>
      <c r="K301" s="4" t="str">
        <f>IFERROR(__xludf.DUMMYFUNCTION("""COMPUTED_VALUE"""),"Active")</f>
        <v>Active</v>
      </c>
      <c r="L301" s="4" t="str">
        <f>IFERROR(__xludf.DUMMYFUNCTION("""COMPUTED_VALUE"""),"Google Compute Engine")</f>
        <v>Google Compute Engine</v>
      </c>
    </row>
    <row r="302">
      <c r="A302" s="4" t="str">
        <f>IFERROR(__xludf.DUMMYFUNCTION("""COMPUTED_VALUE"""),"DME2044")</f>
        <v>DME2044</v>
      </c>
      <c r="B302" s="4" t="str">
        <f>IFERROR(__xludf.DUMMYFUNCTION("""COMPUTED_VALUE"""),"Aditya Laxmikant Phate")</f>
        <v>Aditya Laxmikant Phate</v>
      </c>
      <c r="C302" s="4" t="str">
        <f>IFERROR(__xludf.DUMMYFUNCTION("""COMPUTED_VALUE"""),"aditya.phate@onixnet.com")</f>
        <v>aditya.phate@onixnet.com</v>
      </c>
      <c r="D302" s="4" t="str">
        <f>IFERROR(__xludf.DUMMYFUNCTION("""COMPUTED_VALUE"""),"Active")</f>
        <v>Active</v>
      </c>
      <c r="E302" s="4" t="str">
        <f>IFERROR(__xludf.DUMMYFUNCTION("""COMPUTED_VALUE"""),"Product Engineering")</f>
        <v>Product Engineering</v>
      </c>
      <c r="F302" s="4" t="str">
        <f>IFERROR(__xludf.DUMMYFUNCTION("""COMPUTED_VALUE"""),"Aayush Sahu")</f>
        <v>Aayush Sahu</v>
      </c>
      <c r="G302" s="4" t="str">
        <f>IFERROR(__xludf.DUMMYFUNCTION("""COMPUTED_VALUE"""),"Cluster - Mayur")</f>
        <v>Cluster - Mayur</v>
      </c>
      <c r="H302" s="4" t="str">
        <f>IFERROR(__xludf.DUMMYFUNCTION("""COMPUTED_VALUE"""),"ONIAPJZH9")</f>
        <v>ONIAPJZH9</v>
      </c>
      <c r="I302" s="5">
        <f>IFERROR(__xludf.DUMMYFUNCTION("""COMPUTED_VALUE"""),0.0)</f>
        <v>0</v>
      </c>
      <c r="J302" s="4" t="str">
        <f>IFERROR(__xludf.DUMMYFUNCTION("""COMPUTED_VALUE"""),"Tier 4")</f>
        <v>Tier 4</v>
      </c>
      <c r="K302" s="4" t="str">
        <f>IFERROR(__xludf.DUMMYFUNCTION("""COMPUTED_VALUE"""),"ID Created DRP score 0")</f>
        <v>ID Created DRP score 0</v>
      </c>
      <c r="L302" s="4"/>
    </row>
    <row r="303">
      <c r="A303" s="4" t="str">
        <f>IFERROR(__xludf.DUMMYFUNCTION("""COMPUTED_VALUE"""),"DME2043")</f>
        <v>DME2043</v>
      </c>
      <c r="B303" s="4" t="str">
        <f>IFERROR(__xludf.DUMMYFUNCTION("""COMPUTED_VALUE"""),"Hrucha Santosh Wankhade")</f>
        <v>Hrucha Santosh Wankhade</v>
      </c>
      <c r="C303" s="4" t="str">
        <f>IFERROR(__xludf.DUMMYFUNCTION("""COMPUTED_VALUE"""),"hrucha.wankhade@onixnet.com")</f>
        <v>hrucha.wankhade@onixnet.com</v>
      </c>
      <c r="D303" s="4" t="str">
        <f>IFERROR(__xludf.DUMMYFUNCTION("""COMPUTED_VALUE"""),"Active")</f>
        <v>Active</v>
      </c>
      <c r="E303" s="4" t="str">
        <f>IFERROR(__xludf.DUMMYFUNCTION("""COMPUTED_VALUE"""),"Product Engineering")</f>
        <v>Product Engineering</v>
      </c>
      <c r="F303" s="4" t="str">
        <f>IFERROR(__xludf.DUMMYFUNCTION("""COMPUTED_VALUE"""),"Siba Mishra")</f>
        <v>Siba Mishra</v>
      </c>
      <c r="G303" s="4" t="str">
        <f>IFERROR(__xludf.DUMMYFUNCTION("""COMPUTED_VALUE"""),"Cluster - Mayur")</f>
        <v>Cluster - Mayur</v>
      </c>
      <c r="H303" s="4" t="str">
        <f>IFERROR(__xludf.DUMMYFUNCTION("""COMPUTED_VALUE"""),"ONIHWGEX6")</f>
        <v>ONIHWGEX6</v>
      </c>
      <c r="I303" s="5">
        <f>IFERROR(__xludf.DUMMYFUNCTION("""COMPUTED_VALUE"""),0.0)</f>
        <v>0</v>
      </c>
      <c r="J303" s="4" t="str">
        <f>IFERROR(__xludf.DUMMYFUNCTION("""COMPUTED_VALUE"""),"Tier 4")</f>
        <v>Tier 4</v>
      </c>
      <c r="K303" s="4" t="str">
        <f>IFERROR(__xludf.DUMMYFUNCTION("""COMPUTED_VALUE"""),"ID Created DRP score 0")</f>
        <v>ID Created DRP score 0</v>
      </c>
      <c r="L303" s="4"/>
    </row>
    <row r="304">
      <c r="A304" s="4" t="str">
        <f>IFERROR(__xludf.DUMMYFUNCTION("""COMPUTED_VALUE"""),"DME2040")</f>
        <v>DME2040</v>
      </c>
      <c r="B304" s="4" t="str">
        <f>IFERROR(__xludf.DUMMYFUNCTION("""COMPUTED_VALUE"""),"Ajinkya Ashok Suryawanshi")</f>
        <v>Ajinkya Ashok Suryawanshi</v>
      </c>
      <c r="C304" s="4" t="str">
        <f>IFERROR(__xludf.DUMMYFUNCTION("""COMPUTED_VALUE"""),"ajinkya.s@onixnet.com")</f>
        <v>ajinkya.s@onixnet.com</v>
      </c>
      <c r="D304" s="4" t="str">
        <f>IFERROR(__xludf.DUMMYFUNCTION("""COMPUTED_VALUE"""),"Active")</f>
        <v>Active</v>
      </c>
      <c r="E304" s="4" t="str">
        <f>IFERROR(__xludf.DUMMYFUNCTION("""COMPUTED_VALUE"""),"Product Engineering")</f>
        <v>Product Engineering</v>
      </c>
      <c r="F304" s="4" t="str">
        <f>IFERROR(__xludf.DUMMYFUNCTION("""COMPUTED_VALUE"""),"Yogendra Singh")</f>
        <v>Yogendra Singh</v>
      </c>
      <c r="G304" s="4" t="str">
        <f>IFERROR(__xludf.DUMMYFUNCTION("""COMPUTED_VALUE"""),"Cluster - Mayur")</f>
        <v>Cluster - Mayur</v>
      </c>
      <c r="H304" s="4" t="str">
        <f>IFERROR(__xludf.DUMMYFUNCTION("""COMPUTED_VALUE"""),"ONIASROV5")</f>
        <v>ONIASROV5</v>
      </c>
      <c r="I304" s="5">
        <f>IFERROR(__xludf.DUMMYFUNCTION("""COMPUTED_VALUE"""),0.0)</f>
        <v>0</v>
      </c>
      <c r="J304" s="4" t="str">
        <f>IFERROR(__xludf.DUMMYFUNCTION("""COMPUTED_VALUE"""),"Tier 4")</f>
        <v>Tier 4</v>
      </c>
      <c r="K304" s="4" t="str">
        <f>IFERROR(__xludf.DUMMYFUNCTION("""COMPUTED_VALUE"""),"ID Created DRP score 0")</f>
        <v>ID Created DRP score 0</v>
      </c>
      <c r="L304" s="4"/>
    </row>
    <row r="305">
      <c r="A305" s="4" t="str">
        <f>IFERROR(__xludf.DUMMYFUNCTION("""COMPUTED_VALUE"""),"DME2039")</f>
        <v>DME2039</v>
      </c>
      <c r="B305" s="4" t="str">
        <f>IFERROR(__xludf.DUMMYFUNCTION("""COMPUTED_VALUE"""),"Mahesh Ramesh Raut")</f>
        <v>Mahesh Ramesh Raut</v>
      </c>
      <c r="C305" s="4" t="str">
        <f>IFERROR(__xludf.DUMMYFUNCTION("""COMPUTED_VALUE"""),"mahesh.raut@onixnet.com")</f>
        <v>mahesh.raut@onixnet.com</v>
      </c>
      <c r="D305" s="4" t="str">
        <f>IFERROR(__xludf.DUMMYFUNCTION("""COMPUTED_VALUE"""),"Active")</f>
        <v>Active</v>
      </c>
      <c r="E305" s="4" t="str">
        <f>IFERROR(__xludf.DUMMYFUNCTION("""COMPUTED_VALUE"""),"Product Engineering")</f>
        <v>Product Engineering</v>
      </c>
      <c r="F305" s="4" t="str">
        <f>IFERROR(__xludf.DUMMYFUNCTION("""COMPUTED_VALUE"""),"Abhishek Kumar")</f>
        <v>Abhishek Kumar</v>
      </c>
      <c r="G305" s="4" t="str">
        <f>IFERROR(__xludf.DUMMYFUNCTION("""COMPUTED_VALUE"""),"Cluster - Mayur")</f>
        <v>Cluster - Mayur</v>
      </c>
      <c r="H305" s="4" t="str">
        <f>IFERROR(__xludf.DUMMYFUNCTION("""COMPUTED_VALUE"""),"ONIMRBWF9")</f>
        <v>ONIMRBWF9</v>
      </c>
      <c r="I305" s="5">
        <f>IFERROR(__xludf.DUMMYFUNCTION("""COMPUTED_VALUE"""),0.0)</f>
        <v>0</v>
      </c>
      <c r="J305" s="4" t="str">
        <f>IFERROR(__xludf.DUMMYFUNCTION("""COMPUTED_VALUE"""),"Tier 4")</f>
        <v>Tier 4</v>
      </c>
      <c r="K305" s="4" t="str">
        <f>IFERROR(__xludf.DUMMYFUNCTION("""COMPUTED_VALUE"""),"ID Created DRP score 0")</f>
        <v>ID Created DRP score 0</v>
      </c>
      <c r="L305" s="4"/>
    </row>
    <row r="306">
      <c r="A306" s="4" t="str">
        <f>IFERROR(__xludf.DUMMYFUNCTION("""COMPUTED_VALUE"""),"DME2038")</f>
        <v>DME2038</v>
      </c>
      <c r="B306" s="4" t="str">
        <f>IFERROR(__xludf.DUMMYFUNCTION("""COMPUTED_VALUE"""),"Manasi Deepak Bathe")</f>
        <v>Manasi Deepak Bathe</v>
      </c>
      <c r="C306" s="4" t="str">
        <f>IFERROR(__xludf.DUMMYFUNCTION("""COMPUTED_VALUE"""),"manasi.bathe@onixnet.com")</f>
        <v>manasi.bathe@onixnet.com</v>
      </c>
      <c r="D306" s="4" t="str">
        <f>IFERROR(__xludf.DUMMYFUNCTION("""COMPUTED_VALUE"""),"Active")</f>
        <v>Active</v>
      </c>
      <c r="E306" s="4" t="str">
        <f>IFERROR(__xludf.DUMMYFUNCTION("""COMPUTED_VALUE"""),"Product Engineering")</f>
        <v>Product Engineering</v>
      </c>
      <c r="F306" s="4" t="str">
        <f>IFERROR(__xludf.DUMMYFUNCTION("""COMPUTED_VALUE"""),"Uday Hajare")</f>
        <v>Uday Hajare</v>
      </c>
      <c r="G306" s="4" t="str">
        <f>IFERROR(__xludf.DUMMYFUNCTION("""COMPUTED_VALUE"""),"Cluster - Mayur")</f>
        <v>Cluster - Mayur</v>
      </c>
      <c r="H306" s="4" t="str">
        <f>IFERROR(__xludf.DUMMYFUNCTION("""COMPUTED_VALUE"""),"ONIMBWZE2")</f>
        <v>ONIMBWZE2</v>
      </c>
      <c r="I306" s="5">
        <f>IFERROR(__xludf.DUMMYFUNCTION("""COMPUTED_VALUE"""),20.0)</f>
        <v>20</v>
      </c>
      <c r="J306" s="4" t="str">
        <f>IFERROR(__xludf.DUMMYFUNCTION("""COMPUTED_VALUE"""),"Tier 3")</f>
        <v>Tier 3</v>
      </c>
      <c r="K306" s="4" t="str">
        <f>IFERROR(__xludf.DUMMYFUNCTION("""COMPUTED_VALUE"""),"Active")</f>
        <v>Active</v>
      </c>
      <c r="L306" s="4" t="str">
        <f>IFERROR(__xludf.DUMMYFUNCTION("""COMPUTED_VALUE"""),"AI Applications")</f>
        <v>AI Applications</v>
      </c>
    </row>
    <row r="307">
      <c r="A307" s="4" t="str">
        <f>IFERROR(__xludf.DUMMYFUNCTION("""COMPUTED_VALUE"""),"DME2037")</f>
        <v>DME2037</v>
      </c>
      <c r="B307" s="4" t="str">
        <f>IFERROR(__xludf.DUMMYFUNCTION("""COMPUTED_VALUE"""),"Swarangi Shirsekar")</f>
        <v>Swarangi Shirsekar</v>
      </c>
      <c r="C307" s="4" t="str">
        <f>IFERROR(__xludf.DUMMYFUNCTION("""COMPUTED_VALUE"""),"swarangi.s@onixnet.com")</f>
        <v>swarangi.s@onixnet.com</v>
      </c>
      <c r="D307" s="4" t="str">
        <f>IFERROR(__xludf.DUMMYFUNCTION("""COMPUTED_VALUE"""),"Active")</f>
        <v>Active</v>
      </c>
      <c r="E307" s="4" t="str">
        <f>IFERROR(__xludf.DUMMYFUNCTION("""COMPUTED_VALUE"""),"Product Engineering")</f>
        <v>Product Engineering</v>
      </c>
      <c r="F307" s="4" t="str">
        <f>IFERROR(__xludf.DUMMYFUNCTION("""COMPUTED_VALUE"""),"Ketan Dosi")</f>
        <v>Ketan Dosi</v>
      </c>
      <c r="G307" s="4" t="str">
        <f>IFERROR(__xludf.DUMMYFUNCTION("""COMPUTED_VALUE"""),"Cluster - Mayur")</f>
        <v>Cluster - Mayur</v>
      </c>
      <c r="H307" s="4"/>
      <c r="I307" s="5"/>
      <c r="J307" s="4"/>
      <c r="K307" s="4" t="str">
        <f>IFERROR(__xludf.DUMMYFUNCTION("""COMPUTED_VALUE"""),"ID Not Created")</f>
        <v>ID Not Created</v>
      </c>
      <c r="L307" s="4"/>
    </row>
    <row r="308">
      <c r="A308" s="4" t="str">
        <f>IFERROR(__xludf.DUMMYFUNCTION("""COMPUTED_VALUE"""),"DME2035")</f>
        <v>DME2035</v>
      </c>
      <c r="B308" s="4" t="str">
        <f>IFERROR(__xludf.DUMMYFUNCTION("""COMPUTED_VALUE"""),"Nikhil Nandkumar Jadhav")</f>
        <v>Nikhil Nandkumar Jadhav</v>
      </c>
      <c r="C308" s="4" t="str">
        <f>IFERROR(__xludf.DUMMYFUNCTION("""COMPUTED_VALUE"""),"nikhil.jadhav@onixnet.com")</f>
        <v>nikhil.jadhav@onixnet.com</v>
      </c>
      <c r="D308" s="4" t="str">
        <f>IFERROR(__xludf.DUMMYFUNCTION("""COMPUTED_VALUE"""),"Active")</f>
        <v>Active</v>
      </c>
      <c r="E308" s="4" t="str">
        <f>IFERROR(__xludf.DUMMYFUNCTION("""COMPUTED_VALUE"""),"Delivery Services")</f>
        <v>Delivery Services</v>
      </c>
      <c r="F308" s="4" t="str">
        <f>IFERROR(__xludf.DUMMYFUNCTION("""COMPUTED_VALUE"""),"Pritesh Chaudhari")</f>
        <v>Pritesh Chaudhari</v>
      </c>
      <c r="G308" s="4" t="str">
        <f>IFERROR(__xludf.DUMMYFUNCTION("""COMPUTED_VALUE"""),"Cluster - Sagar")</f>
        <v>Cluster - Sagar</v>
      </c>
      <c r="H308" s="4" t="str">
        <f>IFERROR(__xludf.DUMMYFUNCTION("""COMPUTED_VALUE"""),"ONINJUOU4")</f>
        <v>ONINJUOU4</v>
      </c>
      <c r="I308" s="5">
        <f>IFERROR(__xludf.DUMMYFUNCTION("""COMPUTED_VALUE"""),44.0)</f>
        <v>44</v>
      </c>
      <c r="J308" s="4" t="str">
        <f>IFERROR(__xludf.DUMMYFUNCTION("""COMPUTED_VALUE"""),"Tier 2")</f>
        <v>Tier 2</v>
      </c>
      <c r="K308" s="4" t="str">
        <f>IFERROR(__xludf.DUMMYFUNCTION("""COMPUTED_VALUE"""),"Active")</f>
        <v>Active</v>
      </c>
      <c r="L308" s="4" t="str">
        <f>IFERROR(__xludf.DUMMYFUNCTION("""COMPUTED_VALUE"""),"BigQuery")</f>
        <v>BigQuery</v>
      </c>
    </row>
    <row r="309">
      <c r="A309" s="4" t="str">
        <f>IFERROR(__xludf.DUMMYFUNCTION("""COMPUTED_VALUE"""),"DME2033")</f>
        <v>DME2033</v>
      </c>
      <c r="B309" s="4" t="str">
        <f>IFERROR(__xludf.DUMMYFUNCTION("""COMPUTED_VALUE"""),"Neha Hanumant Sonawane")</f>
        <v>Neha Hanumant Sonawane</v>
      </c>
      <c r="C309" s="4" t="str">
        <f>IFERROR(__xludf.DUMMYFUNCTION("""COMPUTED_VALUE"""),"neha.sonawane@onixnet.com")</f>
        <v>neha.sonawane@onixnet.com</v>
      </c>
      <c r="D309" s="4" t="str">
        <f>IFERROR(__xludf.DUMMYFUNCTION("""COMPUTED_VALUE"""),"Active")</f>
        <v>Active</v>
      </c>
      <c r="E309" s="4" t="str">
        <f>IFERROR(__xludf.DUMMYFUNCTION("""COMPUTED_VALUE"""),"Delivery Services")</f>
        <v>Delivery Services</v>
      </c>
      <c r="F309" s="4" t="str">
        <f>IFERROR(__xludf.DUMMYFUNCTION("""COMPUTED_VALUE"""),"Sneha Bhatambrekar")</f>
        <v>Sneha Bhatambrekar</v>
      </c>
      <c r="G309" s="4" t="str">
        <f>IFERROR(__xludf.DUMMYFUNCTION("""COMPUTED_VALUE"""),"Cluster - Sandeep")</f>
        <v>Cluster - Sandeep</v>
      </c>
      <c r="H309" s="4" t="str">
        <f>IFERROR(__xludf.DUMMYFUNCTION("""COMPUTED_VALUE"""),"ONINSFZN3")</f>
        <v>ONINSFZN3</v>
      </c>
      <c r="I309" s="5">
        <f>IFERROR(__xludf.DUMMYFUNCTION("""COMPUTED_VALUE"""),9.0)</f>
        <v>9</v>
      </c>
      <c r="J309" s="4" t="str">
        <f>IFERROR(__xludf.DUMMYFUNCTION("""COMPUTED_VALUE"""),"Tier 4")</f>
        <v>Tier 4</v>
      </c>
      <c r="K309" s="4" t="str">
        <f>IFERROR(__xludf.DUMMYFUNCTION("""COMPUTED_VALUE"""),"Active")</f>
        <v>Active</v>
      </c>
      <c r="L309" s="4" t="str">
        <f>IFERROR(__xludf.DUMMYFUNCTION("""COMPUTED_VALUE"""),"Cloud Run")</f>
        <v>Cloud Run</v>
      </c>
    </row>
    <row r="310">
      <c r="A310" s="4" t="str">
        <f>IFERROR(__xludf.DUMMYFUNCTION("""COMPUTED_VALUE"""),"DME2032")</f>
        <v>DME2032</v>
      </c>
      <c r="B310" s="4" t="str">
        <f>IFERROR(__xludf.DUMMYFUNCTION("""COMPUTED_VALUE"""),"Vinaya Vitthal Gawali")</f>
        <v>Vinaya Vitthal Gawali</v>
      </c>
      <c r="C310" s="4" t="str">
        <f>IFERROR(__xludf.DUMMYFUNCTION("""COMPUTED_VALUE"""),"vinaya.gawali@onixnet.com")</f>
        <v>vinaya.gawali@onixnet.com</v>
      </c>
      <c r="D310" s="4" t="str">
        <f>IFERROR(__xludf.DUMMYFUNCTION("""COMPUTED_VALUE"""),"Active")</f>
        <v>Active</v>
      </c>
      <c r="E310" s="4" t="str">
        <f>IFERROR(__xludf.DUMMYFUNCTION("""COMPUTED_VALUE"""),"Delivery Services")</f>
        <v>Delivery Services</v>
      </c>
      <c r="F310" s="4" t="str">
        <f>IFERROR(__xludf.DUMMYFUNCTION("""COMPUTED_VALUE"""),"Brajesh Kumar")</f>
        <v>Brajesh Kumar</v>
      </c>
      <c r="G310" s="4" t="str">
        <f>IFERROR(__xludf.DUMMYFUNCTION("""COMPUTED_VALUE"""),"Cluster - Sachin")</f>
        <v>Cluster - Sachin</v>
      </c>
      <c r="H310" s="4" t="str">
        <f>IFERROR(__xludf.DUMMYFUNCTION("""COMPUTED_VALUE"""),"ONIVGKJU3")</f>
        <v>ONIVGKJU3</v>
      </c>
      <c r="I310" s="5">
        <f>IFERROR(__xludf.DUMMYFUNCTION("""COMPUTED_VALUE"""),14.0)</f>
        <v>14</v>
      </c>
      <c r="J310" s="4" t="str">
        <f>IFERROR(__xludf.DUMMYFUNCTION("""COMPUTED_VALUE"""),"Tier 4")</f>
        <v>Tier 4</v>
      </c>
      <c r="K310" s="4" t="str">
        <f>IFERROR(__xludf.DUMMYFUNCTION("""COMPUTED_VALUE"""),"Active")</f>
        <v>Active</v>
      </c>
      <c r="L310" s="4" t="str">
        <f>IFERROR(__xludf.DUMMYFUNCTION("""COMPUTED_VALUE"""),"BigQuery")</f>
        <v>BigQuery</v>
      </c>
    </row>
    <row r="311">
      <c r="A311" s="4" t="str">
        <f>IFERROR(__xludf.DUMMYFUNCTION("""COMPUTED_VALUE"""),"DME2030")</f>
        <v>DME2030</v>
      </c>
      <c r="B311" s="4" t="str">
        <f>IFERROR(__xludf.DUMMYFUNCTION("""COMPUTED_VALUE"""),"Ravi Kumar")</f>
        <v>Ravi Kumar</v>
      </c>
      <c r="C311" s="4" t="str">
        <f>IFERROR(__xludf.DUMMYFUNCTION("""COMPUTED_VALUE"""),"ravi.kumar@onixnet.com")</f>
        <v>ravi.kumar@onixnet.com</v>
      </c>
      <c r="D311" s="4" t="str">
        <f>IFERROR(__xludf.DUMMYFUNCTION("""COMPUTED_VALUE"""),"Active")</f>
        <v>Active</v>
      </c>
      <c r="E311" s="4" t="str">
        <f>IFERROR(__xludf.DUMMYFUNCTION("""COMPUTED_VALUE"""),"Delivery Services")</f>
        <v>Delivery Services</v>
      </c>
      <c r="F311" s="4" t="str">
        <f>IFERROR(__xludf.DUMMYFUNCTION("""COMPUTED_VALUE"""),"Jitender Singh")</f>
        <v>Jitender Singh</v>
      </c>
      <c r="G311" s="4" t="str">
        <f>IFERROR(__xludf.DUMMYFUNCTION("""COMPUTED_VALUE"""),"Cluster - Gaurav")</f>
        <v>Cluster - Gaurav</v>
      </c>
      <c r="H311" s="4" t="str">
        <f>IFERROR(__xludf.DUMMYFUNCTION("""COMPUTED_VALUE"""),"ONIRKHZN3")</f>
        <v>ONIRKHZN3</v>
      </c>
      <c r="I311" s="5">
        <f>IFERROR(__xludf.DUMMYFUNCTION("""COMPUTED_VALUE"""),15.0)</f>
        <v>15</v>
      </c>
      <c r="J311" s="4" t="str">
        <f>IFERROR(__xludf.DUMMYFUNCTION("""COMPUTED_VALUE"""),"Tier 4")</f>
        <v>Tier 4</v>
      </c>
      <c r="K311" s="4" t="str">
        <f>IFERROR(__xludf.DUMMYFUNCTION("""COMPUTED_VALUE"""),"Active")</f>
        <v>Active</v>
      </c>
      <c r="L311" s="4" t="str">
        <f>IFERROR(__xludf.DUMMYFUNCTION("""COMPUTED_VALUE"""),"Gemini Enterprise Agent Platform")</f>
        <v>Gemini Enterprise Agent Platform</v>
      </c>
    </row>
    <row r="312">
      <c r="A312" s="4" t="str">
        <f>IFERROR(__xludf.DUMMYFUNCTION("""COMPUTED_VALUE"""),"DME2028")</f>
        <v>DME2028</v>
      </c>
      <c r="B312" s="4" t="str">
        <f>IFERROR(__xludf.DUMMYFUNCTION("""COMPUTED_VALUE"""),"Pratiksha Kishor Patange")</f>
        <v>Pratiksha Kishor Patange</v>
      </c>
      <c r="C312" s="4" t="str">
        <f>IFERROR(__xludf.DUMMYFUNCTION("""COMPUTED_VALUE"""),"pratiksha.patange@onixnet.com")</f>
        <v>pratiksha.patange@onixnet.com</v>
      </c>
      <c r="D312" s="4" t="str">
        <f>IFERROR(__xludf.DUMMYFUNCTION("""COMPUTED_VALUE"""),"Active")</f>
        <v>Active</v>
      </c>
      <c r="E312" s="4" t="str">
        <f>IFERROR(__xludf.DUMMYFUNCTION("""COMPUTED_VALUE"""),"Delivery Services")</f>
        <v>Delivery Services</v>
      </c>
      <c r="F312" s="4" t="str">
        <f>IFERROR(__xludf.DUMMYFUNCTION("""COMPUTED_VALUE"""),"Pooja Chawda")</f>
        <v>Pooja Chawda</v>
      </c>
      <c r="G312" s="4" t="str">
        <f>IFERROR(__xludf.DUMMYFUNCTION("""COMPUTED_VALUE"""),"Cluster - Sandeep")</f>
        <v>Cluster - Sandeep</v>
      </c>
      <c r="H312" s="4" t="str">
        <f>IFERROR(__xludf.DUMMYFUNCTION("""COMPUTED_VALUE"""),"ONIPPDLG0")</f>
        <v>ONIPPDLG0</v>
      </c>
      <c r="I312" s="5">
        <f>IFERROR(__xludf.DUMMYFUNCTION("""COMPUTED_VALUE"""),9.0)</f>
        <v>9</v>
      </c>
      <c r="J312" s="4" t="str">
        <f>IFERROR(__xludf.DUMMYFUNCTION("""COMPUTED_VALUE"""),"Tier 4")</f>
        <v>Tier 4</v>
      </c>
      <c r="K312" s="4" t="str">
        <f>IFERROR(__xludf.DUMMYFUNCTION("""COMPUTED_VALUE"""),"Active")</f>
        <v>Active</v>
      </c>
      <c r="L312" s="4" t="str">
        <f>IFERROR(__xludf.DUMMYFUNCTION("""COMPUTED_VALUE"""),"Dataproc")</f>
        <v>Dataproc</v>
      </c>
    </row>
    <row r="313">
      <c r="A313" s="4" t="str">
        <f>IFERROR(__xludf.DUMMYFUNCTION("""COMPUTED_VALUE"""),"DME2021")</f>
        <v>DME2021</v>
      </c>
      <c r="B313" s="4" t="str">
        <f>IFERROR(__xludf.DUMMYFUNCTION("""COMPUTED_VALUE"""),"Sourav Pushkraj Yogi")</f>
        <v>Sourav Pushkraj Yogi</v>
      </c>
      <c r="C313" s="4" t="str">
        <f>IFERROR(__xludf.DUMMYFUNCTION("""COMPUTED_VALUE"""),"sourav.yogi@onixnet.com")</f>
        <v>sourav.yogi@onixnet.com</v>
      </c>
      <c r="D313" s="4" t="str">
        <f>IFERROR(__xludf.DUMMYFUNCTION("""COMPUTED_VALUE"""),"Active")</f>
        <v>Active</v>
      </c>
      <c r="E313" s="4" t="str">
        <f>IFERROR(__xludf.DUMMYFUNCTION("""COMPUTED_VALUE"""),"Solutions and Pre-Sales")</f>
        <v>Solutions and Pre-Sales</v>
      </c>
      <c r="F313" s="4" t="str">
        <f>IFERROR(__xludf.DUMMYFUNCTION("""COMPUTED_VALUE"""),"Priyanka Buwe")</f>
        <v>Priyanka Buwe</v>
      </c>
      <c r="G313" s="4" t="str">
        <f>IFERROR(__xludf.DUMMYFUNCTION("""COMPUTED_VALUE"""),"Portfolio - Gaurav A (Presales)")</f>
        <v>Portfolio - Gaurav A (Presales)</v>
      </c>
      <c r="H313" s="4" t="str">
        <f>IFERROR(__xludf.DUMMYFUNCTION("""COMPUTED_VALUE"""),"DATSYPGP6")</f>
        <v>DATSYPGP6</v>
      </c>
      <c r="I313" s="5">
        <f>IFERROR(__xludf.DUMMYFUNCTION("""COMPUTED_VALUE"""),16.0)</f>
        <v>16</v>
      </c>
      <c r="J313" s="4" t="str">
        <f>IFERROR(__xludf.DUMMYFUNCTION("""COMPUTED_VALUE"""),"Tier 4")</f>
        <v>Tier 4</v>
      </c>
      <c r="K313" s="4" t="str">
        <f>IFERROR(__xludf.DUMMYFUNCTION("""COMPUTED_VALUE"""),"Active")</f>
        <v>Active</v>
      </c>
      <c r="L313" s="4" t="str">
        <f>IFERROR(__xludf.DUMMYFUNCTION("""COMPUTED_VALUE"""),"BigQuery")</f>
        <v>BigQuery</v>
      </c>
    </row>
    <row r="314">
      <c r="A314" s="4" t="str">
        <f>IFERROR(__xludf.DUMMYFUNCTION("""COMPUTED_VALUE"""),"DME2011")</f>
        <v>DME2011</v>
      </c>
      <c r="B314" s="4" t="str">
        <f>IFERROR(__xludf.DUMMYFUNCTION("""COMPUTED_VALUE"""),"Atharva Vilas Wankhede")</f>
        <v>Atharva Vilas Wankhede</v>
      </c>
      <c r="C314" s="4" t="str">
        <f>IFERROR(__xludf.DUMMYFUNCTION("""COMPUTED_VALUE"""),"atharva.wankhede@onixnet.com")</f>
        <v>atharva.wankhede@onixnet.com</v>
      </c>
      <c r="D314" s="4" t="str">
        <f>IFERROR(__xludf.DUMMYFUNCTION("""COMPUTED_VALUE"""),"Active")</f>
        <v>Active</v>
      </c>
      <c r="E314" s="4" t="str">
        <f>IFERROR(__xludf.DUMMYFUNCTION("""COMPUTED_VALUE"""),"Delivery Services")</f>
        <v>Delivery Services</v>
      </c>
      <c r="F314" s="4" t="str">
        <f>IFERROR(__xludf.DUMMYFUNCTION("""COMPUTED_VALUE"""),"Javed Ansari")</f>
        <v>Javed Ansari</v>
      </c>
      <c r="G314" s="4" t="str">
        <f>IFERROR(__xludf.DUMMYFUNCTION("""COMPUTED_VALUE"""),"Cluster - Gaurav")</f>
        <v>Cluster - Gaurav</v>
      </c>
      <c r="H314" s="4" t="str">
        <f>IFERROR(__xludf.DUMMYFUNCTION("""COMPUTED_VALUE"""),"ONIAWJAJ2")</f>
        <v>ONIAWJAJ2</v>
      </c>
      <c r="I314" s="5">
        <f>IFERROR(__xludf.DUMMYFUNCTION("""COMPUTED_VALUE"""),23.0)</f>
        <v>23</v>
      </c>
      <c r="J314" s="4" t="str">
        <f>IFERROR(__xludf.DUMMYFUNCTION("""COMPUTED_VALUE"""),"Tier 3")</f>
        <v>Tier 3</v>
      </c>
      <c r="K314" s="4" t="str">
        <f>IFERROR(__xludf.DUMMYFUNCTION("""COMPUTED_VALUE"""),"Active")</f>
        <v>Active</v>
      </c>
      <c r="L314" s="4" t="str">
        <f>IFERROR(__xludf.DUMMYFUNCTION("""COMPUTED_VALUE"""),"Dataflow")</f>
        <v>Dataflow</v>
      </c>
    </row>
    <row r="315">
      <c r="A315" s="4" t="str">
        <f>IFERROR(__xludf.DUMMYFUNCTION("""COMPUTED_VALUE"""),"DME2008")</f>
        <v>DME2008</v>
      </c>
      <c r="B315" s="4" t="str">
        <f>IFERROR(__xludf.DUMMYFUNCTION("""COMPUTED_VALUE"""),"Aniket Sunil Patil")</f>
        <v>Aniket Sunil Patil</v>
      </c>
      <c r="C315" s="4" t="str">
        <f>IFERROR(__xludf.DUMMYFUNCTION("""COMPUTED_VALUE"""),"aniket.patil@onixnet.com")</f>
        <v>aniket.patil@onixnet.com</v>
      </c>
      <c r="D315" s="4" t="str">
        <f>IFERROR(__xludf.DUMMYFUNCTION("""COMPUTED_VALUE"""),"Active")</f>
        <v>Active</v>
      </c>
      <c r="E315" s="4" t="str">
        <f>IFERROR(__xludf.DUMMYFUNCTION("""COMPUTED_VALUE"""),"Delivery Services")</f>
        <v>Delivery Services</v>
      </c>
      <c r="F315" s="4" t="str">
        <f>IFERROR(__xludf.DUMMYFUNCTION("""COMPUTED_VALUE"""),"Mohit Shivramwar")</f>
        <v>Mohit Shivramwar</v>
      </c>
      <c r="G315" s="4" t="str">
        <f>IFERROR(__xludf.DUMMYFUNCTION("""COMPUTED_VALUE"""),"Cluster - Sagar")</f>
        <v>Cluster - Sagar</v>
      </c>
      <c r="H315" s="4" t="str">
        <f>IFERROR(__xludf.DUMMYFUNCTION("""COMPUTED_VALUE"""),"ONIAPSAO2")</f>
        <v>ONIAPSAO2</v>
      </c>
      <c r="I315" s="5">
        <f>IFERROR(__xludf.DUMMYFUNCTION("""COMPUTED_VALUE"""),14.0)</f>
        <v>14</v>
      </c>
      <c r="J315" s="4" t="str">
        <f>IFERROR(__xludf.DUMMYFUNCTION("""COMPUTED_VALUE"""),"Tier 4")</f>
        <v>Tier 4</v>
      </c>
      <c r="K315" s="4" t="str">
        <f>IFERROR(__xludf.DUMMYFUNCTION("""COMPUTED_VALUE"""),"Active")</f>
        <v>Active</v>
      </c>
      <c r="L315" s="4" t="str">
        <f>IFERROR(__xludf.DUMMYFUNCTION("""COMPUTED_VALUE"""),"BigQuery")</f>
        <v>BigQuery</v>
      </c>
    </row>
    <row r="316">
      <c r="A316" s="4" t="str">
        <f>IFERROR(__xludf.DUMMYFUNCTION("""COMPUTED_VALUE"""),"DME2003")</f>
        <v>DME2003</v>
      </c>
      <c r="B316" s="4" t="str">
        <f>IFERROR(__xludf.DUMMYFUNCTION("""COMPUTED_VALUE"""),"Swapnil Mahadu Navale")</f>
        <v>Swapnil Mahadu Navale</v>
      </c>
      <c r="C316" s="4" t="str">
        <f>IFERROR(__xludf.DUMMYFUNCTION("""COMPUTED_VALUE"""),"swapnil.navale@onixnet.com")</f>
        <v>swapnil.navale@onixnet.com</v>
      </c>
      <c r="D316" s="4" t="str">
        <f>IFERROR(__xludf.DUMMYFUNCTION("""COMPUTED_VALUE"""),"Active")</f>
        <v>Active</v>
      </c>
      <c r="E316" s="4" t="str">
        <f>IFERROR(__xludf.DUMMYFUNCTION("""COMPUTED_VALUE"""),"Delivery Services")</f>
        <v>Delivery Services</v>
      </c>
      <c r="F316" s="4" t="str">
        <f>IFERROR(__xludf.DUMMYFUNCTION("""COMPUTED_VALUE"""),"Vishal Khare")</f>
        <v>Vishal Khare</v>
      </c>
      <c r="G316" s="4" t="str">
        <f>IFERROR(__xludf.DUMMYFUNCTION("""COMPUTED_VALUE"""),"Cluster - Sagar")</f>
        <v>Cluster - Sagar</v>
      </c>
      <c r="H316" s="4" t="str">
        <f>IFERROR(__xludf.DUMMYFUNCTION("""COMPUTED_VALUE"""),"ONISNIUL2")</f>
        <v>ONISNIUL2</v>
      </c>
      <c r="I316" s="5">
        <f>IFERROR(__xludf.DUMMYFUNCTION("""COMPUTED_VALUE"""),18.0)</f>
        <v>18</v>
      </c>
      <c r="J316" s="4" t="str">
        <f>IFERROR(__xludf.DUMMYFUNCTION("""COMPUTED_VALUE"""),"Tier 4")</f>
        <v>Tier 4</v>
      </c>
      <c r="K316" s="4" t="str">
        <f>IFERROR(__xludf.DUMMYFUNCTION("""COMPUTED_VALUE"""),"Active")</f>
        <v>Active</v>
      </c>
      <c r="L316" s="4" t="str">
        <f>IFERROR(__xludf.DUMMYFUNCTION("""COMPUTED_VALUE"""),"Google Kubernetes Engine")</f>
        <v>Google Kubernetes Engine</v>
      </c>
    </row>
    <row r="317">
      <c r="A317" s="4" t="str">
        <f>IFERROR(__xludf.DUMMYFUNCTION("""COMPUTED_VALUE"""),"DME1999")</f>
        <v>DME1999</v>
      </c>
      <c r="B317" s="4" t="str">
        <f>IFERROR(__xludf.DUMMYFUNCTION("""COMPUTED_VALUE"""),"Ameya Arjun Patil")</f>
        <v>Ameya Arjun Patil</v>
      </c>
      <c r="C317" s="4" t="str">
        <f>IFERROR(__xludf.DUMMYFUNCTION("""COMPUTED_VALUE"""),"ameya.patil@onixnet.com")</f>
        <v>ameya.patil@onixnet.com</v>
      </c>
      <c r="D317" s="4" t="str">
        <f>IFERROR(__xludf.DUMMYFUNCTION("""COMPUTED_VALUE"""),"Active")</f>
        <v>Active</v>
      </c>
      <c r="E317" s="4" t="str">
        <f>IFERROR(__xludf.DUMMYFUNCTION("""COMPUTED_VALUE"""),"Delivery Services")</f>
        <v>Delivery Services</v>
      </c>
      <c r="F317" s="4" t="str">
        <f>IFERROR(__xludf.DUMMYFUNCTION("""COMPUTED_VALUE"""),"Ravindra Pujari")</f>
        <v>Ravindra Pujari</v>
      </c>
      <c r="G317" s="4" t="str">
        <f>IFERROR(__xludf.DUMMYFUNCTION("""COMPUTED_VALUE"""),"Cluster - Sachin")</f>
        <v>Cluster - Sachin</v>
      </c>
      <c r="H317" s="4" t="str">
        <f>IFERROR(__xludf.DUMMYFUNCTION("""COMPUTED_VALUE"""),"DATAPOCV9")</f>
        <v>DATAPOCV9</v>
      </c>
      <c r="I317" s="5">
        <f>IFERROR(__xludf.DUMMYFUNCTION("""COMPUTED_VALUE"""),23.0)</f>
        <v>23</v>
      </c>
      <c r="J317" s="4" t="str">
        <f>IFERROR(__xludf.DUMMYFUNCTION("""COMPUTED_VALUE"""),"Tier 3")</f>
        <v>Tier 3</v>
      </c>
      <c r="K317" s="4" t="str">
        <f>IFERROR(__xludf.DUMMYFUNCTION("""COMPUTED_VALUE"""),"Active")</f>
        <v>Active</v>
      </c>
      <c r="L317" s="4" t="str">
        <f>IFERROR(__xludf.DUMMYFUNCTION("""COMPUTED_VALUE"""),"BigQuery")</f>
        <v>BigQuery</v>
      </c>
    </row>
    <row r="318">
      <c r="A318" s="4" t="str">
        <f>IFERROR(__xludf.DUMMYFUNCTION("""COMPUTED_VALUE"""),"DME1997")</f>
        <v>DME1997</v>
      </c>
      <c r="B318" s="4" t="str">
        <f>IFERROR(__xludf.DUMMYFUNCTION("""COMPUTED_VALUE"""),"Mangesh Balasaheb Narwade")</f>
        <v>Mangesh Balasaheb Narwade</v>
      </c>
      <c r="C318" s="4" t="str">
        <f>IFERROR(__xludf.DUMMYFUNCTION("""COMPUTED_VALUE"""),"mangesh.narwade@onixnet.com")</f>
        <v>mangesh.narwade@onixnet.com</v>
      </c>
      <c r="D318" s="4" t="str">
        <f>IFERROR(__xludf.DUMMYFUNCTION("""COMPUTED_VALUE"""),"Active")</f>
        <v>Active</v>
      </c>
      <c r="E318" s="4" t="str">
        <f>IFERROR(__xludf.DUMMYFUNCTION("""COMPUTED_VALUE"""),"Delivery Services")</f>
        <v>Delivery Services</v>
      </c>
      <c r="F318" s="4" t="str">
        <f>IFERROR(__xludf.DUMMYFUNCTION("""COMPUTED_VALUE"""),"Amit Argade")</f>
        <v>Amit Argade</v>
      </c>
      <c r="G318" s="4" t="str">
        <f>IFERROR(__xludf.DUMMYFUNCTION("""COMPUTED_VALUE"""),"Cluster - Sagar")</f>
        <v>Cluster - Sagar</v>
      </c>
      <c r="H318" s="4" t="str">
        <f>IFERROR(__xludf.DUMMYFUNCTION("""COMPUTED_VALUE"""),"ONIMNRYW6")</f>
        <v>ONIMNRYW6</v>
      </c>
      <c r="I318" s="5">
        <f>IFERROR(__xludf.DUMMYFUNCTION("""COMPUTED_VALUE"""),14.0)</f>
        <v>14</v>
      </c>
      <c r="J318" s="4" t="str">
        <f>IFERROR(__xludf.DUMMYFUNCTION("""COMPUTED_VALUE"""),"Tier 4")</f>
        <v>Tier 4</v>
      </c>
      <c r="K318" s="4" t="str">
        <f>IFERROR(__xludf.DUMMYFUNCTION("""COMPUTED_VALUE"""),"Active")</f>
        <v>Active</v>
      </c>
      <c r="L318" s="4" t="str">
        <f>IFERROR(__xludf.DUMMYFUNCTION("""COMPUTED_VALUE"""),"BigQuery")</f>
        <v>BigQuery</v>
      </c>
    </row>
    <row r="319">
      <c r="A319" s="4" t="str">
        <f>IFERROR(__xludf.DUMMYFUNCTION("""COMPUTED_VALUE"""),"DME1989")</f>
        <v>DME1989</v>
      </c>
      <c r="B319" s="4" t="str">
        <f>IFERROR(__xludf.DUMMYFUNCTION("""COMPUTED_VALUE"""),"Akshada Balasaheb Daphal")</f>
        <v>Akshada Balasaheb Daphal</v>
      </c>
      <c r="C319" s="4" t="str">
        <f>IFERROR(__xludf.DUMMYFUNCTION("""COMPUTED_VALUE"""),"akshada.daphal@onixnet.com")</f>
        <v>akshada.daphal@onixnet.com</v>
      </c>
      <c r="D319" s="4" t="str">
        <f>IFERROR(__xludf.DUMMYFUNCTION("""COMPUTED_VALUE"""),"Active")</f>
        <v>Active</v>
      </c>
      <c r="E319" s="4" t="str">
        <f>IFERROR(__xludf.DUMMYFUNCTION("""COMPUTED_VALUE"""),"Delivery Services")</f>
        <v>Delivery Services</v>
      </c>
      <c r="F319" s="4" t="str">
        <f>IFERROR(__xludf.DUMMYFUNCTION("""COMPUTED_VALUE"""),"Manoj Patil")</f>
        <v>Manoj Patil</v>
      </c>
      <c r="G319" s="4" t="str">
        <f>IFERROR(__xludf.DUMMYFUNCTION("""COMPUTED_VALUE"""),"Cluster - Shreepad")</f>
        <v>Cluster - Shreepad</v>
      </c>
      <c r="H319" s="4" t="str">
        <f>IFERROR(__xludf.DUMMYFUNCTION("""COMPUTED_VALUE"""),"ONIADUCQ0")</f>
        <v>ONIADUCQ0</v>
      </c>
      <c r="I319" s="5">
        <f>IFERROR(__xludf.DUMMYFUNCTION("""COMPUTED_VALUE"""),10.0)</f>
        <v>10</v>
      </c>
      <c r="J319" s="4" t="str">
        <f>IFERROR(__xludf.DUMMYFUNCTION("""COMPUTED_VALUE"""),"Tier 4")</f>
        <v>Tier 4</v>
      </c>
      <c r="K319" s="4" t="str">
        <f>IFERROR(__xludf.DUMMYFUNCTION("""COMPUTED_VALUE"""),"Active")</f>
        <v>Active</v>
      </c>
      <c r="L319" s="4" t="str">
        <f>IFERROR(__xludf.DUMMYFUNCTION("""COMPUTED_VALUE"""),"Cloud SQL")</f>
        <v>Cloud SQL</v>
      </c>
    </row>
    <row r="320">
      <c r="A320" s="4" t="str">
        <f>IFERROR(__xludf.DUMMYFUNCTION("""COMPUTED_VALUE"""),"DME1987")</f>
        <v>DME1987</v>
      </c>
      <c r="B320" s="4" t="str">
        <f>IFERROR(__xludf.DUMMYFUNCTION("""COMPUTED_VALUE"""),"Aniket Bhausaheb Gorde")</f>
        <v>Aniket Bhausaheb Gorde</v>
      </c>
      <c r="C320" s="4" t="str">
        <f>IFERROR(__xludf.DUMMYFUNCTION("""COMPUTED_VALUE"""),"aniket.gorde@onixnet.com")</f>
        <v>aniket.gorde@onixnet.com</v>
      </c>
      <c r="D320" s="4" t="str">
        <f>IFERROR(__xludf.DUMMYFUNCTION("""COMPUTED_VALUE"""),"Active")</f>
        <v>Active</v>
      </c>
      <c r="E320" s="4" t="str">
        <f>IFERROR(__xludf.DUMMYFUNCTION("""COMPUTED_VALUE"""),"Delivery Services")</f>
        <v>Delivery Services</v>
      </c>
      <c r="F320" s="4" t="str">
        <f>IFERROR(__xludf.DUMMYFUNCTION("""COMPUTED_VALUE"""),"Manoj Patil")</f>
        <v>Manoj Patil</v>
      </c>
      <c r="G320" s="4" t="str">
        <f>IFERROR(__xludf.DUMMYFUNCTION("""COMPUTED_VALUE"""),"Cluster - Shreepad")</f>
        <v>Cluster - Shreepad</v>
      </c>
      <c r="H320" s="4" t="str">
        <f>IFERROR(__xludf.DUMMYFUNCTION("""COMPUTED_VALUE"""),"DATAGSDM4")</f>
        <v>DATAGSDM4</v>
      </c>
      <c r="I320" s="5">
        <f>IFERROR(__xludf.DUMMYFUNCTION("""COMPUTED_VALUE"""),24.0)</f>
        <v>24</v>
      </c>
      <c r="J320" s="4" t="str">
        <f>IFERROR(__xludf.DUMMYFUNCTION("""COMPUTED_VALUE"""),"Tier 3")</f>
        <v>Tier 3</v>
      </c>
      <c r="K320" s="4" t="str">
        <f>IFERROR(__xludf.DUMMYFUNCTION("""COMPUTED_VALUE"""),"Active")</f>
        <v>Active</v>
      </c>
      <c r="L320" s="4" t="str">
        <f>IFERROR(__xludf.DUMMYFUNCTION("""COMPUTED_VALUE"""),"AI Applications")</f>
        <v>AI Applications</v>
      </c>
    </row>
    <row r="321">
      <c r="A321" s="4" t="str">
        <f>IFERROR(__xludf.DUMMYFUNCTION("""COMPUTED_VALUE"""),"DME1985")</f>
        <v>DME1985</v>
      </c>
      <c r="B321" s="4" t="str">
        <f>IFERROR(__xludf.DUMMYFUNCTION("""COMPUTED_VALUE"""),"Mahesh Baburao Haloli")</f>
        <v>Mahesh Baburao Haloli</v>
      </c>
      <c r="C321" s="4" t="str">
        <f>IFERROR(__xludf.DUMMYFUNCTION("""COMPUTED_VALUE"""),"mahesh.haloli@onixnet.com")</f>
        <v>mahesh.haloli@onixnet.com</v>
      </c>
      <c r="D321" s="4" t="str">
        <f>IFERROR(__xludf.DUMMYFUNCTION("""COMPUTED_VALUE"""),"Active")</f>
        <v>Active</v>
      </c>
      <c r="E321" s="4" t="str">
        <f>IFERROR(__xludf.DUMMYFUNCTION("""COMPUTED_VALUE"""),"Delivery Services")</f>
        <v>Delivery Services</v>
      </c>
      <c r="F321" s="4" t="str">
        <f>IFERROR(__xludf.DUMMYFUNCTION("""COMPUTED_VALUE"""),"Dinesh Bhamare")</f>
        <v>Dinesh Bhamare</v>
      </c>
      <c r="G321" s="4" t="str">
        <f>IFERROR(__xludf.DUMMYFUNCTION("""COMPUTED_VALUE"""),"Cluster - Shreepad")</f>
        <v>Cluster - Shreepad</v>
      </c>
      <c r="H321" s="4" t="str">
        <f>IFERROR(__xludf.DUMMYFUNCTION("""COMPUTED_VALUE"""),"DATMHLHH9")</f>
        <v>DATMHLHH9</v>
      </c>
      <c r="I321" s="5">
        <f>IFERROR(__xludf.DUMMYFUNCTION("""COMPUTED_VALUE"""),11.0)</f>
        <v>11</v>
      </c>
      <c r="J321" s="4" t="str">
        <f>IFERROR(__xludf.DUMMYFUNCTION("""COMPUTED_VALUE"""),"Tier 4")</f>
        <v>Tier 4</v>
      </c>
      <c r="K321" s="4" t="str">
        <f>IFERROR(__xludf.DUMMYFUNCTION("""COMPUTED_VALUE"""),"Active")</f>
        <v>Active</v>
      </c>
      <c r="L321" s="4" t="str">
        <f>IFERROR(__xludf.DUMMYFUNCTION("""COMPUTED_VALUE"""),"BigQuery")</f>
        <v>BigQuery</v>
      </c>
    </row>
    <row r="322">
      <c r="A322" s="4" t="str">
        <f>IFERROR(__xludf.DUMMYFUNCTION("""COMPUTED_VALUE"""),"DME1984")</f>
        <v>DME1984</v>
      </c>
      <c r="B322" s="4" t="str">
        <f>IFERROR(__xludf.DUMMYFUNCTION("""COMPUTED_VALUE"""),"Shubhangi Narayan Belhekar")</f>
        <v>Shubhangi Narayan Belhekar</v>
      </c>
      <c r="C322" s="4" t="str">
        <f>IFERROR(__xludf.DUMMYFUNCTION("""COMPUTED_VALUE"""),"shubhangi.belhekar@onixnet.com")</f>
        <v>shubhangi.belhekar@onixnet.com</v>
      </c>
      <c r="D322" s="4" t="str">
        <f>IFERROR(__xludf.DUMMYFUNCTION("""COMPUTED_VALUE"""),"Active")</f>
        <v>Active</v>
      </c>
      <c r="E322" s="4" t="str">
        <f>IFERROR(__xludf.DUMMYFUNCTION("""COMPUTED_VALUE"""),"Professional Services")</f>
        <v>Professional Services</v>
      </c>
      <c r="F322" s="4" t="str">
        <f>IFERROR(__xludf.DUMMYFUNCTION("""COMPUTED_VALUE"""),"Hemanth Kolluru")</f>
        <v>Hemanth Kolluru</v>
      </c>
      <c r="G322" s="4" t="str">
        <f>IFERROR(__xludf.DUMMYFUNCTION("""COMPUTED_VALUE"""),"Cluster - Sachin")</f>
        <v>Cluster - Sachin</v>
      </c>
      <c r="H322" s="4" t="str">
        <f>IFERROR(__xludf.DUMMYFUNCTION("""COMPUTED_VALUE"""),"ONISBQGP7")</f>
        <v>ONISBQGP7</v>
      </c>
      <c r="I322" s="5">
        <f>IFERROR(__xludf.DUMMYFUNCTION("""COMPUTED_VALUE"""),14.0)</f>
        <v>14</v>
      </c>
      <c r="J322" s="4" t="str">
        <f>IFERROR(__xludf.DUMMYFUNCTION("""COMPUTED_VALUE"""),"Tier 4")</f>
        <v>Tier 4</v>
      </c>
      <c r="K322" s="4" t="str">
        <f>IFERROR(__xludf.DUMMYFUNCTION("""COMPUTED_VALUE"""),"Active")</f>
        <v>Active</v>
      </c>
      <c r="L322" s="4" t="str">
        <f>IFERROR(__xludf.DUMMYFUNCTION("""COMPUTED_VALUE"""),"Google Kubernetes Engine")</f>
        <v>Google Kubernetes Engine</v>
      </c>
    </row>
    <row r="323">
      <c r="A323" s="4" t="str">
        <f>IFERROR(__xludf.DUMMYFUNCTION("""COMPUTED_VALUE"""),"DME1981")</f>
        <v>DME1981</v>
      </c>
      <c r="B323" s="4" t="str">
        <f>IFERROR(__xludf.DUMMYFUNCTION("""COMPUTED_VALUE"""),"Abhishek Ramchandra Sathe")</f>
        <v>Abhishek Ramchandra Sathe</v>
      </c>
      <c r="C323" s="4" t="str">
        <f>IFERROR(__xludf.DUMMYFUNCTION("""COMPUTED_VALUE"""),"abhishek.sathe@onixnet.com")</f>
        <v>abhishek.sathe@onixnet.com</v>
      </c>
      <c r="D323" s="4" t="str">
        <f>IFERROR(__xludf.DUMMYFUNCTION("""COMPUTED_VALUE"""),"Active")</f>
        <v>Active</v>
      </c>
      <c r="E323" s="4" t="str">
        <f>IFERROR(__xludf.DUMMYFUNCTION("""COMPUTED_VALUE"""),"Product Engineering")</f>
        <v>Product Engineering</v>
      </c>
      <c r="F323" s="4" t="str">
        <f>IFERROR(__xludf.DUMMYFUNCTION("""COMPUTED_VALUE"""),"Laxmikant Chavan")</f>
        <v>Laxmikant Chavan</v>
      </c>
      <c r="G323" s="4" t="str">
        <f>IFERROR(__xludf.DUMMYFUNCTION("""COMPUTED_VALUE"""),"Cluster - Mayur")</f>
        <v>Cluster - Mayur</v>
      </c>
      <c r="H323" s="4" t="str">
        <f>IFERROR(__xludf.DUMMYFUNCTION("""COMPUTED_VALUE"""),"DATASZAT6")</f>
        <v>DATASZAT6</v>
      </c>
      <c r="I323" s="5">
        <f>IFERROR(__xludf.DUMMYFUNCTION("""COMPUTED_VALUE"""),11.0)</f>
        <v>11</v>
      </c>
      <c r="J323" s="4" t="str">
        <f>IFERROR(__xludf.DUMMYFUNCTION("""COMPUTED_VALUE"""),"Tier 4")</f>
        <v>Tier 4</v>
      </c>
      <c r="K323" s="4" t="str">
        <f>IFERROR(__xludf.DUMMYFUNCTION("""COMPUTED_VALUE"""),"Active")</f>
        <v>Active</v>
      </c>
      <c r="L323" s="4" t="str">
        <f>IFERROR(__xludf.DUMMYFUNCTION("""COMPUTED_VALUE"""),"BigQuery")</f>
        <v>BigQuery</v>
      </c>
    </row>
    <row r="324">
      <c r="A324" s="4" t="str">
        <f>IFERROR(__xludf.DUMMYFUNCTION("""COMPUTED_VALUE"""),"DME1980")</f>
        <v>DME1980</v>
      </c>
      <c r="B324" s="4" t="str">
        <f>IFERROR(__xludf.DUMMYFUNCTION("""COMPUTED_VALUE"""),"Supriya Dattatraya Bambe")</f>
        <v>Supriya Dattatraya Bambe</v>
      </c>
      <c r="C324" s="4" t="str">
        <f>IFERROR(__xludf.DUMMYFUNCTION("""COMPUTED_VALUE"""),"supriya.bambe@onixnet.com")</f>
        <v>supriya.bambe@onixnet.com</v>
      </c>
      <c r="D324" s="4" t="str">
        <f>IFERROR(__xludf.DUMMYFUNCTION("""COMPUTED_VALUE"""),"Active")</f>
        <v>Active</v>
      </c>
      <c r="E324" s="4" t="str">
        <f>IFERROR(__xludf.DUMMYFUNCTION("""COMPUTED_VALUE"""),"Product Engineering")</f>
        <v>Product Engineering</v>
      </c>
      <c r="F324" s="4" t="str">
        <f>IFERROR(__xludf.DUMMYFUNCTION("""COMPUTED_VALUE"""),"Laxmikant Chavan")</f>
        <v>Laxmikant Chavan</v>
      </c>
      <c r="G324" s="4" t="str">
        <f>IFERROR(__xludf.DUMMYFUNCTION("""COMPUTED_VALUE"""),"Cluster - Mayur")</f>
        <v>Cluster - Mayur</v>
      </c>
      <c r="H324" s="4" t="str">
        <f>IFERROR(__xludf.DUMMYFUNCTION("""COMPUTED_VALUE"""),"DATSBUMF7")</f>
        <v>DATSBUMF7</v>
      </c>
      <c r="I324" s="5">
        <f>IFERROR(__xludf.DUMMYFUNCTION("""COMPUTED_VALUE"""),21.0)</f>
        <v>21</v>
      </c>
      <c r="J324" s="4" t="str">
        <f>IFERROR(__xludf.DUMMYFUNCTION("""COMPUTED_VALUE"""),"Tier 3")</f>
        <v>Tier 3</v>
      </c>
      <c r="K324" s="4" t="str">
        <f>IFERROR(__xludf.DUMMYFUNCTION("""COMPUTED_VALUE"""),"Active")</f>
        <v>Active</v>
      </c>
      <c r="L324" s="4" t="str">
        <f>IFERROR(__xludf.DUMMYFUNCTION("""COMPUTED_VALUE"""),"BigQuery")</f>
        <v>BigQuery</v>
      </c>
    </row>
    <row r="325">
      <c r="A325" s="4" t="str">
        <f>IFERROR(__xludf.DUMMYFUNCTION("""COMPUTED_VALUE"""),"DME1979")</f>
        <v>DME1979</v>
      </c>
      <c r="B325" s="4" t="str">
        <f>IFERROR(__xludf.DUMMYFUNCTION("""COMPUTED_VALUE"""),"Priya Milind Ghodke")</f>
        <v>Priya Milind Ghodke</v>
      </c>
      <c r="C325" s="4" t="str">
        <f>IFERROR(__xludf.DUMMYFUNCTION("""COMPUTED_VALUE"""),"priya.ghodke@onixnet.com")</f>
        <v>priya.ghodke@onixnet.com</v>
      </c>
      <c r="D325" s="4" t="str">
        <f>IFERROR(__xludf.DUMMYFUNCTION("""COMPUTED_VALUE"""),"Active")</f>
        <v>Active</v>
      </c>
      <c r="E325" s="4" t="str">
        <f>IFERROR(__xludf.DUMMYFUNCTION("""COMPUTED_VALUE"""),"Delivery Services")</f>
        <v>Delivery Services</v>
      </c>
      <c r="F325" s="4" t="str">
        <f>IFERROR(__xludf.DUMMYFUNCTION("""COMPUTED_VALUE"""),"Omkar Sonawane")</f>
        <v>Omkar Sonawane</v>
      </c>
      <c r="G325" s="4" t="str">
        <f>IFERROR(__xludf.DUMMYFUNCTION("""COMPUTED_VALUE"""),"Cluster - Sagar")</f>
        <v>Cluster - Sagar</v>
      </c>
      <c r="H325" s="4" t="str">
        <f>IFERROR(__xludf.DUMMYFUNCTION("""COMPUTED_VALUE"""),"ONIPGWKG8")</f>
        <v>ONIPGWKG8</v>
      </c>
      <c r="I325" s="5">
        <f>IFERROR(__xludf.DUMMYFUNCTION("""COMPUTED_VALUE"""),14.0)</f>
        <v>14</v>
      </c>
      <c r="J325" s="4" t="str">
        <f>IFERROR(__xludf.DUMMYFUNCTION("""COMPUTED_VALUE"""),"Tier 4")</f>
        <v>Tier 4</v>
      </c>
      <c r="K325" s="4" t="str">
        <f>IFERROR(__xludf.DUMMYFUNCTION("""COMPUTED_VALUE"""),"Active")</f>
        <v>Active</v>
      </c>
      <c r="L325" s="4" t="str">
        <f>IFERROR(__xludf.DUMMYFUNCTION("""COMPUTED_VALUE"""),"Gemini Enterprise Agent Platform")</f>
        <v>Gemini Enterprise Agent Platform</v>
      </c>
    </row>
    <row r="326">
      <c r="A326" s="4" t="str">
        <f>IFERROR(__xludf.DUMMYFUNCTION("""COMPUTED_VALUE"""),"DME1978")</f>
        <v>DME1978</v>
      </c>
      <c r="B326" s="4" t="str">
        <f>IFERROR(__xludf.DUMMYFUNCTION("""COMPUTED_VALUE"""),"Varad Pradeep Mulay")</f>
        <v>Varad Pradeep Mulay</v>
      </c>
      <c r="C326" s="4" t="str">
        <f>IFERROR(__xludf.DUMMYFUNCTION("""COMPUTED_VALUE"""),"varad.mulay@onixnet.com")</f>
        <v>varad.mulay@onixnet.com</v>
      </c>
      <c r="D326" s="4" t="str">
        <f>IFERROR(__xludf.DUMMYFUNCTION("""COMPUTED_VALUE"""),"Active")</f>
        <v>Active</v>
      </c>
      <c r="E326" s="4" t="str">
        <f>IFERROR(__xludf.DUMMYFUNCTION("""COMPUTED_VALUE"""),"Product Engineering")</f>
        <v>Product Engineering</v>
      </c>
      <c r="F326" s="4" t="str">
        <f>IFERROR(__xludf.DUMMYFUNCTION("""COMPUTED_VALUE"""),"Nikhil Rajendra Patil")</f>
        <v>Nikhil Rajendra Patil</v>
      </c>
      <c r="G326" s="4" t="str">
        <f>IFERROR(__xludf.DUMMYFUNCTION("""COMPUTED_VALUE"""),"Cluster - Mayur")</f>
        <v>Cluster - Mayur</v>
      </c>
      <c r="H326" s="4" t="str">
        <f>IFERROR(__xludf.DUMMYFUNCTION("""COMPUTED_VALUE"""),"ONIVMPNJ9")</f>
        <v>ONIVMPNJ9</v>
      </c>
      <c r="I326" s="5">
        <f>IFERROR(__xludf.DUMMYFUNCTION("""COMPUTED_VALUE"""),24.0)</f>
        <v>24</v>
      </c>
      <c r="J326" s="4" t="str">
        <f>IFERROR(__xludf.DUMMYFUNCTION("""COMPUTED_VALUE"""),"Tier 3")</f>
        <v>Tier 3</v>
      </c>
      <c r="K326" s="4" t="str">
        <f>IFERROR(__xludf.DUMMYFUNCTION("""COMPUTED_VALUE"""),"Active")</f>
        <v>Active</v>
      </c>
      <c r="L326" s="4" t="str">
        <f>IFERROR(__xludf.DUMMYFUNCTION("""COMPUTED_VALUE"""),"AI Applications")</f>
        <v>AI Applications</v>
      </c>
    </row>
    <row r="327">
      <c r="A327" s="4" t="str">
        <f>IFERROR(__xludf.DUMMYFUNCTION("""COMPUTED_VALUE"""),"DME2010")</f>
        <v>DME2010</v>
      </c>
      <c r="B327" s="4" t="str">
        <f>IFERROR(__xludf.DUMMYFUNCTION("""COMPUTED_VALUE"""),"Manasi Sandip Kanade")</f>
        <v>Manasi Sandip Kanade</v>
      </c>
      <c r="C327" s="4" t="str">
        <f>IFERROR(__xludf.DUMMYFUNCTION("""COMPUTED_VALUE"""),"manasi.kanade@onixnet.com")</f>
        <v>manasi.kanade@onixnet.com</v>
      </c>
      <c r="D327" s="4" t="str">
        <f>IFERROR(__xludf.DUMMYFUNCTION("""COMPUTED_VALUE"""),"Active")</f>
        <v>Active</v>
      </c>
      <c r="E327" s="4" t="str">
        <f>IFERROR(__xludf.DUMMYFUNCTION("""COMPUTED_VALUE"""),"Delivery Services")</f>
        <v>Delivery Services</v>
      </c>
      <c r="F327" s="4" t="str">
        <f>IFERROR(__xludf.DUMMYFUNCTION("""COMPUTED_VALUE"""),"Pooja Chawda")</f>
        <v>Pooja Chawda</v>
      </c>
      <c r="G327" s="4" t="str">
        <f>IFERROR(__xludf.DUMMYFUNCTION("""COMPUTED_VALUE"""),"Cluster - Sandeep")</f>
        <v>Cluster - Sandeep</v>
      </c>
      <c r="H327" s="4" t="str">
        <f>IFERROR(__xludf.DUMMYFUNCTION("""COMPUTED_VALUE"""),"DATMKEBU9")</f>
        <v>DATMKEBU9</v>
      </c>
      <c r="I327" s="5">
        <f>IFERROR(__xludf.DUMMYFUNCTION("""COMPUTED_VALUE"""),20.0)</f>
        <v>20</v>
      </c>
      <c r="J327" s="4" t="str">
        <f>IFERROR(__xludf.DUMMYFUNCTION("""COMPUTED_VALUE"""),"Tier 3")</f>
        <v>Tier 3</v>
      </c>
      <c r="K327" s="4" t="str">
        <f>IFERROR(__xludf.DUMMYFUNCTION("""COMPUTED_VALUE"""),"Active")</f>
        <v>Active</v>
      </c>
      <c r="L327" s="4" t="str">
        <f>IFERROR(__xludf.DUMMYFUNCTION("""COMPUTED_VALUE"""),"Dataflow")</f>
        <v>Dataflow</v>
      </c>
    </row>
    <row r="328">
      <c r="A328" s="4" t="str">
        <f>IFERROR(__xludf.DUMMYFUNCTION("""COMPUTED_VALUE"""),"DME2075")</f>
        <v>DME2075</v>
      </c>
      <c r="B328" s="4" t="str">
        <f>IFERROR(__xludf.DUMMYFUNCTION("""COMPUTED_VALUE"""),"Rohit Sharma")</f>
        <v>Rohit Sharma</v>
      </c>
      <c r="C328" s="4" t="str">
        <f>IFERROR(__xludf.DUMMYFUNCTION("""COMPUTED_VALUE"""),"Rohit.Sharma1@onixnet.com")</f>
        <v>Rohit.Sharma1@onixnet.com</v>
      </c>
      <c r="D328" s="4" t="str">
        <f>IFERROR(__xludf.DUMMYFUNCTION("""COMPUTED_VALUE"""),"Active")</f>
        <v>Active</v>
      </c>
      <c r="E328" s="4" t="str">
        <f>IFERROR(__xludf.DUMMYFUNCTION("""COMPUTED_VALUE"""),"Product Engineering")</f>
        <v>Product Engineering</v>
      </c>
      <c r="F328" s="4" t="str">
        <f>IFERROR(__xludf.DUMMYFUNCTION("""COMPUTED_VALUE"""),"Ketan Dosi")</f>
        <v>Ketan Dosi</v>
      </c>
      <c r="G328" s="4" t="str">
        <f>IFERROR(__xludf.DUMMYFUNCTION("""COMPUTED_VALUE"""),"Cluster - Mayur")</f>
        <v>Cluster - Mayur</v>
      </c>
      <c r="H328" s="4" t="str">
        <f>IFERROR(__xludf.DUMMYFUNCTION("""COMPUTED_VALUE"""),"ONIRSIHD3")</f>
        <v>ONIRSIHD3</v>
      </c>
      <c r="I328" s="5">
        <f>IFERROR(__xludf.DUMMYFUNCTION("""COMPUTED_VALUE"""),15.0)</f>
        <v>15</v>
      </c>
      <c r="J328" s="4" t="str">
        <f>IFERROR(__xludf.DUMMYFUNCTION("""COMPUTED_VALUE"""),"Tier 4")</f>
        <v>Tier 4</v>
      </c>
      <c r="K328" s="4" t="str">
        <f>IFERROR(__xludf.DUMMYFUNCTION("""COMPUTED_VALUE"""),"Active")</f>
        <v>Active</v>
      </c>
      <c r="L328" s="4" t="str">
        <f>IFERROR(__xludf.DUMMYFUNCTION("""COMPUTED_VALUE"""),"AI Applications")</f>
        <v>AI Applications</v>
      </c>
    </row>
    <row r="329">
      <c r="A329" s="4" t="str">
        <f>IFERROR(__xludf.DUMMYFUNCTION("""COMPUTED_VALUE"""),"DME2079")</f>
        <v>DME2079</v>
      </c>
      <c r="B329" s="4" t="str">
        <f>IFERROR(__xludf.DUMMYFUNCTION("""COMPUTED_VALUE"""),"Mayuri Vijay Patole")</f>
        <v>Mayuri Vijay Patole</v>
      </c>
      <c r="C329" s="4" t="str">
        <f>IFERROR(__xludf.DUMMYFUNCTION("""COMPUTED_VALUE"""),"mayuri.patole@onixnet.com")</f>
        <v>mayuri.patole@onixnet.com</v>
      </c>
      <c r="D329" s="4" t="str">
        <f>IFERROR(__xludf.DUMMYFUNCTION("""COMPUTED_VALUE"""),"Active")</f>
        <v>Active</v>
      </c>
      <c r="E329" s="4" t="str">
        <f>IFERROR(__xludf.DUMMYFUNCTION("""COMPUTED_VALUE"""),"Delivery Services")</f>
        <v>Delivery Services</v>
      </c>
      <c r="F329" s="4" t="str">
        <f>IFERROR(__xludf.DUMMYFUNCTION("""COMPUTED_VALUE"""),"Vishal Verma")</f>
        <v>Vishal Verma</v>
      </c>
      <c r="G329" s="4" t="str">
        <f>IFERROR(__xludf.DUMMYFUNCTION("""COMPUTED_VALUE"""),"Cluster - Sachin")</f>
        <v>Cluster - Sachin</v>
      </c>
      <c r="H329" s="4" t="str">
        <f>IFERROR(__xludf.DUMMYFUNCTION("""COMPUTED_VALUE"""),"ONIMPAYZ6")</f>
        <v>ONIMPAYZ6</v>
      </c>
      <c r="I329" s="5">
        <f>IFERROR(__xludf.DUMMYFUNCTION("""COMPUTED_VALUE"""),19.0)</f>
        <v>19</v>
      </c>
      <c r="J329" s="4" t="str">
        <f>IFERROR(__xludf.DUMMYFUNCTION("""COMPUTED_VALUE"""),"Tier 4")</f>
        <v>Tier 4</v>
      </c>
      <c r="K329" s="4" t="str">
        <f>IFERROR(__xludf.DUMMYFUNCTION("""COMPUTED_VALUE"""),"Active")</f>
        <v>Active</v>
      </c>
      <c r="L329" s="4" t="str">
        <f>IFERROR(__xludf.DUMMYFUNCTION("""COMPUTED_VALUE"""),"BigQuery")</f>
        <v>BigQuery</v>
      </c>
    </row>
    <row r="330">
      <c r="A330" s="4" t="str">
        <f>IFERROR(__xludf.DUMMYFUNCTION("""COMPUTED_VALUE"""),"DME2077")</f>
        <v>DME2077</v>
      </c>
      <c r="B330" s="4" t="str">
        <f>IFERROR(__xludf.DUMMYFUNCTION("""COMPUTED_VALUE"""),"Pranay Raju Lonare")</f>
        <v>Pranay Raju Lonare</v>
      </c>
      <c r="C330" s="4" t="str">
        <f>IFERROR(__xludf.DUMMYFUNCTION("""COMPUTED_VALUE"""),"pranay.lonare@onixnet.com")</f>
        <v>pranay.lonare@onixnet.com</v>
      </c>
      <c r="D330" s="4" t="str">
        <f>IFERROR(__xludf.DUMMYFUNCTION("""COMPUTED_VALUE"""),"Active")</f>
        <v>Active</v>
      </c>
      <c r="E330" s="4" t="str">
        <f>IFERROR(__xludf.DUMMYFUNCTION("""COMPUTED_VALUE"""),"Delivery Services")</f>
        <v>Delivery Services</v>
      </c>
      <c r="F330" s="4" t="str">
        <f>IFERROR(__xludf.DUMMYFUNCTION("""COMPUTED_VALUE"""),"Vurimi Vamsi Krishna")</f>
        <v>Vurimi Vamsi Krishna</v>
      </c>
      <c r="G330" s="4" t="str">
        <f>IFERROR(__xludf.DUMMYFUNCTION("""COMPUTED_VALUE"""),"Cluster - Varun")</f>
        <v>Cluster - Varun</v>
      </c>
      <c r="H330" s="4" t="str">
        <f>IFERROR(__xludf.DUMMYFUNCTION("""COMPUTED_VALUE"""),"ONIPLHCS2")</f>
        <v>ONIPLHCS2</v>
      </c>
      <c r="I330" s="5">
        <f>IFERROR(__xludf.DUMMYFUNCTION("""COMPUTED_VALUE"""),52.0)</f>
        <v>52</v>
      </c>
      <c r="J330" s="4" t="str">
        <f>IFERROR(__xludf.DUMMYFUNCTION("""COMPUTED_VALUE"""),"Tier 1")</f>
        <v>Tier 1</v>
      </c>
      <c r="K330" s="4" t="str">
        <f>IFERROR(__xludf.DUMMYFUNCTION("""COMPUTED_VALUE"""),"Active")</f>
        <v>Active</v>
      </c>
      <c r="L330" s="4" t="str">
        <f>IFERROR(__xludf.DUMMYFUNCTION("""COMPUTED_VALUE"""),"BigQuery")</f>
        <v>BigQuery</v>
      </c>
    </row>
    <row r="331">
      <c r="A331" s="4" t="str">
        <f>IFERROR(__xludf.DUMMYFUNCTION("""COMPUTED_VALUE"""),"DME2081")</f>
        <v>DME2081</v>
      </c>
      <c r="B331" s="4" t="str">
        <f>IFERROR(__xludf.DUMMYFUNCTION("""COMPUTED_VALUE"""),"Rohit Joshi")</f>
        <v>Rohit Joshi</v>
      </c>
      <c r="C331" s="4" t="str">
        <f>IFERROR(__xludf.DUMMYFUNCTION("""COMPUTED_VALUE"""),"rohit.joshi@onixnet.com")</f>
        <v>rohit.joshi@onixnet.com</v>
      </c>
      <c r="D331" s="4" t="str">
        <f>IFERROR(__xludf.DUMMYFUNCTION("""COMPUTED_VALUE"""),"Active")</f>
        <v>Active</v>
      </c>
      <c r="E331" s="4" t="str">
        <f>IFERROR(__xludf.DUMMYFUNCTION("""COMPUTED_VALUE"""),"Product Engineering")</f>
        <v>Product Engineering</v>
      </c>
      <c r="F331" s="4" t="str">
        <f>IFERROR(__xludf.DUMMYFUNCTION("""COMPUTED_VALUE"""),"Shailesh Kumbhar")</f>
        <v>Shailesh Kumbhar</v>
      </c>
      <c r="G331" s="4" t="str">
        <f>IFERROR(__xludf.DUMMYFUNCTION("""COMPUTED_VALUE"""),"Cluster - Mayur")</f>
        <v>Cluster - Mayur</v>
      </c>
      <c r="H331" s="4" t="str">
        <f>IFERROR(__xludf.DUMMYFUNCTION("""COMPUTED_VALUE"""),"ONIRJGEC4")</f>
        <v>ONIRJGEC4</v>
      </c>
      <c r="I331" s="5">
        <f>IFERROR(__xludf.DUMMYFUNCTION("""COMPUTED_VALUE"""),10.0)</f>
        <v>10</v>
      </c>
      <c r="J331" s="4" t="str">
        <f>IFERROR(__xludf.DUMMYFUNCTION("""COMPUTED_VALUE"""),"Tier 4")</f>
        <v>Tier 4</v>
      </c>
      <c r="K331" s="4" t="str">
        <f>IFERROR(__xludf.DUMMYFUNCTION("""COMPUTED_VALUE"""),"Active")</f>
        <v>Active</v>
      </c>
      <c r="L331" s="4" t="str">
        <f>IFERROR(__xludf.DUMMYFUNCTION("""COMPUTED_VALUE"""),"AI Applications")</f>
        <v>AI Applications</v>
      </c>
    </row>
    <row r="332">
      <c r="A332" s="4" t="str">
        <f>IFERROR(__xludf.DUMMYFUNCTION("""COMPUTED_VALUE"""),"DME2092")</f>
        <v>DME2092</v>
      </c>
      <c r="B332" s="4" t="str">
        <f>IFERROR(__xludf.DUMMYFUNCTION("""COMPUTED_VALUE"""),"Jagruti Vikas Sonawane")</f>
        <v>Jagruti Vikas Sonawane</v>
      </c>
      <c r="C332" s="4" t="str">
        <f>IFERROR(__xludf.DUMMYFUNCTION("""COMPUTED_VALUE"""),"jagruti.sonawane@onixnet.com")</f>
        <v>jagruti.sonawane@onixnet.com</v>
      </c>
      <c r="D332" s="4" t="str">
        <f>IFERROR(__xludf.DUMMYFUNCTION("""COMPUTED_VALUE"""),"Active")</f>
        <v>Active</v>
      </c>
      <c r="E332" s="4" t="str">
        <f>IFERROR(__xludf.DUMMYFUNCTION("""COMPUTED_VALUE"""),"Delivery Services")</f>
        <v>Delivery Services</v>
      </c>
      <c r="F332" s="4" t="str">
        <f>IFERROR(__xludf.DUMMYFUNCTION("""COMPUTED_VALUE"""),"Hemanth Kolluru")</f>
        <v>Hemanth Kolluru</v>
      </c>
      <c r="G332" s="4" t="str">
        <f>IFERROR(__xludf.DUMMYFUNCTION("""COMPUTED_VALUE"""),"Cluster - Sachin")</f>
        <v>Cluster - Sachin</v>
      </c>
      <c r="H332" s="4" t="str">
        <f>IFERROR(__xludf.DUMMYFUNCTION("""COMPUTED_VALUE"""),"DATJSUPR5")</f>
        <v>DATJSUPR5</v>
      </c>
      <c r="I332" s="5">
        <f>IFERROR(__xludf.DUMMYFUNCTION("""COMPUTED_VALUE"""),24.0)</f>
        <v>24</v>
      </c>
      <c r="J332" s="4" t="str">
        <f>IFERROR(__xludf.DUMMYFUNCTION("""COMPUTED_VALUE"""),"Tier 3")</f>
        <v>Tier 3</v>
      </c>
      <c r="K332" s="4" t="str">
        <f>IFERROR(__xludf.DUMMYFUNCTION("""COMPUTED_VALUE"""),"Active")</f>
        <v>Active</v>
      </c>
      <c r="L332" s="4" t="str">
        <f>IFERROR(__xludf.DUMMYFUNCTION("""COMPUTED_VALUE"""),"Google Kubernetes Engine")</f>
        <v>Google Kubernetes Engine</v>
      </c>
    </row>
    <row r="333">
      <c r="A333" s="4" t="str">
        <f>IFERROR(__xludf.DUMMYFUNCTION("""COMPUTED_VALUE"""),"DME2090")</f>
        <v>DME2090</v>
      </c>
      <c r="B333" s="4" t="str">
        <f>IFERROR(__xludf.DUMMYFUNCTION("""COMPUTED_VALUE"""),"Vipin Ambalal Jain")</f>
        <v>Vipin Ambalal Jain</v>
      </c>
      <c r="C333" s="4" t="str">
        <f>IFERROR(__xludf.DUMMYFUNCTION("""COMPUTED_VALUE"""),"vipin.jain@onixnet.com")</f>
        <v>vipin.jain@onixnet.com</v>
      </c>
      <c r="D333" s="4" t="str">
        <f>IFERROR(__xludf.DUMMYFUNCTION("""COMPUTED_VALUE"""),"Active")</f>
        <v>Active</v>
      </c>
      <c r="E333" s="4" t="str">
        <f>IFERROR(__xludf.DUMMYFUNCTION("""COMPUTED_VALUE"""),"Delivery Services")</f>
        <v>Delivery Services</v>
      </c>
      <c r="F333" s="4" t="str">
        <f>IFERROR(__xludf.DUMMYFUNCTION("""COMPUTED_VALUE"""),"Pooja Chawda")</f>
        <v>Pooja Chawda</v>
      </c>
      <c r="G333" s="4" t="str">
        <f>IFERROR(__xludf.DUMMYFUNCTION("""COMPUTED_VALUE"""),"Cluster - Sandeep")</f>
        <v>Cluster - Sandeep</v>
      </c>
      <c r="H333" s="4" t="str">
        <f>IFERROR(__xludf.DUMMYFUNCTION("""COMPUTED_VALUE"""),"ONIVJFSL2")</f>
        <v>ONIVJFSL2</v>
      </c>
      <c r="I333" s="5">
        <f>IFERROR(__xludf.DUMMYFUNCTION("""COMPUTED_VALUE"""),24.0)</f>
        <v>24</v>
      </c>
      <c r="J333" s="4" t="str">
        <f>IFERROR(__xludf.DUMMYFUNCTION("""COMPUTED_VALUE"""),"Tier 3")</f>
        <v>Tier 3</v>
      </c>
      <c r="K333" s="4" t="str">
        <f>IFERROR(__xludf.DUMMYFUNCTION("""COMPUTED_VALUE"""),"Active")</f>
        <v>Active</v>
      </c>
      <c r="L333" s="4" t="str">
        <f>IFERROR(__xludf.DUMMYFUNCTION("""COMPUTED_VALUE"""),"BigQuery")</f>
        <v>BigQuery</v>
      </c>
    </row>
    <row r="334">
      <c r="A334" s="4" t="str">
        <f>IFERROR(__xludf.DUMMYFUNCTION("""COMPUTED_VALUE"""),"DME2100")</f>
        <v>DME2100</v>
      </c>
      <c r="B334" s="4" t="str">
        <f>IFERROR(__xludf.DUMMYFUNCTION("""COMPUTED_VALUE"""),"Sarang Katre")</f>
        <v>Sarang Katre</v>
      </c>
      <c r="C334" s="4" t="str">
        <f>IFERROR(__xludf.DUMMYFUNCTION("""COMPUTED_VALUE"""),"sarang.katre@onixnet.com")</f>
        <v>sarang.katre@onixnet.com</v>
      </c>
      <c r="D334" s="4" t="str">
        <f>IFERROR(__xludf.DUMMYFUNCTION("""COMPUTED_VALUE"""),"Active")</f>
        <v>Active</v>
      </c>
      <c r="E334" s="4" t="str">
        <f>IFERROR(__xludf.DUMMYFUNCTION("""COMPUTED_VALUE"""),"Delivery Services")</f>
        <v>Delivery Services</v>
      </c>
      <c r="F334" s="4" t="str">
        <f>IFERROR(__xludf.DUMMYFUNCTION("""COMPUTED_VALUE"""),"Ashwini Kumar")</f>
        <v>Ashwini Kumar</v>
      </c>
      <c r="G334" s="4" t="str">
        <f>IFERROR(__xludf.DUMMYFUNCTION("""COMPUTED_VALUE"""),"Cluster - Kanhaiya")</f>
        <v>Cluster - Kanhaiya</v>
      </c>
      <c r="H334" s="4" t="str">
        <f>IFERROR(__xludf.DUMMYFUNCTION("""COMPUTED_VALUE"""),"ONISKWTF5")</f>
        <v>ONISKWTF5</v>
      </c>
      <c r="I334" s="5">
        <f>IFERROR(__xludf.DUMMYFUNCTION("""COMPUTED_VALUE"""),8.0)</f>
        <v>8</v>
      </c>
      <c r="J334" s="4" t="str">
        <f>IFERROR(__xludf.DUMMYFUNCTION("""COMPUTED_VALUE"""),"Tier 4")</f>
        <v>Tier 4</v>
      </c>
      <c r="K334" s="4" t="str">
        <f>IFERROR(__xludf.DUMMYFUNCTION("""COMPUTED_VALUE"""),"Active")</f>
        <v>Active</v>
      </c>
      <c r="L334" s="4" t="str">
        <f>IFERROR(__xludf.DUMMYFUNCTION("""COMPUTED_VALUE"""),"Dataflow")</f>
        <v>Dataflow</v>
      </c>
    </row>
    <row r="335">
      <c r="A335" s="4" t="str">
        <f>IFERROR(__xludf.DUMMYFUNCTION("""COMPUTED_VALUE"""),"DME2103")</f>
        <v>DME2103</v>
      </c>
      <c r="B335" s="4" t="str">
        <f>IFERROR(__xludf.DUMMYFUNCTION("""COMPUTED_VALUE"""),"Saurabh Kalyan Shendge")</f>
        <v>Saurabh Kalyan Shendge</v>
      </c>
      <c r="C335" s="4" t="str">
        <f>IFERROR(__xludf.DUMMYFUNCTION("""COMPUTED_VALUE"""),"saurabh.shendge@onixnet.com")</f>
        <v>saurabh.shendge@onixnet.com</v>
      </c>
      <c r="D335" s="4" t="str">
        <f>IFERROR(__xludf.DUMMYFUNCTION("""COMPUTED_VALUE"""),"Active")</f>
        <v>Active</v>
      </c>
      <c r="E335" s="4" t="str">
        <f>IFERROR(__xludf.DUMMYFUNCTION("""COMPUTED_VALUE"""),"Delivery Services")</f>
        <v>Delivery Services</v>
      </c>
      <c r="F335" s="4" t="str">
        <f>IFERROR(__xludf.DUMMYFUNCTION("""COMPUTED_VALUE"""),"Amish Ojha")</f>
        <v>Amish Ojha</v>
      </c>
      <c r="G335" s="4" t="str">
        <f>IFERROR(__xludf.DUMMYFUNCTION("""COMPUTED_VALUE"""),"Cluster - Gaurav")</f>
        <v>Cluster - Gaurav</v>
      </c>
      <c r="H335" s="4" t="str">
        <f>IFERROR(__xludf.DUMMYFUNCTION("""COMPUTED_VALUE"""),"ONISSLAX7")</f>
        <v>ONISSLAX7</v>
      </c>
      <c r="I335" s="5">
        <f>IFERROR(__xludf.DUMMYFUNCTION("""COMPUTED_VALUE"""),22.0)</f>
        <v>22</v>
      </c>
      <c r="J335" s="4" t="str">
        <f>IFERROR(__xludf.DUMMYFUNCTION("""COMPUTED_VALUE"""),"Tier 3")</f>
        <v>Tier 3</v>
      </c>
      <c r="K335" s="4" t="str">
        <f>IFERROR(__xludf.DUMMYFUNCTION("""COMPUTED_VALUE"""),"Active")</f>
        <v>Active</v>
      </c>
      <c r="L335" s="4" t="str">
        <f>IFERROR(__xludf.DUMMYFUNCTION("""COMPUTED_VALUE"""),"AI Applications")</f>
        <v>AI Applications</v>
      </c>
    </row>
    <row r="336">
      <c r="A336" s="4" t="str">
        <f>IFERROR(__xludf.DUMMYFUNCTION("""COMPUTED_VALUE"""),"DME2110")</f>
        <v>DME2110</v>
      </c>
      <c r="B336" s="4" t="str">
        <f>IFERROR(__xludf.DUMMYFUNCTION("""COMPUTED_VALUE"""),"Ajay Dattarao Andhale")</f>
        <v>Ajay Dattarao Andhale</v>
      </c>
      <c r="C336" s="4" t="str">
        <f>IFERROR(__xludf.DUMMYFUNCTION("""COMPUTED_VALUE"""),"ajay.andhale@onixnet.com")</f>
        <v>ajay.andhale@onixnet.com</v>
      </c>
      <c r="D336" s="4" t="str">
        <f>IFERROR(__xludf.DUMMYFUNCTION("""COMPUTED_VALUE"""),"Active")</f>
        <v>Active</v>
      </c>
      <c r="E336" s="4" t="str">
        <f>IFERROR(__xludf.DUMMYFUNCTION("""COMPUTED_VALUE"""),"Product Engineering")</f>
        <v>Product Engineering</v>
      </c>
      <c r="F336" s="4" t="str">
        <f>IFERROR(__xludf.DUMMYFUNCTION("""COMPUTED_VALUE"""),"Shantanu Charpe")</f>
        <v>Shantanu Charpe</v>
      </c>
      <c r="G336" s="4" t="str">
        <f>IFERROR(__xludf.DUMMYFUNCTION("""COMPUTED_VALUE"""),"Cluster - Mayur")</f>
        <v>Cluster - Mayur</v>
      </c>
      <c r="H336" s="4" t="str">
        <f>IFERROR(__xludf.DUMMYFUNCTION("""COMPUTED_VALUE"""),"ONIAAVGH0")</f>
        <v>ONIAAVGH0</v>
      </c>
      <c r="I336" s="5">
        <f>IFERROR(__xludf.DUMMYFUNCTION("""COMPUTED_VALUE"""),17.0)</f>
        <v>17</v>
      </c>
      <c r="J336" s="4" t="str">
        <f>IFERROR(__xludf.DUMMYFUNCTION("""COMPUTED_VALUE"""),"Tier 4")</f>
        <v>Tier 4</v>
      </c>
      <c r="K336" s="4" t="str">
        <f>IFERROR(__xludf.DUMMYFUNCTION("""COMPUTED_VALUE"""),"Active")</f>
        <v>Active</v>
      </c>
      <c r="L336" s="4" t="str">
        <f>IFERROR(__xludf.DUMMYFUNCTION("""COMPUTED_VALUE"""),"Google Kubernetes Engine")</f>
        <v>Google Kubernetes Engine</v>
      </c>
    </row>
    <row r="337">
      <c r="A337" s="4" t="str">
        <f>IFERROR(__xludf.DUMMYFUNCTION("""COMPUTED_VALUE"""),"DME2109")</f>
        <v>DME2109</v>
      </c>
      <c r="B337" s="4" t="str">
        <f>IFERROR(__xludf.DUMMYFUNCTION("""COMPUTED_VALUE"""),"Bavaskar Abhishek Sunil")</f>
        <v>Bavaskar Abhishek Sunil</v>
      </c>
      <c r="C337" s="4" t="str">
        <f>IFERROR(__xludf.DUMMYFUNCTION("""COMPUTED_VALUE"""),"abhishek.bavaskar@onixnet.com")</f>
        <v>abhishek.bavaskar@onixnet.com</v>
      </c>
      <c r="D337" s="4" t="str">
        <f>IFERROR(__xludf.DUMMYFUNCTION("""COMPUTED_VALUE"""),"Active")</f>
        <v>Active</v>
      </c>
      <c r="E337" s="4" t="str">
        <f>IFERROR(__xludf.DUMMYFUNCTION("""COMPUTED_VALUE"""),"Product Engineering")</f>
        <v>Product Engineering</v>
      </c>
      <c r="F337" s="4" t="str">
        <f>IFERROR(__xludf.DUMMYFUNCTION("""COMPUTED_VALUE"""),"Rohit Joshi")</f>
        <v>Rohit Joshi</v>
      </c>
      <c r="G337" s="4" t="str">
        <f>IFERROR(__xludf.DUMMYFUNCTION("""COMPUTED_VALUE"""),"Cluster - Mayur")</f>
        <v>Cluster - Mayur</v>
      </c>
      <c r="H337" s="4" t="str">
        <f>IFERROR(__xludf.DUMMYFUNCTION("""COMPUTED_VALUE"""),"ONIABUMC9")</f>
        <v>ONIABUMC9</v>
      </c>
      <c r="I337" s="5">
        <f>IFERROR(__xludf.DUMMYFUNCTION("""COMPUTED_VALUE"""),10.0)</f>
        <v>10</v>
      </c>
      <c r="J337" s="4" t="str">
        <f>IFERROR(__xludf.DUMMYFUNCTION("""COMPUTED_VALUE"""),"Tier 4")</f>
        <v>Tier 4</v>
      </c>
      <c r="K337" s="4" t="str">
        <f>IFERROR(__xludf.DUMMYFUNCTION("""COMPUTED_VALUE"""),"Active")</f>
        <v>Active</v>
      </c>
      <c r="L337" s="4" t="str">
        <f>IFERROR(__xludf.DUMMYFUNCTION("""COMPUTED_VALUE"""),"AI Applications")</f>
        <v>AI Applications</v>
      </c>
    </row>
    <row r="338">
      <c r="A338" s="4" t="str">
        <f>IFERROR(__xludf.DUMMYFUNCTION("""COMPUTED_VALUE"""),"DME2107")</f>
        <v>DME2107</v>
      </c>
      <c r="B338" s="4" t="str">
        <f>IFERROR(__xludf.DUMMYFUNCTION("""COMPUTED_VALUE"""),"Tushar Ravindra Sthul")</f>
        <v>Tushar Ravindra Sthul</v>
      </c>
      <c r="C338" s="4" t="str">
        <f>IFERROR(__xludf.DUMMYFUNCTION("""COMPUTED_VALUE"""),"tushar.sthul@onixnet.com")</f>
        <v>tushar.sthul@onixnet.com</v>
      </c>
      <c r="D338" s="4" t="str">
        <f>IFERROR(__xludf.DUMMYFUNCTION("""COMPUTED_VALUE"""),"Active")</f>
        <v>Active</v>
      </c>
      <c r="E338" s="4" t="str">
        <f>IFERROR(__xludf.DUMMYFUNCTION("""COMPUTED_VALUE"""),"Product Engineering")</f>
        <v>Product Engineering</v>
      </c>
      <c r="F338" s="4" t="str">
        <f>IFERROR(__xludf.DUMMYFUNCTION("""COMPUTED_VALUE"""),"Rahul Panwar")</f>
        <v>Rahul Panwar</v>
      </c>
      <c r="G338" s="4" t="str">
        <f>IFERROR(__xludf.DUMMYFUNCTION("""COMPUTED_VALUE"""),"Cluster - Mayur")</f>
        <v>Cluster - Mayur</v>
      </c>
      <c r="H338" s="4" t="str">
        <f>IFERROR(__xludf.DUMMYFUNCTION("""COMPUTED_VALUE"""),"ONITSNZY0")</f>
        <v>ONITSNZY0</v>
      </c>
      <c r="I338" s="5">
        <f>IFERROR(__xludf.DUMMYFUNCTION("""COMPUTED_VALUE"""),20.0)</f>
        <v>20</v>
      </c>
      <c r="J338" s="4" t="str">
        <f>IFERROR(__xludf.DUMMYFUNCTION("""COMPUTED_VALUE"""),"Tier 3")</f>
        <v>Tier 3</v>
      </c>
      <c r="K338" s="4" t="str">
        <f>IFERROR(__xludf.DUMMYFUNCTION("""COMPUTED_VALUE"""),"Active")</f>
        <v>Active</v>
      </c>
      <c r="L338" s="4" t="str">
        <f>IFERROR(__xludf.DUMMYFUNCTION("""COMPUTED_VALUE"""),"AI Applications")</f>
        <v>AI Applications</v>
      </c>
    </row>
    <row r="339">
      <c r="A339" s="4" t="str">
        <f>IFERROR(__xludf.DUMMYFUNCTION("""COMPUTED_VALUE"""),"DME2106")</f>
        <v>DME2106</v>
      </c>
      <c r="B339" s="4" t="str">
        <f>IFERROR(__xludf.DUMMYFUNCTION("""COMPUTED_VALUE"""),"Ajinkya Madhavrao Patil")</f>
        <v>Ajinkya Madhavrao Patil</v>
      </c>
      <c r="C339" s="4" t="str">
        <f>IFERROR(__xludf.DUMMYFUNCTION("""COMPUTED_VALUE"""),"ajinkya.patil@onixnet.com")</f>
        <v>ajinkya.patil@onixnet.com</v>
      </c>
      <c r="D339" s="4" t="str">
        <f>IFERROR(__xludf.DUMMYFUNCTION("""COMPUTED_VALUE"""),"Active")</f>
        <v>Active</v>
      </c>
      <c r="E339" s="4" t="str">
        <f>IFERROR(__xludf.DUMMYFUNCTION("""COMPUTED_VALUE"""),"Product Engineering")</f>
        <v>Product Engineering</v>
      </c>
      <c r="F339" s="4" t="str">
        <f>IFERROR(__xludf.DUMMYFUNCTION("""COMPUTED_VALUE"""),"Yogendra Singh")</f>
        <v>Yogendra Singh</v>
      </c>
      <c r="G339" s="4" t="str">
        <f>IFERROR(__xludf.DUMMYFUNCTION("""COMPUTED_VALUE"""),"Cluster - Mayur")</f>
        <v>Cluster - Mayur</v>
      </c>
      <c r="H339" s="4" t="str">
        <f>IFERROR(__xludf.DUMMYFUNCTION("""COMPUTED_VALUE"""),"ONIAPRGZ9")</f>
        <v>ONIAPRGZ9</v>
      </c>
      <c r="I339" s="5">
        <f>IFERROR(__xludf.DUMMYFUNCTION("""COMPUTED_VALUE"""),10.0)</f>
        <v>10</v>
      </c>
      <c r="J339" s="4" t="str">
        <f>IFERROR(__xludf.DUMMYFUNCTION("""COMPUTED_VALUE"""),"Tier 4")</f>
        <v>Tier 4</v>
      </c>
      <c r="K339" s="4" t="str">
        <f>IFERROR(__xludf.DUMMYFUNCTION("""COMPUTED_VALUE"""),"Active")</f>
        <v>Active</v>
      </c>
      <c r="L339" s="4" t="str">
        <f>IFERROR(__xludf.DUMMYFUNCTION("""COMPUTED_VALUE"""),"Google Kubernetes Engine")</f>
        <v>Google Kubernetes Engine</v>
      </c>
    </row>
    <row r="340">
      <c r="A340" s="4" t="str">
        <f>IFERROR(__xludf.DUMMYFUNCTION("""COMPUTED_VALUE"""),"DME2105")</f>
        <v>DME2105</v>
      </c>
      <c r="B340" s="4" t="str">
        <f>IFERROR(__xludf.DUMMYFUNCTION("""COMPUTED_VALUE"""),"Rushikesh Sapate")</f>
        <v>Rushikesh Sapate</v>
      </c>
      <c r="C340" s="4" t="str">
        <f>IFERROR(__xludf.DUMMYFUNCTION("""COMPUTED_VALUE"""),"rushikesh.sapate@onixnet.com")</f>
        <v>rushikesh.sapate@onixnet.com</v>
      </c>
      <c r="D340" s="4" t="str">
        <f>IFERROR(__xludf.DUMMYFUNCTION("""COMPUTED_VALUE"""),"Active")</f>
        <v>Active</v>
      </c>
      <c r="E340" s="4" t="str">
        <f>IFERROR(__xludf.DUMMYFUNCTION("""COMPUTED_VALUE"""),"Product Engineering")</f>
        <v>Product Engineering</v>
      </c>
      <c r="F340" s="4" t="str">
        <f>IFERROR(__xludf.DUMMYFUNCTION("""COMPUTED_VALUE"""),"Shantanu Charpe")</f>
        <v>Shantanu Charpe</v>
      </c>
      <c r="G340" s="4" t="str">
        <f>IFERROR(__xludf.DUMMYFUNCTION("""COMPUTED_VALUE"""),"Cluster - Mayur")</f>
        <v>Cluster - Mayur</v>
      </c>
      <c r="H340" s="4" t="str">
        <f>IFERROR(__xludf.DUMMYFUNCTION("""COMPUTED_VALUE"""),"ONIRSJSK2")</f>
        <v>ONIRSJSK2</v>
      </c>
      <c r="I340" s="5">
        <f>IFERROR(__xludf.DUMMYFUNCTION("""COMPUTED_VALUE"""),0.0)</f>
        <v>0</v>
      </c>
      <c r="J340" s="4" t="str">
        <f>IFERROR(__xludf.DUMMYFUNCTION("""COMPUTED_VALUE"""),"Tier 4")</f>
        <v>Tier 4</v>
      </c>
      <c r="K340" s="4" t="str">
        <f>IFERROR(__xludf.DUMMYFUNCTION("""COMPUTED_VALUE"""),"ID Created DRP score 0")</f>
        <v>ID Created DRP score 0</v>
      </c>
      <c r="L340" s="4"/>
    </row>
    <row r="341">
      <c r="A341" s="4" t="str">
        <f>IFERROR(__xludf.DUMMYFUNCTION("""COMPUTED_VALUE"""),"DME2104")</f>
        <v>DME2104</v>
      </c>
      <c r="B341" s="4" t="str">
        <f>IFERROR(__xludf.DUMMYFUNCTION("""COMPUTED_VALUE"""),"Shinde Ashwini Shahaji")</f>
        <v>Shinde Ashwini Shahaji</v>
      </c>
      <c r="C341" s="4" t="str">
        <f>IFERROR(__xludf.DUMMYFUNCTION("""COMPUTED_VALUE"""),"ashwini1.shinde@onixnet.com")</f>
        <v>ashwini1.shinde@onixnet.com</v>
      </c>
      <c r="D341" s="4" t="str">
        <f>IFERROR(__xludf.DUMMYFUNCTION("""COMPUTED_VALUE"""),"Active")</f>
        <v>Active</v>
      </c>
      <c r="E341" s="4" t="str">
        <f>IFERROR(__xludf.DUMMYFUNCTION("""COMPUTED_VALUE"""),"Product Engineering")</f>
        <v>Product Engineering</v>
      </c>
      <c r="F341" s="4" t="str">
        <f>IFERROR(__xludf.DUMMYFUNCTION("""COMPUTED_VALUE"""),"Ketan Dosi")</f>
        <v>Ketan Dosi</v>
      </c>
      <c r="G341" s="4" t="str">
        <f>IFERROR(__xludf.DUMMYFUNCTION("""COMPUTED_VALUE"""),"Cluster - Mayur")</f>
        <v>Cluster - Mayur</v>
      </c>
      <c r="H341" s="4"/>
      <c r="I341" s="5"/>
      <c r="J341" s="4"/>
      <c r="K341" s="4" t="str">
        <f>IFERROR(__xludf.DUMMYFUNCTION("""COMPUTED_VALUE"""),"ID Not Created")</f>
        <v>ID Not Created</v>
      </c>
      <c r="L341" s="4"/>
    </row>
    <row r="342">
      <c r="A342" s="4" t="str">
        <f>IFERROR(__xludf.DUMMYFUNCTION("""COMPUTED_VALUE"""),"DME2112")</f>
        <v>DME2112</v>
      </c>
      <c r="B342" s="4" t="str">
        <f>IFERROR(__xludf.DUMMYFUNCTION("""COMPUTED_VALUE"""),"Champa Kadam")</f>
        <v>Champa Kadam</v>
      </c>
      <c r="C342" s="4" t="str">
        <f>IFERROR(__xludf.DUMMYFUNCTION("""COMPUTED_VALUE"""),"champa.kadam@onixnet.com")</f>
        <v>champa.kadam@onixnet.com</v>
      </c>
      <c r="D342" s="4" t="str">
        <f>IFERROR(__xludf.DUMMYFUNCTION("""COMPUTED_VALUE"""),"Active")</f>
        <v>Active</v>
      </c>
      <c r="E342" s="4" t="str">
        <f>IFERROR(__xludf.DUMMYFUNCTION("""COMPUTED_VALUE"""),"Delivery Services")</f>
        <v>Delivery Services</v>
      </c>
      <c r="F342" s="4" t="str">
        <f>IFERROR(__xludf.DUMMYFUNCTION("""COMPUTED_VALUE"""),"Ashwini Kumar")</f>
        <v>Ashwini Kumar</v>
      </c>
      <c r="G342" s="4" t="str">
        <f>IFERROR(__xludf.DUMMYFUNCTION("""COMPUTED_VALUE"""),"Cluster - Kanhaiya")</f>
        <v>Cluster - Kanhaiya</v>
      </c>
      <c r="H342" s="4"/>
      <c r="I342" s="5"/>
      <c r="J342" s="4"/>
      <c r="K342" s="4" t="str">
        <f>IFERROR(__xludf.DUMMYFUNCTION("""COMPUTED_VALUE"""),"ID Not Created")</f>
        <v>ID Not Created</v>
      </c>
      <c r="L342" s="4"/>
    </row>
    <row r="343">
      <c r="A343" s="4" t="str">
        <f>IFERROR(__xludf.DUMMYFUNCTION("""COMPUTED_VALUE"""),"DME2125")</f>
        <v>DME2125</v>
      </c>
      <c r="B343" s="4" t="str">
        <f>IFERROR(__xludf.DUMMYFUNCTION("""COMPUTED_VALUE"""),"Manthan Subhash Bore")</f>
        <v>Manthan Subhash Bore</v>
      </c>
      <c r="C343" s="4" t="str">
        <f>IFERROR(__xludf.DUMMYFUNCTION("""COMPUTED_VALUE"""),"manthan.bore@onixnet.com")</f>
        <v>manthan.bore@onixnet.com</v>
      </c>
      <c r="D343" s="4" t="str">
        <f>IFERROR(__xludf.DUMMYFUNCTION("""COMPUTED_VALUE"""),"Active")</f>
        <v>Active</v>
      </c>
      <c r="E343" s="4" t="str">
        <f>IFERROR(__xludf.DUMMYFUNCTION("""COMPUTED_VALUE"""),"Delivery Services")</f>
        <v>Delivery Services</v>
      </c>
      <c r="F343" s="4" t="str">
        <f>IFERROR(__xludf.DUMMYFUNCTION("""COMPUTED_VALUE"""),"Priyanka Parab")</f>
        <v>Priyanka Parab</v>
      </c>
      <c r="G343" s="4" t="str">
        <f>IFERROR(__xludf.DUMMYFUNCTION("""COMPUTED_VALUE"""),"Cluster - Sagar")</f>
        <v>Cluster - Sagar</v>
      </c>
      <c r="H343" s="4" t="str">
        <f>IFERROR(__xludf.DUMMYFUNCTION("""COMPUTED_VALUE"""),"ONIMBFDS8")</f>
        <v>ONIMBFDS8</v>
      </c>
      <c r="I343" s="5">
        <f>IFERROR(__xludf.DUMMYFUNCTION("""COMPUTED_VALUE"""),10.0)</f>
        <v>10</v>
      </c>
      <c r="J343" s="4" t="str">
        <f>IFERROR(__xludf.DUMMYFUNCTION("""COMPUTED_VALUE"""),"Tier 4")</f>
        <v>Tier 4</v>
      </c>
      <c r="K343" s="4" t="str">
        <f>IFERROR(__xludf.DUMMYFUNCTION("""COMPUTED_VALUE"""),"Active")</f>
        <v>Active</v>
      </c>
      <c r="L343" s="4" t="str">
        <f>IFERROR(__xludf.DUMMYFUNCTION("""COMPUTED_VALUE"""),"Google Kubernetes Engine")</f>
        <v>Google Kubernetes Engine</v>
      </c>
    </row>
    <row r="344">
      <c r="A344" s="4" t="str">
        <f>IFERROR(__xludf.DUMMYFUNCTION("""COMPUTED_VALUE"""),"DME2121")</f>
        <v>DME2121</v>
      </c>
      <c r="B344" s="4" t="str">
        <f>IFERROR(__xludf.DUMMYFUNCTION("""COMPUTED_VALUE"""),"Nikita Deorao Yeole")</f>
        <v>Nikita Deorao Yeole</v>
      </c>
      <c r="C344" s="4" t="str">
        <f>IFERROR(__xludf.DUMMYFUNCTION("""COMPUTED_VALUE"""),"nikita.yeole@onixnet.com")</f>
        <v>nikita.yeole@onixnet.com</v>
      </c>
      <c r="D344" s="4" t="str">
        <f>IFERROR(__xludf.DUMMYFUNCTION("""COMPUTED_VALUE"""),"Active")</f>
        <v>Active</v>
      </c>
      <c r="E344" s="4" t="str">
        <f>IFERROR(__xludf.DUMMYFUNCTION("""COMPUTED_VALUE"""),"Delivery Services")</f>
        <v>Delivery Services</v>
      </c>
      <c r="F344" s="4" t="str">
        <f>IFERROR(__xludf.DUMMYFUNCTION("""COMPUTED_VALUE"""),"Gaurav Rajpal")</f>
        <v>Gaurav Rajpal</v>
      </c>
      <c r="G344" s="4" t="str">
        <f>IFERROR(__xludf.DUMMYFUNCTION("""COMPUTED_VALUE"""),"Cluster - Sagar")</f>
        <v>Cluster - Sagar</v>
      </c>
      <c r="H344" s="4" t="str">
        <f>IFERROR(__xludf.DUMMYFUNCTION("""COMPUTED_VALUE"""),"ONINYORV7")</f>
        <v>ONINYORV7</v>
      </c>
      <c r="I344" s="5">
        <f>IFERROR(__xludf.DUMMYFUNCTION("""COMPUTED_VALUE"""),20.0)</f>
        <v>20</v>
      </c>
      <c r="J344" s="4" t="str">
        <f>IFERROR(__xludf.DUMMYFUNCTION("""COMPUTED_VALUE"""),"Tier 3")</f>
        <v>Tier 3</v>
      </c>
      <c r="K344" s="4" t="str">
        <f>IFERROR(__xludf.DUMMYFUNCTION("""COMPUTED_VALUE"""),"Active")</f>
        <v>Active</v>
      </c>
      <c r="L344" s="4" t="str">
        <f>IFERROR(__xludf.DUMMYFUNCTION("""COMPUTED_VALUE"""),"BigQuery")</f>
        <v>BigQuery</v>
      </c>
    </row>
    <row r="345">
      <c r="A345" s="4" t="str">
        <f>IFERROR(__xludf.DUMMYFUNCTION("""COMPUTED_VALUE"""),"DME2129")</f>
        <v>DME2129</v>
      </c>
      <c r="B345" s="4" t="str">
        <f>IFERROR(__xludf.DUMMYFUNCTION("""COMPUTED_VALUE"""),"Vishva Deepak Tripathi")</f>
        <v>Vishva Deepak Tripathi</v>
      </c>
      <c r="C345" s="4" t="str">
        <f>IFERROR(__xludf.DUMMYFUNCTION("""COMPUTED_VALUE"""),"vishva.tripathi@onixnet.com")</f>
        <v>vishva.tripathi@onixnet.com</v>
      </c>
      <c r="D345" s="4" t="str">
        <f>IFERROR(__xludf.DUMMYFUNCTION("""COMPUTED_VALUE"""),"Active")</f>
        <v>Active</v>
      </c>
      <c r="E345" s="4" t="str">
        <f>IFERROR(__xludf.DUMMYFUNCTION("""COMPUTED_VALUE"""),"Delivery Services")</f>
        <v>Delivery Services</v>
      </c>
      <c r="F345" s="4" t="str">
        <f>IFERROR(__xludf.DUMMYFUNCTION("""COMPUTED_VALUE"""),"Arabi Mohammed")</f>
        <v>Arabi Mohammed</v>
      </c>
      <c r="G345" s="4" t="str">
        <f>IFERROR(__xludf.DUMMYFUNCTION("""COMPUTED_VALUE"""),"Cluster - Sandeep")</f>
        <v>Cluster - Sandeep</v>
      </c>
      <c r="H345" s="4" t="str">
        <f>IFERROR(__xludf.DUMMYFUNCTION("""COMPUTED_VALUE"""),"ONIVTFAB1")</f>
        <v>ONIVTFAB1</v>
      </c>
      <c r="I345" s="5">
        <f>IFERROR(__xludf.DUMMYFUNCTION("""COMPUTED_VALUE"""),9.0)</f>
        <v>9</v>
      </c>
      <c r="J345" s="4" t="str">
        <f>IFERROR(__xludf.DUMMYFUNCTION("""COMPUTED_VALUE"""),"Tier 4")</f>
        <v>Tier 4</v>
      </c>
      <c r="K345" s="4" t="str">
        <f>IFERROR(__xludf.DUMMYFUNCTION("""COMPUTED_VALUE"""),"Active")</f>
        <v>Active</v>
      </c>
      <c r="L345" s="4" t="str">
        <f>IFERROR(__xludf.DUMMYFUNCTION("""COMPUTED_VALUE"""),"BigQuery")</f>
        <v>BigQuery</v>
      </c>
    </row>
    <row r="346">
      <c r="A346" s="4" t="str">
        <f>IFERROR(__xludf.DUMMYFUNCTION("""COMPUTED_VALUE"""),"DME2128")</f>
        <v>DME2128</v>
      </c>
      <c r="B346" s="4" t="str">
        <f>IFERROR(__xludf.DUMMYFUNCTION("""COMPUTED_VALUE"""),"Pankaj Vilas Kulthe")</f>
        <v>Pankaj Vilas Kulthe</v>
      </c>
      <c r="C346" s="4" t="str">
        <f>IFERROR(__xludf.DUMMYFUNCTION("""COMPUTED_VALUE"""),"pankaj.kulthe@onixnet.com")</f>
        <v>pankaj.kulthe@onixnet.com</v>
      </c>
      <c r="D346" s="4" t="str">
        <f>IFERROR(__xludf.DUMMYFUNCTION("""COMPUTED_VALUE"""),"Active")</f>
        <v>Active</v>
      </c>
      <c r="E346" s="4" t="str">
        <f>IFERROR(__xludf.DUMMYFUNCTION("""COMPUTED_VALUE"""),"Product Engineering")</f>
        <v>Product Engineering</v>
      </c>
      <c r="F346" s="4" t="str">
        <f>IFERROR(__xludf.DUMMYFUNCTION("""COMPUTED_VALUE"""),"Savan Tak")</f>
        <v>Savan Tak</v>
      </c>
      <c r="G346" s="4" t="str">
        <f>IFERROR(__xludf.DUMMYFUNCTION("""COMPUTED_VALUE"""),"Cluster - Mayur")</f>
        <v>Cluster - Mayur</v>
      </c>
      <c r="H346" s="4" t="str">
        <f>IFERROR(__xludf.DUMMYFUNCTION("""COMPUTED_VALUE"""),"ONIPKPBM8")</f>
        <v>ONIPKPBM8</v>
      </c>
      <c r="I346" s="5">
        <f>IFERROR(__xludf.DUMMYFUNCTION("""COMPUTED_VALUE"""),0.0)</f>
        <v>0</v>
      </c>
      <c r="J346" s="4" t="str">
        <f>IFERROR(__xludf.DUMMYFUNCTION("""COMPUTED_VALUE"""),"Tier 4")</f>
        <v>Tier 4</v>
      </c>
      <c r="K346" s="4" t="str">
        <f>IFERROR(__xludf.DUMMYFUNCTION("""COMPUTED_VALUE"""),"ID Created DRP score 0")</f>
        <v>ID Created DRP score 0</v>
      </c>
      <c r="L346" s="4"/>
    </row>
    <row r="347">
      <c r="A347" s="4" t="str">
        <f>IFERROR(__xludf.DUMMYFUNCTION("""COMPUTED_VALUE"""),"DME2130")</f>
        <v>DME2130</v>
      </c>
      <c r="B347" s="4" t="str">
        <f>IFERROR(__xludf.DUMMYFUNCTION("""COMPUTED_VALUE"""),"Medha Lohar")</f>
        <v>Medha Lohar</v>
      </c>
      <c r="C347" s="4" t="str">
        <f>IFERROR(__xludf.DUMMYFUNCTION("""COMPUTED_VALUE"""),"medha.lohar@onixnet.com")</f>
        <v>medha.lohar@onixnet.com</v>
      </c>
      <c r="D347" s="4" t="str">
        <f>IFERROR(__xludf.DUMMYFUNCTION("""COMPUTED_VALUE"""),"Active")</f>
        <v>Active</v>
      </c>
      <c r="E347" s="4" t="str">
        <f>IFERROR(__xludf.DUMMYFUNCTION("""COMPUTED_VALUE"""),"Product Engineering")</f>
        <v>Product Engineering</v>
      </c>
      <c r="F347" s="4" t="str">
        <f>IFERROR(__xludf.DUMMYFUNCTION("""COMPUTED_VALUE"""),"Rahul Panwar")</f>
        <v>Rahul Panwar</v>
      </c>
      <c r="G347" s="4" t="str">
        <f>IFERROR(__xludf.DUMMYFUNCTION("""COMPUTED_VALUE"""),"Cluster - Mayur")</f>
        <v>Cluster - Mayur</v>
      </c>
      <c r="H347" s="4" t="str">
        <f>IFERROR(__xludf.DUMMYFUNCTION("""COMPUTED_VALUE"""),"ONIMLODR9")</f>
        <v>ONIMLODR9</v>
      </c>
      <c r="I347" s="5">
        <f>IFERROR(__xludf.DUMMYFUNCTION("""COMPUTED_VALUE"""),15.0)</f>
        <v>15</v>
      </c>
      <c r="J347" s="4" t="str">
        <f>IFERROR(__xludf.DUMMYFUNCTION("""COMPUTED_VALUE"""),"Tier 4")</f>
        <v>Tier 4</v>
      </c>
      <c r="K347" s="4" t="str">
        <f>IFERROR(__xludf.DUMMYFUNCTION("""COMPUTED_VALUE"""),"Active")</f>
        <v>Active</v>
      </c>
      <c r="L347" s="4" t="str">
        <f>IFERROR(__xludf.DUMMYFUNCTION("""COMPUTED_VALUE"""),"AI Applications")</f>
        <v>AI Applications</v>
      </c>
    </row>
    <row r="348">
      <c r="A348" s="4" t="str">
        <f>IFERROR(__xludf.DUMMYFUNCTION("""COMPUTED_VALUE"""),"DME2146")</f>
        <v>DME2146</v>
      </c>
      <c r="B348" s="4" t="str">
        <f>IFERROR(__xludf.DUMMYFUNCTION("""COMPUTED_VALUE"""),"Prachi Chauhan")</f>
        <v>Prachi Chauhan</v>
      </c>
      <c r="C348" s="4" t="str">
        <f>IFERROR(__xludf.DUMMYFUNCTION("""COMPUTED_VALUE"""),"Prachi.Chauhan@onixnet.com")</f>
        <v>Prachi.Chauhan@onixnet.com</v>
      </c>
      <c r="D348" s="4" t="str">
        <f>IFERROR(__xludf.DUMMYFUNCTION("""COMPUTED_VALUE"""),"Active")</f>
        <v>Active</v>
      </c>
      <c r="E348" s="4" t="str">
        <f>IFERROR(__xludf.DUMMYFUNCTION("""COMPUTED_VALUE"""),"Delivery Services")</f>
        <v>Delivery Services</v>
      </c>
      <c r="F348" s="4" t="str">
        <f>IFERROR(__xludf.DUMMYFUNCTION("""COMPUTED_VALUE"""),"Sarang Katre")</f>
        <v>Sarang Katre</v>
      </c>
      <c r="G348" s="4" t="str">
        <f>IFERROR(__xludf.DUMMYFUNCTION("""COMPUTED_VALUE"""),"Cluster - Kanhaiya")</f>
        <v>Cluster - Kanhaiya</v>
      </c>
      <c r="H348" s="4" t="str">
        <f>IFERROR(__xludf.DUMMYFUNCTION("""COMPUTED_VALUE"""),"ONIPCOYE6")</f>
        <v>ONIPCOYE6</v>
      </c>
      <c r="I348" s="5">
        <f>IFERROR(__xludf.DUMMYFUNCTION("""COMPUTED_VALUE"""),0.0)</f>
        <v>0</v>
      </c>
      <c r="J348" s="4" t="str">
        <f>IFERROR(__xludf.DUMMYFUNCTION("""COMPUTED_VALUE"""),"Tier 4")</f>
        <v>Tier 4</v>
      </c>
      <c r="K348" s="4" t="str">
        <f>IFERROR(__xludf.DUMMYFUNCTION("""COMPUTED_VALUE"""),"ID Created DRP score 0")</f>
        <v>ID Created DRP score 0</v>
      </c>
      <c r="L348" s="4"/>
    </row>
    <row r="349">
      <c r="A349" s="4" t="str">
        <f>IFERROR(__xludf.DUMMYFUNCTION("""COMPUTED_VALUE"""),"DME2132")</f>
        <v>DME2132</v>
      </c>
      <c r="B349" s="4" t="str">
        <f>IFERROR(__xludf.DUMMYFUNCTION("""COMPUTED_VALUE"""),"Harish Lalu Bhujbal")</f>
        <v>Harish Lalu Bhujbal</v>
      </c>
      <c r="C349" s="4" t="str">
        <f>IFERROR(__xludf.DUMMYFUNCTION("""COMPUTED_VALUE"""),"harish.bhujbal@onixnet.com")</f>
        <v>harish.bhujbal@onixnet.com</v>
      </c>
      <c r="D349" s="4" t="str">
        <f>IFERROR(__xludf.DUMMYFUNCTION("""COMPUTED_VALUE"""),"Active")</f>
        <v>Active</v>
      </c>
      <c r="E349" s="4" t="str">
        <f>IFERROR(__xludf.DUMMYFUNCTION("""COMPUTED_VALUE"""),"Delivery Services")</f>
        <v>Delivery Services</v>
      </c>
      <c r="F349" s="4" t="str">
        <f>IFERROR(__xludf.DUMMYFUNCTION("""COMPUTED_VALUE"""),"Rahul Shelake")</f>
        <v>Rahul Shelake</v>
      </c>
      <c r="G349" s="4" t="str">
        <f>IFERROR(__xludf.DUMMYFUNCTION("""COMPUTED_VALUE"""),"Cluster - Sagar")</f>
        <v>Cluster - Sagar</v>
      </c>
      <c r="H349" s="4" t="str">
        <f>IFERROR(__xludf.DUMMYFUNCTION("""COMPUTED_VALUE"""),"DATHBJ5G0")</f>
        <v>DATHBJ5G0</v>
      </c>
      <c r="I349" s="5">
        <f>IFERROR(__xludf.DUMMYFUNCTION("""COMPUTED_VALUE"""),18.0)</f>
        <v>18</v>
      </c>
      <c r="J349" s="4" t="str">
        <f>IFERROR(__xludf.DUMMYFUNCTION("""COMPUTED_VALUE"""),"Tier 4")</f>
        <v>Tier 4</v>
      </c>
      <c r="K349" s="4" t="str">
        <f>IFERROR(__xludf.DUMMYFUNCTION("""COMPUTED_VALUE"""),"Active")</f>
        <v>Active</v>
      </c>
      <c r="L349" s="4" t="str">
        <f>IFERROR(__xludf.DUMMYFUNCTION("""COMPUTED_VALUE"""),"AI Applications")</f>
        <v>AI Applications</v>
      </c>
    </row>
    <row r="350">
      <c r="A350" s="4" t="str">
        <f>IFERROR(__xludf.DUMMYFUNCTION("""COMPUTED_VALUE"""),"DME2144")</f>
        <v>DME2144</v>
      </c>
      <c r="B350" s="4" t="str">
        <f>IFERROR(__xludf.DUMMYFUNCTION("""COMPUTED_VALUE"""),"Pankaj Vitthal Arangale")</f>
        <v>Pankaj Vitthal Arangale</v>
      </c>
      <c r="C350" s="4" t="str">
        <f>IFERROR(__xludf.DUMMYFUNCTION("""COMPUTED_VALUE"""),"pankaj.arangale@onixnet.com")</f>
        <v>pankaj.arangale@onixnet.com</v>
      </c>
      <c r="D350" s="4" t="str">
        <f>IFERROR(__xludf.DUMMYFUNCTION("""COMPUTED_VALUE"""),"Active")</f>
        <v>Active</v>
      </c>
      <c r="E350" s="4" t="str">
        <f>IFERROR(__xludf.DUMMYFUNCTION("""COMPUTED_VALUE"""),"Delivery Services")</f>
        <v>Delivery Services</v>
      </c>
      <c r="F350" s="4" t="str">
        <f>IFERROR(__xludf.DUMMYFUNCTION("""COMPUTED_VALUE"""),"Sneha Bhatambrekar")</f>
        <v>Sneha Bhatambrekar</v>
      </c>
      <c r="G350" s="4" t="str">
        <f>IFERROR(__xludf.DUMMYFUNCTION("""COMPUTED_VALUE"""),"Cluster - Sandeep")</f>
        <v>Cluster - Sandeep</v>
      </c>
      <c r="H350" s="4" t="str">
        <f>IFERROR(__xludf.DUMMYFUNCTION("""COMPUTED_VALUE"""),"ONIPALVZ0")</f>
        <v>ONIPALVZ0</v>
      </c>
      <c r="I350" s="5">
        <f>IFERROR(__xludf.DUMMYFUNCTION("""COMPUTED_VALUE"""),20.0)</f>
        <v>20</v>
      </c>
      <c r="J350" s="4" t="str">
        <f>IFERROR(__xludf.DUMMYFUNCTION("""COMPUTED_VALUE"""),"Tier 3")</f>
        <v>Tier 3</v>
      </c>
      <c r="K350" s="4" t="str">
        <f>IFERROR(__xludf.DUMMYFUNCTION("""COMPUTED_VALUE"""),"Active")</f>
        <v>Active</v>
      </c>
      <c r="L350" s="4" t="str">
        <f>IFERROR(__xludf.DUMMYFUNCTION("""COMPUTED_VALUE"""),"AI Applications")</f>
        <v>AI Applications</v>
      </c>
    </row>
    <row r="351">
      <c r="A351" s="4" t="str">
        <f>IFERROR(__xludf.DUMMYFUNCTION("""COMPUTED_VALUE"""),"DME2142")</f>
        <v>DME2142</v>
      </c>
      <c r="B351" s="4" t="str">
        <f>IFERROR(__xludf.DUMMYFUNCTION("""COMPUTED_VALUE"""),"Mayur Hiraman Nagpure")</f>
        <v>Mayur Hiraman Nagpure</v>
      </c>
      <c r="C351" s="4" t="str">
        <f>IFERROR(__xludf.DUMMYFUNCTION("""COMPUTED_VALUE"""),"mayur.nagpure@onixnet.com")</f>
        <v>mayur.nagpure@onixnet.com</v>
      </c>
      <c r="D351" s="4" t="str">
        <f>IFERROR(__xludf.DUMMYFUNCTION("""COMPUTED_VALUE"""),"Active")</f>
        <v>Active</v>
      </c>
      <c r="E351" s="4" t="str">
        <f>IFERROR(__xludf.DUMMYFUNCTION("""COMPUTED_VALUE"""),"Delivery Services")</f>
        <v>Delivery Services</v>
      </c>
      <c r="F351" s="4" t="str">
        <f>IFERROR(__xludf.DUMMYFUNCTION("""COMPUTED_VALUE"""),"Dinesh Bhamare")</f>
        <v>Dinesh Bhamare</v>
      </c>
      <c r="G351" s="4" t="str">
        <f>IFERROR(__xludf.DUMMYFUNCTION("""COMPUTED_VALUE"""),"Cluster - Shreepad")</f>
        <v>Cluster - Shreepad</v>
      </c>
      <c r="H351" s="4" t="str">
        <f>IFERROR(__xludf.DUMMYFUNCTION("""COMPUTED_VALUE"""),"DATMNOWC6")</f>
        <v>DATMNOWC6</v>
      </c>
      <c r="I351" s="5">
        <f>IFERROR(__xludf.DUMMYFUNCTION("""COMPUTED_VALUE"""),21.0)</f>
        <v>21</v>
      </c>
      <c r="J351" s="4" t="str">
        <f>IFERROR(__xludf.DUMMYFUNCTION("""COMPUTED_VALUE"""),"Tier 3")</f>
        <v>Tier 3</v>
      </c>
      <c r="K351" s="4" t="str">
        <f>IFERROR(__xludf.DUMMYFUNCTION("""COMPUTED_VALUE"""),"Active")</f>
        <v>Active</v>
      </c>
      <c r="L351" s="4" t="str">
        <f>IFERROR(__xludf.DUMMYFUNCTION("""COMPUTED_VALUE"""),"Google Cloud Networking")</f>
        <v>Google Cloud Networking</v>
      </c>
    </row>
    <row r="352">
      <c r="A352" s="4" t="str">
        <f>IFERROR(__xludf.DUMMYFUNCTION("""COMPUTED_VALUE"""),"DME2141")</f>
        <v>DME2141</v>
      </c>
      <c r="B352" s="4" t="str">
        <f>IFERROR(__xludf.DUMMYFUNCTION("""COMPUTED_VALUE"""),"Revati Dilipkumar Suryawanshi")</f>
        <v>Revati Dilipkumar Suryawanshi</v>
      </c>
      <c r="C352" s="4" t="str">
        <f>IFERROR(__xludf.DUMMYFUNCTION("""COMPUTED_VALUE"""),"revati.s@onixnet.com")</f>
        <v>revati.s@onixnet.com</v>
      </c>
      <c r="D352" s="4" t="str">
        <f>IFERROR(__xludf.DUMMYFUNCTION("""COMPUTED_VALUE"""),"Active")</f>
        <v>Active</v>
      </c>
      <c r="E352" s="4" t="str">
        <f>IFERROR(__xludf.DUMMYFUNCTION("""COMPUTED_VALUE"""),"Delivery Services")</f>
        <v>Delivery Services</v>
      </c>
      <c r="F352" s="4" t="str">
        <f>IFERROR(__xludf.DUMMYFUNCTION("""COMPUTED_VALUE"""),"Kiran Shinde")</f>
        <v>Kiran Shinde</v>
      </c>
      <c r="G352" s="4" t="str">
        <f>IFERROR(__xludf.DUMMYFUNCTION("""COMPUTED_VALUE"""),"Cluster - Gaurav")</f>
        <v>Cluster - Gaurav</v>
      </c>
      <c r="H352" s="4" t="str">
        <f>IFERROR(__xludf.DUMMYFUNCTION("""COMPUTED_VALUE"""),"ONIRSGME2")</f>
        <v>ONIRSGME2</v>
      </c>
      <c r="I352" s="5">
        <f>IFERROR(__xludf.DUMMYFUNCTION("""COMPUTED_VALUE"""),17.0)</f>
        <v>17</v>
      </c>
      <c r="J352" s="4" t="str">
        <f>IFERROR(__xludf.DUMMYFUNCTION("""COMPUTED_VALUE"""),"Tier 4")</f>
        <v>Tier 4</v>
      </c>
      <c r="K352" s="4" t="str">
        <f>IFERROR(__xludf.DUMMYFUNCTION("""COMPUTED_VALUE"""),"Active")</f>
        <v>Active</v>
      </c>
      <c r="L352" s="4" t="str">
        <f>IFERROR(__xludf.DUMMYFUNCTION("""COMPUTED_VALUE"""),"BigQuery")</f>
        <v>BigQuery</v>
      </c>
    </row>
    <row r="353">
      <c r="A353" s="4" t="str">
        <f>IFERROR(__xludf.DUMMYFUNCTION("""COMPUTED_VALUE"""),"DME2140")</f>
        <v>DME2140</v>
      </c>
      <c r="B353" s="4" t="str">
        <f>IFERROR(__xludf.DUMMYFUNCTION("""COMPUTED_VALUE"""),"Shankar Shivaji Nagulkar")</f>
        <v>Shankar Shivaji Nagulkar</v>
      </c>
      <c r="C353" s="4" t="str">
        <f>IFERROR(__xludf.DUMMYFUNCTION("""COMPUTED_VALUE"""),"shankar.nagulkar@onixnet.com")</f>
        <v>shankar.nagulkar@onixnet.com</v>
      </c>
      <c r="D353" s="4" t="str">
        <f>IFERROR(__xludf.DUMMYFUNCTION("""COMPUTED_VALUE"""),"Active")</f>
        <v>Active</v>
      </c>
      <c r="E353" s="4" t="str">
        <f>IFERROR(__xludf.DUMMYFUNCTION("""COMPUTED_VALUE"""),"Delivery Services")</f>
        <v>Delivery Services</v>
      </c>
      <c r="F353" s="4" t="str">
        <f>IFERROR(__xludf.DUMMYFUNCTION("""COMPUTED_VALUE"""),"Deshabhotla Sravan")</f>
        <v>Deshabhotla Sravan</v>
      </c>
      <c r="G353" s="4" t="str">
        <f>IFERROR(__xludf.DUMMYFUNCTION("""COMPUTED_VALUE"""),"Cluster - Shreepad")</f>
        <v>Cluster - Shreepad</v>
      </c>
      <c r="H353" s="4" t="str">
        <f>IFERROR(__xludf.DUMMYFUNCTION("""COMPUTED_VALUE"""),"ONISNDIX5")</f>
        <v>ONISNDIX5</v>
      </c>
      <c r="I353" s="5">
        <f>IFERROR(__xludf.DUMMYFUNCTION("""COMPUTED_VALUE"""),19.0)</f>
        <v>19</v>
      </c>
      <c r="J353" s="4" t="str">
        <f>IFERROR(__xludf.DUMMYFUNCTION("""COMPUTED_VALUE"""),"Tier 4")</f>
        <v>Tier 4</v>
      </c>
      <c r="K353" s="4" t="str">
        <f>IFERROR(__xludf.DUMMYFUNCTION("""COMPUTED_VALUE"""),"Active")</f>
        <v>Active</v>
      </c>
      <c r="L353" s="4" t="str">
        <f>IFERROR(__xludf.DUMMYFUNCTION("""COMPUTED_VALUE"""),"BigQuery")</f>
        <v>BigQuery</v>
      </c>
    </row>
    <row r="354">
      <c r="A354" s="4" t="str">
        <f>IFERROR(__xludf.DUMMYFUNCTION("""COMPUTED_VALUE"""),"DME2152")</f>
        <v>DME2152</v>
      </c>
      <c r="B354" s="4" t="str">
        <f>IFERROR(__xludf.DUMMYFUNCTION("""COMPUTED_VALUE"""),"Mukul Murlidhar Kale")</f>
        <v>Mukul Murlidhar Kale</v>
      </c>
      <c r="C354" s="4" t="str">
        <f>IFERROR(__xludf.DUMMYFUNCTION("""COMPUTED_VALUE"""),"mukul.kale@onixnet.com")</f>
        <v>mukul.kale@onixnet.com</v>
      </c>
      <c r="D354" s="4" t="str">
        <f>IFERROR(__xludf.DUMMYFUNCTION("""COMPUTED_VALUE"""),"Active")</f>
        <v>Active</v>
      </c>
      <c r="E354" s="4" t="str">
        <f>IFERROR(__xludf.DUMMYFUNCTION("""COMPUTED_VALUE"""),"Delivery Services")</f>
        <v>Delivery Services</v>
      </c>
      <c r="F354" s="4" t="str">
        <f>IFERROR(__xludf.DUMMYFUNCTION("""COMPUTED_VALUE"""),"Anand Saraf")</f>
        <v>Anand Saraf</v>
      </c>
      <c r="G354" s="4" t="str">
        <f>IFERROR(__xludf.DUMMYFUNCTION("""COMPUTED_VALUE"""),"Cluster - Sachin")</f>
        <v>Cluster - Sachin</v>
      </c>
      <c r="H354" s="4" t="str">
        <f>IFERROR(__xludf.DUMMYFUNCTION("""COMPUTED_VALUE"""),"ONIMKQBR8")</f>
        <v>ONIMKQBR8</v>
      </c>
      <c r="I354" s="5">
        <f>IFERROR(__xludf.DUMMYFUNCTION("""COMPUTED_VALUE"""),10.0)</f>
        <v>10</v>
      </c>
      <c r="J354" s="4" t="str">
        <f>IFERROR(__xludf.DUMMYFUNCTION("""COMPUTED_VALUE"""),"Tier 4")</f>
        <v>Tier 4</v>
      </c>
      <c r="K354" s="4" t="str">
        <f>IFERROR(__xludf.DUMMYFUNCTION("""COMPUTED_VALUE"""),"Active")</f>
        <v>Active</v>
      </c>
      <c r="L354" s="4" t="str">
        <f>IFERROR(__xludf.DUMMYFUNCTION("""COMPUTED_VALUE"""),"Google Kubernetes Engine")</f>
        <v>Google Kubernetes Engine</v>
      </c>
    </row>
    <row r="355">
      <c r="A355" s="4" t="str">
        <f>IFERROR(__xludf.DUMMYFUNCTION("""COMPUTED_VALUE"""),"DME2151")</f>
        <v>DME2151</v>
      </c>
      <c r="B355" s="4" t="str">
        <f>IFERROR(__xludf.DUMMYFUNCTION("""COMPUTED_VALUE"""),"Pranita Niranjan Gadekar")</f>
        <v>Pranita Niranjan Gadekar</v>
      </c>
      <c r="C355" s="4" t="str">
        <f>IFERROR(__xludf.DUMMYFUNCTION("""COMPUTED_VALUE"""),"pranita.gadekar@onixnet.com")</f>
        <v>pranita.gadekar@onixnet.com</v>
      </c>
      <c r="D355" s="4" t="str">
        <f>IFERROR(__xludf.DUMMYFUNCTION("""COMPUTED_VALUE"""),"Active")</f>
        <v>Active</v>
      </c>
      <c r="E355" s="4" t="str">
        <f>IFERROR(__xludf.DUMMYFUNCTION("""COMPUTED_VALUE"""),"Delivery Services")</f>
        <v>Delivery Services</v>
      </c>
      <c r="F355" s="4" t="str">
        <f>IFERROR(__xludf.DUMMYFUNCTION("""COMPUTED_VALUE"""),"Gayatri Nachiket Bondale")</f>
        <v>Gayatri Nachiket Bondale</v>
      </c>
      <c r="G355" s="4" t="str">
        <f>IFERROR(__xludf.DUMMYFUNCTION("""COMPUTED_VALUE"""),"Cluster - Gaurav")</f>
        <v>Cluster - Gaurav</v>
      </c>
      <c r="H355" s="4" t="str">
        <f>IFERROR(__xludf.DUMMYFUNCTION("""COMPUTED_VALUE"""),"ONIPGHTI8")</f>
        <v>ONIPGHTI8</v>
      </c>
      <c r="I355" s="5">
        <f>IFERROR(__xludf.DUMMYFUNCTION("""COMPUTED_VALUE"""),10.0)</f>
        <v>10</v>
      </c>
      <c r="J355" s="4" t="str">
        <f>IFERROR(__xludf.DUMMYFUNCTION("""COMPUTED_VALUE"""),"Tier 4")</f>
        <v>Tier 4</v>
      </c>
      <c r="K355" s="4" t="str">
        <f>IFERROR(__xludf.DUMMYFUNCTION("""COMPUTED_VALUE"""),"Active")</f>
        <v>Active</v>
      </c>
      <c r="L355" s="4" t="str">
        <f>IFERROR(__xludf.DUMMYFUNCTION("""COMPUTED_VALUE"""),"Gemini Enterprise Agent Platform")</f>
        <v>Gemini Enterprise Agent Platform</v>
      </c>
    </row>
    <row r="356">
      <c r="A356" s="4" t="str">
        <f>IFERROR(__xludf.DUMMYFUNCTION("""COMPUTED_VALUE"""),"DME2154")</f>
        <v>DME2154</v>
      </c>
      <c r="B356" s="4" t="str">
        <f>IFERROR(__xludf.DUMMYFUNCTION("""COMPUTED_VALUE"""),"Rahul Panwar")</f>
        <v>Rahul Panwar</v>
      </c>
      <c r="C356" s="4" t="str">
        <f>IFERROR(__xludf.DUMMYFUNCTION("""COMPUTED_VALUE"""),"rahul.panwar@onixnet.com")</f>
        <v>rahul.panwar@onixnet.com</v>
      </c>
      <c r="D356" s="4" t="str">
        <f>IFERROR(__xludf.DUMMYFUNCTION("""COMPUTED_VALUE"""),"Active")</f>
        <v>Active</v>
      </c>
      <c r="E356" s="4" t="str">
        <f>IFERROR(__xludf.DUMMYFUNCTION("""COMPUTED_VALUE"""),"Product Engineering")</f>
        <v>Product Engineering</v>
      </c>
      <c r="F356" s="4" t="str">
        <f>IFERROR(__xludf.DUMMYFUNCTION("""COMPUTED_VALUE"""),"Jayesh Shukla")</f>
        <v>Jayesh Shukla</v>
      </c>
      <c r="G356" s="4" t="str">
        <f>IFERROR(__xludf.DUMMYFUNCTION("""COMPUTED_VALUE"""),"Cluster - Mayur")</f>
        <v>Cluster - Mayur</v>
      </c>
      <c r="H356" s="4" t="str">
        <f>IFERROR(__xludf.DUMMYFUNCTION("""COMPUTED_VALUE"""),"ONIRPRBF3")</f>
        <v>ONIRPRBF3</v>
      </c>
      <c r="I356" s="5">
        <f>IFERROR(__xludf.DUMMYFUNCTION("""COMPUTED_VALUE"""),15.0)</f>
        <v>15</v>
      </c>
      <c r="J356" s="4" t="str">
        <f>IFERROR(__xludf.DUMMYFUNCTION("""COMPUTED_VALUE"""),"Tier 4")</f>
        <v>Tier 4</v>
      </c>
      <c r="K356" s="4" t="str">
        <f>IFERROR(__xludf.DUMMYFUNCTION("""COMPUTED_VALUE"""),"Active")</f>
        <v>Active</v>
      </c>
      <c r="L356" s="4" t="str">
        <f>IFERROR(__xludf.DUMMYFUNCTION("""COMPUTED_VALUE"""),"AI Applications")</f>
        <v>AI Applications</v>
      </c>
    </row>
    <row r="357">
      <c r="A357" s="4" t="str">
        <f>IFERROR(__xludf.DUMMYFUNCTION("""COMPUTED_VALUE"""),"DME2156")</f>
        <v>DME2156</v>
      </c>
      <c r="B357" s="4" t="str">
        <f>IFERROR(__xludf.DUMMYFUNCTION("""COMPUTED_VALUE"""),"Sangram Salaria")</f>
        <v>Sangram Salaria</v>
      </c>
      <c r="C357" s="4" t="str">
        <f>IFERROR(__xludf.DUMMYFUNCTION("""COMPUTED_VALUE"""),"sangram.salaria@onixnet.com")</f>
        <v>sangram.salaria@onixnet.com</v>
      </c>
      <c r="D357" s="4" t="str">
        <f>IFERROR(__xludf.DUMMYFUNCTION("""COMPUTED_VALUE"""),"Active")</f>
        <v>Active</v>
      </c>
      <c r="E357" s="4" t="str">
        <f>IFERROR(__xludf.DUMMYFUNCTION("""COMPUTED_VALUE"""),"Product Engineering")</f>
        <v>Product Engineering</v>
      </c>
      <c r="F357" s="4" t="str">
        <f>IFERROR(__xludf.DUMMYFUNCTION("""COMPUTED_VALUE"""),"Jayesh Shukla")</f>
        <v>Jayesh Shukla</v>
      </c>
      <c r="G357" s="4" t="str">
        <f>IFERROR(__xludf.DUMMYFUNCTION("""COMPUTED_VALUE"""),"Cluster - Mayur")</f>
        <v>Cluster - Mayur</v>
      </c>
      <c r="H357" s="4" t="str">
        <f>IFERROR(__xludf.DUMMYFUNCTION("""COMPUTED_VALUE"""),"ONISSLWY1")</f>
        <v>ONISSLWY1</v>
      </c>
      <c r="I357" s="5">
        <f>IFERROR(__xludf.DUMMYFUNCTION("""COMPUTED_VALUE"""),0.0)</f>
        <v>0</v>
      </c>
      <c r="J357" s="4" t="str">
        <f>IFERROR(__xludf.DUMMYFUNCTION("""COMPUTED_VALUE"""),"Tier 4")</f>
        <v>Tier 4</v>
      </c>
      <c r="K357" s="4" t="str">
        <f>IFERROR(__xludf.DUMMYFUNCTION("""COMPUTED_VALUE"""),"ID Created DRP score 0")</f>
        <v>ID Created DRP score 0</v>
      </c>
      <c r="L357" s="4"/>
    </row>
    <row r="358">
      <c r="A358" s="4" t="str">
        <f>IFERROR(__xludf.DUMMYFUNCTION("""COMPUTED_VALUE"""),"DME2162")</f>
        <v>DME2162</v>
      </c>
      <c r="B358" s="4" t="str">
        <f>IFERROR(__xludf.DUMMYFUNCTION("""COMPUTED_VALUE"""),"Karankumar Lakshmipat Agrawal")</f>
        <v>Karankumar Lakshmipat Agrawal</v>
      </c>
      <c r="C358" s="4" t="str">
        <f>IFERROR(__xludf.DUMMYFUNCTION("""COMPUTED_VALUE"""),"karankumar.a@onixnet.com")</f>
        <v>karankumar.a@onixnet.com</v>
      </c>
      <c r="D358" s="4" t="str">
        <f>IFERROR(__xludf.DUMMYFUNCTION("""COMPUTED_VALUE"""),"Active")</f>
        <v>Active</v>
      </c>
      <c r="E358" s="4" t="str">
        <f>IFERROR(__xludf.DUMMYFUNCTION("""COMPUTED_VALUE"""),"Delivery Services")</f>
        <v>Delivery Services</v>
      </c>
      <c r="F358" s="4" t="str">
        <f>IFERROR(__xludf.DUMMYFUNCTION("""COMPUTED_VALUE"""),"Indrajit Omprakash Bhagat")</f>
        <v>Indrajit Omprakash Bhagat</v>
      </c>
      <c r="G358" s="4" t="str">
        <f>IFERROR(__xludf.DUMMYFUNCTION("""COMPUTED_VALUE"""),"Cluster - Varun")</f>
        <v>Cluster - Varun</v>
      </c>
      <c r="H358" s="4" t="str">
        <f>IFERROR(__xludf.DUMMYFUNCTION("""COMPUTED_VALUE"""),"DATKAJGJ6")</f>
        <v>DATKAJGJ6</v>
      </c>
      <c r="I358" s="5">
        <f>IFERROR(__xludf.DUMMYFUNCTION("""COMPUTED_VALUE"""),54.0)</f>
        <v>54</v>
      </c>
      <c r="J358" s="4" t="str">
        <f>IFERROR(__xludf.DUMMYFUNCTION("""COMPUTED_VALUE"""),"Tier 1")</f>
        <v>Tier 1</v>
      </c>
      <c r="K358" s="4" t="str">
        <f>IFERROR(__xludf.DUMMYFUNCTION("""COMPUTED_VALUE"""),"Active")</f>
        <v>Active</v>
      </c>
      <c r="L358" s="4" t="str">
        <f>IFERROR(__xludf.DUMMYFUNCTION("""COMPUTED_VALUE"""),"Gemini Enterprise Agent Platform")</f>
        <v>Gemini Enterprise Agent Platform</v>
      </c>
    </row>
    <row r="359">
      <c r="A359" s="4" t="str">
        <f>IFERROR(__xludf.DUMMYFUNCTION("""COMPUTED_VALUE"""),"DME2164")</f>
        <v>DME2164</v>
      </c>
      <c r="B359" s="4" t="str">
        <f>IFERROR(__xludf.DUMMYFUNCTION("""COMPUTED_VALUE"""),"Mohit Prakash Shivramwar")</f>
        <v>Mohit Prakash Shivramwar</v>
      </c>
      <c r="C359" s="4" t="str">
        <f>IFERROR(__xludf.DUMMYFUNCTION("""COMPUTED_VALUE"""),"mohit.shivramwar@onixnet.com")</f>
        <v>mohit.shivramwar@onixnet.com</v>
      </c>
      <c r="D359" s="4" t="str">
        <f>IFERROR(__xludf.DUMMYFUNCTION("""COMPUTED_VALUE"""),"Active")</f>
        <v>Active</v>
      </c>
      <c r="E359" s="4" t="str">
        <f>IFERROR(__xludf.DUMMYFUNCTION("""COMPUTED_VALUE"""),"Delivery Services")</f>
        <v>Delivery Services</v>
      </c>
      <c r="F359" s="4" t="str">
        <f>IFERROR(__xludf.DUMMYFUNCTION("""COMPUTED_VALUE"""),"Prasad Pramod Kulkarni")</f>
        <v>Prasad Pramod Kulkarni</v>
      </c>
      <c r="G359" s="4" t="str">
        <f>IFERROR(__xludf.DUMMYFUNCTION("""COMPUTED_VALUE"""),"Cluster - Sagar")</f>
        <v>Cluster - Sagar</v>
      </c>
      <c r="H359" s="4" t="str">
        <f>IFERROR(__xludf.DUMMYFUNCTION("""COMPUTED_VALUE"""),"ONIMSHFN5")</f>
        <v>ONIMSHFN5</v>
      </c>
      <c r="I359" s="5">
        <f>IFERROR(__xludf.DUMMYFUNCTION("""COMPUTED_VALUE"""),0.0)</f>
        <v>0</v>
      </c>
      <c r="J359" s="4" t="str">
        <f>IFERROR(__xludf.DUMMYFUNCTION("""COMPUTED_VALUE"""),"Tier 4")</f>
        <v>Tier 4</v>
      </c>
      <c r="K359" s="4" t="str">
        <f>IFERROR(__xludf.DUMMYFUNCTION("""COMPUTED_VALUE"""),"ID Created DRP score 0")</f>
        <v>ID Created DRP score 0</v>
      </c>
      <c r="L359" s="4"/>
    </row>
    <row r="360">
      <c r="A360" s="4" t="str">
        <f>IFERROR(__xludf.DUMMYFUNCTION("""COMPUTED_VALUE"""),"DME2165")</f>
        <v>DME2165</v>
      </c>
      <c r="B360" s="4" t="str">
        <f>IFERROR(__xludf.DUMMYFUNCTION("""COMPUTED_VALUE"""),"Poonam Sharma")</f>
        <v>Poonam Sharma</v>
      </c>
      <c r="C360" s="4" t="str">
        <f>IFERROR(__xludf.DUMMYFUNCTION("""COMPUTED_VALUE"""),"poonam.sharma@onixnet.com")</f>
        <v>poonam.sharma@onixnet.com</v>
      </c>
      <c r="D360" s="4" t="str">
        <f>IFERROR(__xludf.DUMMYFUNCTION("""COMPUTED_VALUE"""),"Active")</f>
        <v>Active</v>
      </c>
      <c r="E360" s="4" t="str">
        <f>IFERROR(__xludf.DUMMYFUNCTION("""COMPUTED_VALUE"""),"Delivery Services")</f>
        <v>Delivery Services</v>
      </c>
      <c r="F360" s="4" t="str">
        <f>IFERROR(__xludf.DUMMYFUNCTION("""COMPUTED_VALUE"""),"Nitesh Verma")</f>
        <v>Nitesh Verma</v>
      </c>
      <c r="G360" s="4" t="str">
        <f>IFERROR(__xludf.DUMMYFUNCTION("""COMPUTED_VALUE"""),"Cluster - Gaurav")</f>
        <v>Cluster - Gaurav</v>
      </c>
      <c r="H360" s="4" t="str">
        <f>IFERROR(__xludf.DUMMYFUNCTION("""COMPUTED_VALUE"""),"ONIPSAQF0")</f>
        <v>ONIPSAQF0</v>
      </c>
      <c r="I360" s="5">
        <f>IFERROR(__xludf.DUMMYFUNCTION("""COMPUTED_VALUE"""),18.0)</f>
        <v>18</v>
      </c>
      <c r="J360" s="4" t="str">
        <f>IFERROR(__xludf.DUMMYFUNCTION("""COMPUTED_VALUE"""),"Tier 4")</f>
        <v>Tier 4</v>
      </c>
      <c r="K360" s="4" t="str">
        <f>IFERROR(__xludf.DUMMYFUNCTION("""COMPUTED_VALUE"""),"Active")</f>
        <v>Active</v>
      </c>
      <c r="L360" s="4" t="str">
        <f>IFERROR(__xludf.DUMMYFUNCTION("""COMPUTED_VALUE"""),"BigQuery")</f>
        <v>BigQuery</v>
      </c>
    </row>
    <row r="361">
      <c r="A361" s="4" t="str">
        <f>IFERROR(__xludf.DUMMYFUNCTION("""COMPUTED_VALUE"""),"DME2170")</f>
        <v>DME2170</v>
      </c>
      <c r="B361" s="4" t="str">
        <f>IFERROR(__xludf.DUMMYFUNCTION("""COMPUTED_VALUE"""),"Vikas Prabhakar Suryawanshi")</f>
        <v>Vikas Prabhakar Suryawanshi</v>
      </c>
      <c r="C361" s="4" t="str">
        <f>IFERROR(__xludf.DUMMYFUNCTION("""COMPUTED_VALUE"""),"vikas.suryawanshi@onixnet.com")</f>
        <v>vikas.suryawanshi@onixnet.com</v>
      </c>
      <c r="D361" s="4" t="str">
        <f>IFERROR(__xludf.DUMMYFUNCTION("""COMPUTED_VALUE"""),"Active")</f>
        <v>Active</v>
      </c>
      <c r="E361" s="4" t="str">
        <f>IFERROR(__xludf.DUMMYFUNCTION("""COMPUTED_VALUE"""),"Product Engineering")</f>
        <v>Product Engineering</v>
      </c>
      <c r="F361" s="4" t="str">
        <f>IFERROR(__xludf.DUMMYFUNCTION("""COMPUTED_VALUE"""),"Anurag Saxena")</f>
        <v>Anurag Saxena</v>
      </c>
      <c r="G361" s="4" t="str">
        <f>IFERROR(__xludf.DUMMYFUNCTION("""COMPUTED_VALUE"""),"Cluster - Mayur")</f>
        <v>Cluster - Mayur</v>
      </c>
      <c r="H361" s="4"/>
      <c r="I361" s="5"/>
      <c r="J361" s="4"/>
      <c r="K361" s="4" t="str">
        <f>IFERROR(__xludf.DUMMYFUNCTION("""COMPUTED_VALUE"""),"ID Not Created")</f>
        <v>ID Not Created</v>
      </c>
      <c r="L361" s="4"/>
    </row>
    <row r="362">
      <c r="A362" s="4" t="str">
        <f>IFERROR(__xludf.DUMMYFUNCTION("""COMPUTED_VALUE"""),"DME2169")</f>
        <v>DME2169</v>
      </c>
      <c r="B362" s="4" t="str">
        <f>IFERROR(__xludf.DUMMYFUNCTION("""COMPUTED_VALUE"""),"Sachin Balaji Bacchewar")</f>
        <v>Sachin Balaji Bacchewar</v>
      </c>
      <c r="C362" s="4" t="str">
        <f>IFERROR(__xludf.DUMMYFUNCTION("""COMPUTED_VALUE"""),"sachin.bacchewar@onixnet.com")</f>
        <v>sachin.bacchewar@onixnet.com</v>
      </c>
      <c r="D362" s="4" t="str">
        <f>IFERROR(__xludf.DUMMYFUNCTION("""COMPUTED_VALUE"""),"Active")</f>
        <v>Active</v>
      </c>
      <c r="E362" s="4" t="str">
        <f>IFERROR(__xludf.DUMMYFUNCTION("""COMPUTED_VALUE"""),"Delivery Services")</f>
        <v>Delivery Services</v>
      </c>
      <c r="F362" s="4" t="str">
        <f>IFERROR(__xludf.DUMMYFUNCTION("""COMPUTED_VALUE"""),"Varun Katyal")</f>
        <v>Varun Katyal</v>
      </c>
      <c r="G362" s="4" t="str">
        <f>IFERROR(__xludf.DUMMYFUNCTION("""COMPUTED_VALUE"""),"Cluster - Varun")</f>
        <v>Cluster - Varun</v>
      </c>
      <c r="H362" s="4" t="str">
        <f>IFERROR(__xludf.DUMMYFUNCTION("""COMPUTED_VALUE"""),"ONISBSBF6")</f>
        <v>ONISBSBF6</v>
      </c>
      <c r="I362" s="5">
        <f>IFERROR(__xludf.DUMMYFUNCTION("""COMPUTED_VALUE"""),0.0)</f>
        <v>0</v>
      </c>
      <c r="J362" s="4" t="str">
        <f>IFERROR(__xludf.DUMMYFUNCTION("""COMPUTED_VALUE"""),"Admin")</f>
        <v>Admin</v>
      </c>
      <c r="K362" s="4" t="str">
        <f>IFERROR(__xludf.DUMMYFUNCTION("""COMPUTED_VALUE"""),"Active")</f>
        <v>Active</v>
      </c>
      <c r="L362" s="4"/>
    </row>
    <row r="363">
      <c r="A363" s="4" t="str">
        <f>IFERROR(__xludf.DUMMYFUNCTION("""COMPUTED_VALUE"""),"DME2172")</f>
        <v>DME2172</v>
      </c>
      <c r="B363" s="4" t="str">
        <f>IFERROR(__xludf.DUMMYFUNCTION("""COMPUTED_VALUE"""),"Samruddhi Pandhare")</f>
        <v>Samruddhi Pandhare</v>
      </c>
      <c r="C363" s="4" t="str">
        <f>IFERROR(__xludf.DUMMYFUNCTION("""COMPUTED_VALUE"""),"Samruddhi.Pandhare@onixnet.com")</f>
        <v>Samruddhi.Pandhare@onixnet.com</v>
      </c>
      <c r="D363" s="4" t="str">
        <f>IFERROR(__xludf.DUMMYFUNCTION("""COMPUTED_VALUE"""),"Active")</f>
        <v>Active</v>
      </c>
      <c r="E363" s="4" t="str">
        <f>IFERROR(__xludf.DUMMYFUNCTION("""COMPUTED_VALUE"""),"Delivery Services")</f>
        <v>Delivery Services</v>
      </c>
      <c r="F363" s="4" t="str">
        <f>IFERROR(__xludf.DUMMYFUNCTION("""COMPUTED_VALUE"""),"Priyanka Jain")</f>
        <v>Priyanka Jain</v>
      </c>
      <c r="G363" s="4" t="str">
        <f>IFERROR(__xludf.DUMMYFUNCTION("""COMPUTED_VALUE"""),"Cluster - Sagar")</f>
        <v>Cluster - Sagar</v>
      </c>
      <c r="H363" s="4" t="str">
        <f>IFERROR(__xludf.DUMMYFUNCTION("""COMPUTED_VALUE"""),"ONISPZNS2")</f>
        <v>ONISPZNS2</v>
      </c>
      <c r="I363" s="5">
        <f>IFERROR(__xludf.DUMMYFUNCTION("""COMPUTED_VALUE"""),19.0)</f>
        <v>19</v>
      </c>
      <c r="J363" s="4" t="str">
        <f>IFERROR(__xludf.DUMMYFUNCTION("""COMPUTED_VALUE"""),"Tier 4")</f>
        <v>Tier 4</v>
      </c>
      <c r="K363" s="4" t="str">
        <f>IFERROR(__xludf.DUMMYFUNCTION("""COMPUTED_VALUE"""),"Active")</f>
        <v>Active</v>
      </c>
      <c r="L363" s="4" t="str">
        <f>IFERROR(__xludf.DUMMYFUNCTION("""COMPUTED_VALUE"""),"Google Kubernetes Engine")</f>
        <v>Google Kubernetes Engine</v>
      </c>
    </row>
    <row r="364">
      <c r="A364" s="4" t="str">
        <f>IFERROR(__xludf.DUMMYFUNCTION("""COMPUTED_VALUE"""),"DME2174")</f>
        <v>DME2174</v>
      </c>
      <c r="B364" s="4" t="str">
        <f>IFERROR(__xludf.DUMMYFUNCTION("""COMPUTED_VALUE"""),"Utkarsha Dilip Talele")</f>
        <v>Utkarsha Dilip Talele</v>
      </c>
      <c r="C364" s="4" t="str">
        <f>IFERROR(__xludf.DUMMYFUNCTION("""COMPUTED_VALUE"""),"utkarsha.talele@onixnet.com")</f>
        <v>utkarsha.talele@onixnet.com</v>
      </c>
      <c r="D364" s="4" t="str">
        <f>IFERROR(__xludf.DUMMYFUNCTION("""COMPUTED_VALUE"""),"Active")</f>
        <v>Active</v>
      </c>
      <c r="E364" s="4" t="str">
        <f>IFERROR(__xludf.DUMMYFUNCTION("""COMPUTED_VALUE"""),"Delivery Services")</f>
        <v>Delivery Services</v>
      </c>
      <c r="F364" s="4" t="str">
        <f>IFERROR(__xludf.DUMMYFUNCTION("""COMPUTED_VALUE"""),"Jitender Singh")</f>
        <v>Jitender Singh</v>
      </c>
      <c r="G364" s="4" t="str">
        <f>IFERROR(__xludf.DUMMYFUNCTION("""COMPUTED_VALUE"""),"Cluster - Gaurav")</f>
        <v>Cluster - Gaurav</v>
      </c>
      <c r="H364" s="4" t="str">
        <f>IFERROR(__xludf.DUMMYFUNCTION("""COMPUTED_VALUE"""),"ONIUTZNM9")</f>
        <v>ONIUTZNM9</v>
      </c>
      <c r="I364" s="5">
        <f>IFERROR(__xludf.DUMMYFUNCTION("""COMPUTED_VALUE"""),30.0)</f>
        <v>30</v>
      </c>
      <c r="J364" s="4" t="str">
        <f>IFERROR(__xludf.DUMMYFUNCTION("""COMPUTED_VALUE"""),"Tier 3")</f>
        <v>Tier 3</v>
      </c>
      <c r="K364" s="4" t="str">
        <f>IFERROR(__xludf.DUMMYFUNCTION("""COMPUTED_VALUE"""),"Active")</f>
        <v>Active</v>
      </c>
      <c r="L364" s="4" t="str">
        <f>IFERROR(__xludf.DUMMYFUNCTION("""COMPUTED_VALUE"""),"Google Cloud Networking")</f>
        <v>Google Cloud Networking</v>
      </c>
    </row>
    <row r="365">
      <c r="A365" s="4" t="str">
        <f>IFERROR(__xludf.DUMMYFUNCTION("""COMPUTED_VALUE"""),"DME2177")</f>
        <v>DME2177</v>
      </c>
      <c r="B365" s="4" t="str">
        <f>IFERROR(__xludf.DUMMYFUNCTION("""COMPUTED_VALUE"""),"Anuj Chopra")</f>
        <v>Anuj Chopra</v>
      </c>
      <c r="C365" s="4" t="str">
        <f>IFERROR(__xludf.DUMMYFUNCTION("""COMPUTED_VALUE"""),"anuj.chopra@onixnet.com")</f>
        <v>anuj.chopra@onixnet.com</v>
      </c>
      <c r="D365" s="4" t="str">
        <f>IFERROR(__xludf.DUMMYFUNCTION("""COMPUTED_VALUE"""),"Active")</f>
        <v>Active</v>
      </c>
      <c r="E365" s="4" t="str">
        <f>IFERROR(__xludf.DUMMYFUNCTION("""COMPUTED_VALUE"""),"Delivery Services")</f>
        <v>Delivery Services</v>
      </c>
      <c r="F365" s="4" t="str">
        <f>IFERROR(__xludf.DUMMYFUNCTION("""COMPUTED_VALUE"""),"Rahul Chandak")</f>
        <v>Rahul Chandak</v>
      </c>
      <c r="G365" s="4" t="str">
        <f>IFERROR(__xludf.DUMMYFUNCTION("""COMPUTED_VALUE"""),"Cluster - Sagar")</f>
        <v>Cluster - Sagar</v>
      </c>
      <c r="H365" s="4" t="str">
        <f>IFERROR(__xludf.DUMMYFUNCTION("""COMPUTED_VALUE"""),"ONIACHCK9")</f>
        <v>ONIACHCK9</v>
      </c>
      <c r="I365" s="5">
        <f>IFERROR(__xludf.DUMMYFUNCTION("""COMPUTED_VALUE"""),20.0)</f>
        <v>20</v>
      </c>
      <c r="J365" s="4" t="str">
        <f>IFERROR(__xludf.DUMMYFUNCTION("""COMPUTED_VALUE"""),"Tier 3")</f>
        <v>Tier 3</v>
      </c>
      <c r="K365" s="4" t="str">
        <f>IFERROR(__xludf.DUMMYFUNCTION("""COMPUTED_VALUE"""),"Active")</f>
        <v>Active</v>
      </c>
      <c r="L365" s="4" t="str">
        <f>IFERROR(__xludf.DUMMYFUNCTION("""COMPUTED_VALUE"""),"Gemini Enterprise Agent Platform")</f>
        <v>Gemini Enterprise Agent Platform</v>
      </c>
    </row>
    <row r="366">
      <c r="A366" s="4" t="str">
        <f>IFERROR(__xludf.DUMMYFUNCTION("""COMPUTED_VALUE"""),"DME2183")</f>
        <v>DME2183</v>
      </c>
      <c r="B366" s="4" t="str">
        <f>IFERROR(__xludf.DUMMYFUNCTION("""COMPUTED_VALUE"""),"Ashutosh Babbar")</f>
        <v>Ashutosh Babbar</v>
      </c>
      <c r="C366" s="4" t="str">
        <f>IFERROR(__xludf.DUMMYFUNCTION("""COMPUTED_VALUE"""),"ashutosh.babbar@onixnet.com")</f>
        <v>ashutosh.babbar@onixnet.com</v>
      </c>
      <c r="D366" s="4" t="str">
        <f>IFERROR(__xludf.DUMMYFUNCTION("""COMPUTED_VALUE"""),"Active")</f>
        <v>Active</v>
      </c>
      <c r="E366" s="4" t="str">
        <f>IFERROR(__xludf.DUMMYFUNCTION("""COMPUTED_VALUE"""),"Delivery Services")</f>
        <v>Delivery Services</v>
      </c>
      <c r="F366" s="4" t="str">
        <f>IFERROR(__xludf.DUMMYFUNCTION("""COMPUTED_VALUE"""),"Hemanth Kolluru")</f>
        <v>Hemanth Kolluru</v>
      </c>
      <c r="G366" s="4" t="str">
        <f>IFERROR(__xludf.DUMMYFUNCTION("""COMPUTED_VALUE"""),"Cluster - Sachin")</f>
        <v>Cluster - Sachin</v>
      </c>
      <c r="H366" s="4" t="str">
        <f>IFERROR(__xludf.DUMMYFUNCTION("""COMPUTED_VALUE"""),"ONIABSOR1")</f>
        <v>ONIABSOR1</v>
      </c>
      <c r="I366" s="5">
        <f>IFERROR(__xludf.DUMMYFUNCTION("""COMPUTED_VALUE"""),15.0)</f>
        <v>15</v>
      </c>
      <c r="J366" s="4" t="str">
        <f>IFERROR(__xludf.DUMMYFUNCTION("""COMPUTED_VALUE"""),"Tier 4")</f>
        <v>Tier 4</v>
      </c>
      <c r="K366" s="4" t="str">
        <f>IFERROR(__xludf.DUMMYFUNCTION("""COMPUTED_VALUE"""),"Active")</f>
        <v>Active</v>
      </c>
      <c r="L366" s="4" t="str">
        <f>IFERROR(__xludf.DUMMYFUNCTION("""COMPUTED_VALUE"""),"Google Compute Engine")</f>
        <v>Google Compute Engine</v>
      </c>
    </row>
    <row r="367">
      <c r="A367" s="4" t="str">
        <f>IFERROR(__xludf.DUMMYFUNCTION("""COMPUTED_VALUE"""),"DME2182")</f>
        <v>DME2182</v>
      </c>
      <c r="B367" s="4" t="str">
        <f>IFERROR(__xludf.DUMMYFUNCTION("""COMPUTED_VALUE"""),"Abhishek Gupta")</f>
        <v>Abhishek Gupta</v>
      </c>
      <c r="C367" s="4" t="str">
        <f>IFERROR(__xludf.DUMMYFUNCTION("""COMPUTED_VALUE"""),"abhishek.gupta1@onixnet.com")</f>
        <v>abhishek.gupta1@onixnet.com</v>
      </c>
      <c r="D367" s="4" t="str">
        <f>IFERROR(__xludf.DUMMYFUNCTION("""COMPUTED_VALUE"""),"Active")</f>
        <v>Active</v>
      </c>
      <c r="E367" s="4" t="str">
        <f>IFERROR(__xludf.DUMMYFUNCTION("""COMPUTED_VALUE"""),"Delivery Services")</f>
        <v>Delivery Services</v>
      </c>
      <c r="F367" s="4" t="str">
        <f>IFERROR(__xludf.DUMMYFUNCTION("""COMPUTED_VALUE"""),"Indrajit Omprakash Bhagat")</f>
        <v>Indrajit Omprakash Bhagat</v>
      </c>
      <c r="G367" s="4" t="str">
        <f>IFERROR(__xludf.DUMMYFUNCTION("""COMPUTED_VALUE"""),"Cluster - Varun")</f>
        <v>Cluster - Varun</v>
      </c>
      <c r="H367" s="4" t="str">
        <f>IFERROR(__xludf.DUMMYFUNCTION("""COMPUTED_VALUE"""),"DATAGQWT2")</f>
        <v>DATAGQWT2</v>
      </c>
      <c r="I367" s="5">
        <f>IFERROR(__xludf.DUMMYFUNCTION("""COMPUTED_VALUE"""),19.0)</f>
        <v>19</v>
      </c>
      <c r="J367" s="4" t="str">
        <f>IFERROR(__xludf.DUMMYFUNCTION("""COMPUTED_VALUE"""),"Tier 4")</f>
        <v>Tier 4</v>
      </c>
      <c r="K367" s="4" t="str">
        <f>IFERROR(__xludf.DUMMYFUNCTION("""COMPUTED_VALUE"""),"Active")</f>
        <v>Active</v>
      </c>
      <c r="L367" s="4" t="str">
        <f>IFERROR(__xludf.DUMMYFUNCTION("""COMPUTED_VALUE"""),"Google Kubernetes Engine")</f>
        <v>Google Kubernetes Engine</v>
      </c>
    </row>
    <row r="368">
      <c r="A368" s="4" t="str">
        <f>IFERROR(__xludf.DUMMYFUNCTION("""COMPUTED_VALUE"""),"DME2185")</f>
        <v>DME2185</v>
      </c>
      <c r="B368" s="4" t="str">
        <f>IFERROR(__xludf.DUMMYFUNCTION("""COMPUTED_VALUE"""),"Brahmasai Vadlamani")</f>
        <v>Brahmasai Vadlamani</v>
      </c>
      <c r="C368" s="4" t="str">
        <f>IFERROR(__xludf.DUMMYFUNCTION("""COMPUTED_VALUE"""),"brahmasai.v@onixnet.com")</f>
        <v>brahmasai.v@onixnet.com</v>
      </c>
      <c r="D368" s="4" t="str">
        <f>IFERROR(__xludf.DUMMYFUNCTION("""COMPUTED_VALUE"""),"Active")</f>
        <v>Active</v>
      </c>
      <c r="E368" s="4" t="str">
        <f>IFERROR(__xludf.DUMMYFUNCTION("""COMPUTED_VALUE"""),"Delivery Services")</f>
        <v>Delivery Services</v>
      </c>
      <c r="F368" s="4" t="str">
        <f>IFERROR(__xludf.DUMMYFUNCTION("""COMPUTED_VALUE"""),"Sheela Sawant")</f>
        <v>Sheela Sawant</v>
      </c>
      <c r="G368" s="4" t="str">
        <f>IFERROR(__xludf.DUMMYFUNCTION("""COMPUTED_VALUE"""),"Cluster - Shreepad")</f>
        <v>Cluster - Shreepad</v>
      </c>
      <c r="H368" s="4" t="str">
        <f>IFERROR(__xludf.DUMMYFUNCTION("""COMPUTED_VALUE"""),"ONIBVCPQ4")</f>
        <v>ONIBVCPQ4</v>
      </c>
      <c r="I368" s="5">
        <f>IFERROR(__xludf.DUMMYFUNCTION("""COMPUTED_VALUE"""),0.0)</f>
        <v>0</v>
      </c>
      <c r="J368" s="4" t="str">
        <f>IFERROR(__xludf.DUMMYFUNCTION("""COMPUTED_VALUE"""),"Tier 4")</f>
        <v>Tier 4</v>
      </c>
      <c r="K368" s="4" t="str">
        <f>IFERROR(__xludf.DUMMYFUNCTION("""COMPUTED_VALUE"""),"ID Created DRP score 0")</f>
        <v>ID Created DRP score 0</v>
      </c>
      <c r="L368" s="4"/>
    </row>
    <row r="369">
      <c r="A369" s="4" t="str">
        <f>IFERROR(__xludf.DUMMYFUNCTION("""COMPUTED_VALUE"""),"DME2184")</f>
        <v>DME2184</v>
      </c>
      <c r="B369" s="4" t="str">
        <f>IFERROR(__xludf.DUMMYFUNCTION("""COMPUTED_VALUE"""),"T. Satish Kumar")</f>
        <v>T. Satish Kumar</v>
      </c>
      <c r="C369" s="4" t="str">
        <f>IFERROR(__xludf.DUMMYFUNCTION("""COMPUTED_VALUE"""),"satish.kumar@onixnet.com")</f>
        <v>satish.kumar@onixnet.com</v>
      </c>
      <c r="D369" s="4" t="str">
        <f>IFERROR(__xludf.DUMMYFUNCTION("""COMPUTED_VALUE"""),"Active")</f>
        <v>Active</v>
      </c>
      <c r="E369" s="4" t="str">
        <f>IFERROR(__xludf.DUMMYFUNCTION("""COMPUTED_VALUE"""),"Delivery Services")</f>
        <v>Delivery Services</v>
      </c>
      <c r="F369" s="4" t="str">
        <f>IFERROR(__xludf.DUMMYFUNCTION("""COMPUTED_VALUE"""),"Sheela Sawant")</f>
        <v>Sheela Sawant</v>
      </c>
      <c r="G369" s="4" t="str">
        <f>IFERROR(__xludf.DUMMYFUNCTION("""COMPUTED_VALUE"""),"Cluster - Gaurav")</f>
        <v>Cluster - Gaurav</v>
      </c>
      <c r="H369" s="4" t="str">
        <f>IFERROR(__xludf.DUMMYFUNCTION("""COMPUTED_VALUE"""),"ONISKOYQ8")</f>
        <v>ONISKOYQ8</v>
      </c>
      <c r="I369" s="5">
        <f>IFERROR(__xludf.DUMMYFUNCTION("""COMPUTED_VALUE"""),5.0)</f>
        <v>5</v>
      </c>
      <c r="J369" s="4" t="str">
        <f>IFERROR(__xludf.DUMMYFUNCTION("""COMPUTED_VALUE"""),"Tier 4")</f>
        <v>Tier 4</v>
      </c>
      <c r="K369" s="4" t="str">
        <f>IFERROR(__xludf.DUMMYFUNCTION("""COMPUTED_VALUE"""),"Active")</f>
        <v>Active</v>
      </c>
      <c r="L369" s="4" t="str">
        <f>IFERROR(__xludf.DUMMYFUNCTION("""COMPUTED_VALUE"""),"Google Kubernetes Engine")</f>
        <v>Google Kubernetes Engine</v>
      </c>
    </row>
    <row r="370">
      <c r="A370" s="4" t="str">
        <f>IFERROR(__xludf.DUMMYFUNCTION("""COMPUTED_VALUE"""),"DME2187")</f>
        <v>DME2187</v>
      </c>
      <c r="B370" s="4" t="str">
        <f>IFERROR(__xludf.DUMMYFUNCTION("""COMPUTED_VALUE"""),"Amol Pralhad Patil")</f>
        <v>Amol Pralhad Patil</v>
      </c>
      <c r="C370" s="4" t="str">
        <f>IFERROR(__xludf.DUMMYFUNCTION("""COMPUTED_VALUE"""),"amol.patil@onixnet.com")</f>
        <v>amol.patil@onixnet.com</v>
      </c>
      <c r="D370" s="4" t="str">
        <f>IFERROR(__xludf.DUMMYFUNCTION("""COMPUTED_VALUE"""),"Active")</f>
        <v>Active</v>
      </c>
      <c r="E370" s="4" t="str">
        <f>IFERROR(__xludf.DUMMYFUNCTION("""COMPUTED_VALUE"""),"Delivery Services")</f>
        <v>Delivery Services</v>
      </c>
      <c r="F370" s="4" t="str">
        <f>IFERROR(__xludf.DUMMYFUNCTION("""COMPUTED_VALUE"""),"Varun Katyal")</f>
        <v>Varun Katyal</v>
      </c>
      <c r="G370" s="4" t="str">
        <f>IFERROR(__xludf.DUMMYFUNCTION("""COMPUTED_VALUE"""),"Cluster - Varun")</f>
        <v>Cluster - Varun</v>
      </c>
      <c r="H370" s="4" t="str">
        <f>IFERROR(__xludf.DUMMYFUNCTION("""COMPUTED_VALUE"""),"ONIAPASR6")</f>
        <v>ONIAPASR6</v>
      </c>
      <c r="I370" s="5">
        <f>IFERROR(__xludf.DUMMYFUNCTION("""COMPUTED_VALUE"""),24.0)</f>
        <v>24</v>
      </c>
      <c r="J370" s="4" t="str">
        <f>IFERROR(__xludf.DUMMYFUNCTION("""COMPUTED_VALUE"""),"Tier 3")</f>
        <v>Tier 3</v>
      </c>
      <c r="K370" s="4" t="str">
        <f>IFERROR(__xludf.DUMMYFUNCTION("""COMPUTED_VALUE"""),"Active")</f>
        <v>Active</v>
      </c>
      <c r="L370" s="4" t="str">
        <f>IFERROR(__xludf.DUMMYFUNCTION("""COMPUTED_VALUE"""),"AI Applications")</f>
        <v>AI Applications</v>
      </c>
    </row>
    <row r="371">
      <c r="A371" s="4" t="str">
        <f>IFERROR(__xludf.DUMMYFUNCTION("""COMPUTED_VALUE"""),"DME2190")</f>
        <v>DME2190</v>
      </c>
      <c r="B371" s="4" t="str">
        <f>IFERROR(__xludf.DUMMYFUNCTION("""COMPUTED_VALUE"""),"Suraj Sudam Badgujar")</f>
        <v>Suraj Sudam Badgujar</v>
      </c>
      <c r="C371" s="4" t="str">
        <f>IFERROR(__xludf.DUMMYFUNCTION("""COMPUTED_VALUE"""),"suraj.badgujar@onixnet.com")</f>
        <v>suraj.badgujar@onixnet.com</v>
      </c>
      <c r="D371" s="4" t="str">
        <f>IFERROR(__xludf.DUMMYFUNCTION("""COMPUTED_VALUE"""),"Active")</f>
        <v>Active</v>
      </c>
      <c r="E371" s="4" t="str">
        <f>IFERROR(__xludf.DUMMYFUNCTION("""COMPUTED_VALUE"""),"Product Engineering")</f>
        <v>Product Engineering</v>
      </c>
      <c r="F371" s="4" t="str">
        <f>IFERROR(__xludf.DUMMYFUNCTION("""COMPUTED_VALUE"""),"Ketan Dosi")</f>
        <v>Ketan Dosi</v>
      </c>
      <c r="G371" s="4" t="str">
        <f>IFERROR(__xludf.DUMMYFUNCTION("""COMPUTED_VALUE"""),"Cluster - Mayur")</f>
        <v>Cluster - Mayur</v>
      </c>
      <c r="H371" s="4"/>
      <c r="I371" s="5"/>
      <c r="J371" s="4"/>
      <c r="K371" s="4" t="str">
        <f>IFERROR(__xludf.DUMMYFUNCTION("""COMPUTED_VALUE"""),"ID Not Created")</f>
        <v>ID Not Created</v>
      </c>
      <c r="L371" s="4"/>
    </row>
    <row r="372">
      <c r="A372" s="4" t="str">
        <f>IFERROR(__xludf.DUMMYFUNCTION("""COMPUTED_VALUE"""),"DME2196")</f>
        <v>DME2196</v>
      </c>
      <c r="B372" s="4" t="str">
        <f>IFERROR(__xludf.DUMMYFUNCTION("""COMPUTED_VALUE"""),"Rahul Narayan Shirsath")</f>
        <v>Rahul Narayan Shirsath</v>
      </c>
      <c r="C372" s="4" t="str">
        <f>IFERROR(__xludf.DUMMYFUNCTION("""COMPUTED_VALUE"""),"rahul.shirsath@onixnet.com")</f>
        <v>rahul.shirsath@onixnet.com</v>
      </c>
      <c r="D372" s="4" t="str">
        <f>IFERROR(__xludf.DUMMYFUNCTION("""COMPUTED_VALUE"""),"Active")</f>
        <v>Active</v>
      </c>
      <c r="E372" s="4" t="str">
        <f>IFERROR(__xludf.DUMMYFUNCTION("""COMPUTED_VALUE"""),"Delivery Services")</f>
        <v>Delivery Services</v>
      </c>
      <c r="F372" s="4" t="str">
        <f>IFERROR(__xludf.DUMMYFUNCTION("""COMPUTED_VALUE"""),"Ashwini Kumar")</f>
        <v>Ashwini Kumar</v>
      </c>
      <c r="G372" s="4" t="str">
        <f>IFERROR(__xludf.DUMMYFUNCTION("""COMPUTED_VALUE"""),"Cluster - Kanhaiya")</f>
        <v>Cluster - Kanhaiya</v>
      </c>
      <c r="H372" s="4" t="str">
        <f>IFERROR(__xludf.DUMMYFUNCTION("""COMPUTED_VALUE"""),"ONIRSPMO6")</f>
        <v>ONIRSPMO6</v>
      </c>
      <c r="I372" s="5">
        <f>IFERROR(__xludf.DUMMYFUNCTION("""COMPUTED_VALUE"""),11.0)</f>
        <v>11</v>
      </c>
      <c r="J372" s="4" t="str">
        <f>IFERROR(__xludf.DUMMYFUNCTION("""COMPUTED_VALUE"""),"Tier 4")</f>
        <v>Tier 4</v>
      </c>
      <c r="K372" s="4" t="str">
        <f>IFERROR(__xludf.DUMMYFUNCTION("""COMPUTED_VALUE"""),"Active")</f>
        <v>Active</v>
      </c>
      <c r="L372" s="4" t="str">
        <f>IFERROR(__xludf.DUMMYFUNCTION("""COMPUTED_VALUE"""),"Gemini Enterprise Agent Platform")</f>
        <v>Gemini Enterprise Agent Platform</v>
      </c>
    </row>
    <row r="373">
      <c r="A373" s="4" t="str">
        <f>IFERROR(__xludf.DUMMYFUNCTION("""COMPUTED_VALUE"""),"DME2198")</f>
        <v>DME2198</v>
      </c>
      <c r="B373" s="4" t="str">
        <f>IFERROR(__xludf.DUMMYFUNCTION("""COMPUTED_VALUE"""),"Ashok Patel")</f>
        <v>Ashok Patel</v>
      </c>
      <c r="C373" s="4" t="str">
        <f>IFERROR(__xludf.DUMMYFUNCTION("""COMPUTED_VALUE"""),"ashok.patel@onixnet.com")</f>
        <v>ashok.patel@onixnet.com</v>
      </c>
      <c r="D373" s="4" t="str">
        <f>IFERROR(__xludf.DUMMYFUNCTION("""COMPUTED_VALUE"""),"Active")</f>
        <v>Active</v>
      </c>
      <c r="E373" s="4" t="str">
        <f>IFERROR(__xludf.DUMMYFUNCTION("""COMPUTED_VALUE"""),"Product Engineering")</f>
        <v>Product Engineering</v>
      </c>
      <c r="F373" s="4" t="str">
        <f>IFERROR(__xludf.DUMMYFUNCTION("""COMPUTED_VALUE"""),"Rahul Panwar")</f>
        <v>Rahul Panwar</v>
      </c>
      <c r="G373" s="4" t="str">
        <f>IFERROR(__xludf.DUMMYFUNCTION("""COMPUTED_VALUE"""),"Cluster - Mayur")</f>
        <v>Cluster - Mayur</v>
      </c>
      <c r="H373" s="4" t="str">
        <f>IFERROR(__xludf.DUMMYFUNCTION("""COMPUTED_VALUE"""),"ONIAPAXQ6")</f>
        <v>ONIAPAXQ6</v>
      </c>
      <c r="I373" s="5">
        <f>IFERROR(__xludf.DUMMYFUNCTION("""COMPUTED_VALUE"""),15.0)</f>
        <v>15</v>
      </c>
      <c r="J373" s="4" t="str">
        <f>IFERROR(__xludf.DUMMYFUNCTION("""COMPUTED_VALUE"""),"Tier 4")</f>
        <v>Tier 4</v>
      </c>
      <c r="K373" s="4" t="str">
        <f>IFERROR(__xludf.DUMMYFUNCTION("""COMPUTED_VALUE"""),"Active")</f>
        <v>Active</v>
      </c>
      <c r="L373" s="4" t="str">
        <f>IFERROR(__xludf.DUMMYFUNCTION("""COMPUTED_VALUE"""),"AI Applications")</f>
        <v>AI Applications</v>
      </c>
    </row>
    <row r="374">
      <c r="A374" s="4" t="str">
        <f>IFERROR(__xludf.DUMMYFUNCTION("""COMPUTED_VALUE"""),"DME2200")</f>
        <v>DME2200</v>
      </c>
      <c r="B374" s="4" t="str">
        <f>IFERROR(__xludf.DUMMYFUNCTION("""COMPUTED_VALUE"""),"Mayur Tawhare")</f>
        <v>Mayur Tawhare</v>
      </c>
      <c r="C374" s="4" t="str">
        <f>IFERROR(__xludf.DUMMYFUNCTION("""COMPUTED_VALUE"""),"Mayur.tawhare@onixnet.com")</f>
        <v>Mayur.tawhare@onixnet.com</v>
      </c>
      <c r="D374" s="4" t="str">
        <f>IFERROR(__xludf.DUMMYFUNCTION("""COMPUTED_VALUE"""),"Active")</f>
        <v>Active</v>
      </c>
      <c r="E374" s="4" t="str">
        <f>IFERROR(__xludf.DUMMYFUNCTION("""COMPUTED_VALUE"""),"Delivery Services")</f>
        <v>Delivery Services</v>
      </c>
      <c r="F374" s="4" t="str">
        <f>IFERROR(__xludf.DUMMYFUNCTION("""COMPUTED_VALUE"""),"Varun Katyal")</f>
        <v>Varun Katyal</v>
      </c>
      <c r="G374" s="4" t="str">
        <f>IFERROR(__xludf.DUMMYFUNCTION("""COMPUTED_VALUE"""),"Cluster - Varun")</f>
        <v>Cluster - Varun</v>
      </c>
      <c r="H374" s="4" t="str">
        <f>IFERROR(__xludf.DUMMYFUNCTION("""COMPUTED_VALUE"""),"ONIMTGDU4")</f>
        <v>ONIMTGDU4</v>
      </c>
      <c r="I374" s="5">
        <f>IFERROR(__xludf.DUMMYFUNCTION("""COMPUTED_VALUE"""),5.0)</f>
        <v>5</v>
      </c>
      <c r="J374" s="4" t="str">
        <f>IFERROR(__xludf.DUMMYFUNCTION("""COMPUTED_VALUE"""),"Admin")</f>
        <v>Admin</v>
      </c>
      <c r="K374" s="4" t="str">
        <f>IFERROR(__xludf.DUMMYFUNCTION("""COMPUTED_VALUE"""),"Active")</f>
        <v>Active</v>
      </c>
      <c r="L374" s="4"/>
    </row>
    <row r="375">
      <c r="A375" s="4" t="str">
        <f>IFERROR(__xludf.DUMMYFUNCTION("""COMPUTED_VALUE"""),"DME2202")</f>
        <v>DME2202</v>
      </c>
      <c r="B375" s="4" t="str">
        <f>IFERROR(__xludf.DUMMYFUNCTION("""COMPUTED_VALUE"""),"Sajid Mahemud Patel")</f>
        <v>Sajid Mahemud Patel</v>
      </c>
      <c r="C375" s="4" t="str">
        <f>IFERROR(__xludf.DUMMYFUNCTION("""COMPUTED_VALUE"""),"sajid.patel@onixnet.com")</f>
        <v>sajid.patel@onixnet.com</v>
      </c>
      <c r="D375" s="4" t="str">
        <f>IFERROR(__xludf.DUMMYFUNCTION("""COMPUTED_VALUE"""),"Active")</f>
        <v>Active</v>
      </c>
      <c r="E375" s="4" t="str">
        <f>IFERROR(__xludf.DUMMYFUNCTION("""COMPUTED_VALUE"""),"Product Engineering")</f>
        <v>Product Engineering</v>
      </c>
      <c r="F375" s="4" t="str">
        <f>IFERROR(__xludf.DUMMYFUNCTION("""COMPUTED_VALUE"""),"Savan Tak")</f>
        <v>Savan Tak</v>
      </c>
      <c r="G375" s="4" t="str">
        <f>IFERROR(__xludf.DUMMYFUNCTION("""COMPUTED_VALUE"""),"Cluster - Mayur")</f>
        <v>Cluster - Mayur</v>
      </c>
      <c r="H375" s="4" t="str">
        <f>IFERROR(__xludf.DUMMYFUNCTION("""COMPUTED_VALUE"""),"ONISPQDS7")</f>
        <v>ONISPQDS7</v>
      </c>
      <c r="I375" s="5">
        <f>IFERROR(__xludf.DUMMYFUNCTION("""COMPUTED_VALUE"""),15.0)</f>
        <v>15</v>
      </c>
      <c r="J375" s="4" t="str">
        <f>IFERROR(__xludf.DUMMYFUNCTION("""COMPUTED_VALUE"""),"Tier 4")</f>
        <v>Tier 4</v>
      </c>
      <c r="K375" s="4" t="str">
        <f>IFERROR(__xludf.DUMMYFUNCTION("""COMPUTED_VALUE"""),"Active")</f>
        <v>Active</v>
      </c>
      <c r="L375" s="4" t="str">
        <f>IFERROR(__xludf.DUMMYFUNCTION("""COMPUTED_VALUE"""),"AI Applications")</f>
        <v>AI Applications</v>
      </c>
    </row>
    <row r="376">
      <c r="A376" s="4" t="str">
        <f>IFERROR(__xludf.DUMMYFUNCTION("""COMPUTED_VALUE"""),"DME2201")</f>
        <v>DME2201</v>
      </c>
      <c r="B376" s="4" t="str">
        <f>IFERROR(__xludf.DUMMYFUNCTION("""COMPUTED_VALUE"""),"Pratik Nilkanth Malshe")</f>
        <v>Pratik Nilkanth Malshe</v>
      </c>
      <c r="C376" s="4" t="str">
        <f>IFERROR(__xludf.DUMMYFUNCTION("""COMPUTED_VALUE"""),"pratik.malshe@onixnet.com")</f>
        <v>pratik.malshe@onixnet.com</v>
      </c>
      <c r="D376" s="4" t="str">
        <f>IFERROR(__xludf.DUMMYFUNCTION("""COMPUTED_VALUE"""),"Active")</f>
        <v>Active</v>
      </c>
      <c r="E376" s="4" t="str">
        <f>IFERROR(__xludf.DUMMYFUNCTION("""COMPUTED_VALUE"""),"Professional Services")</f>
        <v>Professional Services</v>
      </c>
      <c r="F376" s="4" t="str">
        <f>IFERROR(__xludf.DUMMYFUNCTION("""COMPUTED_VALUE"""),"Ritu Garg")</f>
        <v>Ritu Garg</v>
      </c>
      <c r="G376" s="4" t="str">
        <f>IFERROR(__xludf.DUMMYFUNCTION("""COMPUTED_VALUE"""),"Cluster - Kalpa")</f>
        <v>Cluster - Kalpa</v>
      </c>
      <c r="H376" s="4" t="str">
        <f>IFERROR(__xludf.DUMMYFUNCTION("""COMPUTED_VALUE"""),"ONIPMASO5")</f>
        <v>ONIPMASO5</v>
      </c>
      <c r="I376" s="5">
        <f>IFERROR(__xludf.DUMMYFUNCTION("""COMPUTED_VALUE"""),0.0)</f>
        <v>0</v>
      </c>
      <c r="J376" s="4" t="str">
        <f>IFERROR(__xludf.DUMMYFUNCTION("""COMPUTED_VALUE"""),"Tier 4")</f>
        <v>Tier 4</v>
      </c>
      <c r="K376" s="4" t="str">
        <f>IFERROR(__xludf.DUMMYFUNCTION("""COMPUTED_VALUE"""),"ID Created DRP score 0")</f>
        <v>ID Created DRP score 0</v>
      </c>
      <c r="L376" s="4"/>
    </row>
    <row r="377">
      <c r="A377" s="4" t="str">
        <f>IFERROR(__xludf.DUMMYFUNCTION("""COMPUTED_VALUE"""),"DME2215")</f>
        <v>DME2215</v>
      </c>
      <c r="B377" s="4" t="str">
        <f>IFERROR(__xludf.DUMMYFUNCTION("""COMPUTED_VALUE"""),"Ravi Shrivastav")</f>
        <v>Ravi Shrivastav</v>
      </c>
      <c r="C377" s="4" t="str">
        <f>IFERROR(__xludf.DUMMYFUNCTION("""COMPUTED_VALUE"""),"ravi.shrivastav@onixnet.com")</f>
        <v>ravi.shrivastav@onixnet.com</v>
      </c>
      <c r="D377" s="4" t="str">
        <f>IFERROR(__xludf.DUMMYFUNCTION("""COMPUTED_VALUE"""),"Active")</f>
        <v>Active</v>
      </c>
      <c r="E377" s="4" t="str">
        <f>IFERROR(__xludf.DUMMYFUNCTION("""COMPUTED_VALUE"""),"Product Engineering")</f>
        <v>Product Engineering</v>
      </c>
      <c r="F377" s="4" t="str">
        <f>IFERROR(__xludf.DUMMYFUNCTION("""COMPUTED_VALUE"""),"Saurabh Singh")</f>
        <v>Saurabh Singh</v>
      </c>
      <c r="G377" s="4" t="str">
        <f>IFERROR(__xludf.DUMMYFUNCTION("""COMPUTED_VALUE"""),"Cluster - Mayur")</f>
        <v>Cluster - Mayur</v>
      </c>
      <c r="H377" s="4" t="str">
        <f>IFERROR(__xludf.DUMMYFUNCTION("""COMPUTED_VALUE"""),"ONIRSAJM4")</f>
        <v>ONIRSAJM4</v>
      </c>
      <c r="I377" s="5">
        <f>IFERROR(__xludf.DUMMYFUNCTION("""COMPUTED_VALUE"""),32.0)</f>
        <v>32</v>
      </c>
      <c r="J377" s="4" t="str">
        <f>IFERROR(__xludf.DUMMYFUNCTION("""COMPUTED_VALUE"""),"Tier 3")</f>
        <v>Tier 3</v>
      </c>
      <c r="K377" s="4" t="str">
        <f>IFERROR(__xludf.DUMMYFUNCTION("""COMPUTED_VALUE"""),"Active")</f>
        <v>Active</v>
      </c>
      <c r="L377" s="4" t="str">
        <f>IFERROR(__xludf.DUMMYFUNCTION("""COMPUTED_VALUE"""),"BigQuery")</f>
        <v>BigQuery</v>
      </c>
    </row>
    <row r="378">
      <c r="A378" s="4" t="str">
        <f>IFERROR(__xludf.DUMMYFUNCTION("""COMPUTED_VALUE"""),"DME2214")</f>
        <v>DME2214</v>
      </c>
      <c r="B378" s="4" t="str">
        <f>IFERROR(__xludf.DUMMYFUNCTION("""COMPUTED_VALUE"""),"Samarth Chowksay")</f>
        <v>Samarth Chowksay</v>
      </c>
      <c r="C378" s="4" t="str">
        <f>IFERROR(__xludf.DUMMYFUNCTION("""COMPUTED_VALUE"""),"samarth.chowksay@onixnet.com")</f>
        <v>samarth.chowksay@onixnet.com</v>
      </c>
      <c r="D378" s="4" t="str">
        <f>IFERROR(__xludf.DUMMYFUNCTION("""COMPUTED_VALUE"""),"Active")</f>
        <v>Active</v>
      </c>
      <c r="E378" s="4" t="str">
        <f>IFERROR(__xludf.DUMMYFUNCTION("""COMPUTED_VALUE"""),"Product Engineering")</f>
        <v>Product Engineering</v>
      </c>
      <c r="F378" s="4" t="str">
        <f>IFERROR(__xludf.DUMMYFUNCTION("""COMPUTED_VALUE"""),"Mayur Jain")</f>
        <v>Mayur Jain</v>
      </c>
      <c r="G378" s="4" t="str">
        <f>IFERROR(__xludf.DUMMYFUNCTION("""COMPUTED_VALUE"""),"Cluster - Mayur")</f>
        <v>Cluster - Mayur</v>
      </c>
      <c r="H378" s="4" t="str">
        <f>IFERROR(__xludf.DUMMYFUNCTION("""COMPUTED_VALUE"""),"ONISCSZD6")</f>
        <v>ONISCSZD6</v>
      </c>
      <c r="I378" s="5">
        <f>IFERROR(__xludf.DUMMYFUNCTION("""COMPUTED_VALUE"""),0.0)</f>
        <v>0</v>
      </c>
      <c r="J378" s="4" t="str">
        <f>IFERROR(__xludf.DUMMYFUNCTION("""COMPUTED_VALUE"""),"Tier 4")</f>
        <v>Tier 4</v>
      </c>
      <c r="K378" s="4" t="str">
        <f>IFERROR(__xludf.DUMMYFUNCTION("""COMPUTED_VALUE"""),"ID Created DRP score 0")</f>
        <v>ID Created DRP score 0</v>
      </c>
      <c r="L378" s="4"/>
    </row>
    <row r="379">
      <c r="A379" s="4" t="str">
        <f>IFERROR(__xludf.DUMMYFUNCTION("""COMPUTED_VALUE"""),"DME2219")</f>
        <v>DME2219</v>
      </c>
      <c r="B379" s="4" t="str">
        <f>IFERROR(__xludf.DUMMYFUNCTION("""COMPUTED_VALUE"""),"Jitender Yadav")</f>
        <v>Jitender Yadav</v>
      </c>
      <c r="C379" s="4" t="str">
        <f>IFERROR(__xludf.DUMMYFUNCTION("""COMPUTED_VALUE"""),"jitender.yadav@onixnet.com")</f>
        <v>jitender.yadav@onixnet.com</v>
      </c>
      <c r="D379" s="4" t="str">
        <f>IFERROR(__xludf.DUMMYFUNCTION("""COMPUTED_VALUE"""),"Active")</f>
        <v>Active</v>
      </c>
      <c r="E379" s="4" t="str">
        <f>IFERROR(__xludf.DUMMYFUNCTION("""COMPUTED_VALUE"""),"Product Engineering")</f>
        <v>Product Engineering</v>
      </c>
      <c r="F379" s="4" t="str">
        <f>IFERROR(__xludf.DUMMYFUNCTION("""COMPUTED_VALUE"""),"Anurag Saxena")</f>
        <v>Anurag Saxena</v>
      </c>
      <c r="G379" s="4" t="str">
        <f>IFERROR(__xludf.DUMMYFUNCTION("""COMPUTED_VALUE"""),"Cluster - Mayur")</f>
        <v>Cluster - Mayur</v>
      </c>
      <c r="H379" s="4" t="str">
        <f>IFERROR(__xludf.DUMMYFUNCTION("""COMPUTED_VALUE"""),"ONIJYSOF3")</f>
        <v>ONIJYSOF3</v>
      </c>
      <c r="I379" s="5">
        <f>IFERROR(__xludf.DUMMYFUNCTION("""COMPUTED_VALUE"""),20.0)</f>
        <v>20</v>
      </c>
      <c r="J379" s="4" t="str">
        <f>IFERROR(__xludf.DUMMYFUNCTION("""COMPUTED_VALUE"""),"Tier 3")</f>
        <v>Tier 3</v>
      </c>
      <c r="K379" s="4" t="str">
        <f>IFERROR(__xludf.DUMMYFUNCTION("""COMPUTED_VALUE"""),"Active")</f>
        <v>Active</v>
      </c>
      <c r="L379" s="4" t="str">
        <f>IFERROR(__xludf.DUMMYFUNCTION("""COMPUTED_VALUE"""),"AI Applications")</f>
        <v>AI Applications</v>
      </c>
    </row>
    <row r="380">
      <c r="A380" s="4" t="str">
        <f>IFERROR(__xludf.DUMMYFUNCTION("""COMPUTED_VALUE"""),"DME2221")</f>
        <v>DME2221</v>
      </c>
      <c r="B380" s="4" t="str">
        <f>IFERROR(__xludf.DUMMYFUNCTION("""COMPUTED_VALUE"""),"Dipika Mandewad")</f>
        <v>Dipika Mandewad</v>
      </c>
      <c r="C380" s="4" t="str">
        <f>IFERROR(__xludf.DUMMYFUNCTION("""COMPUTED_VALUE"""),"dipika.mandewad@onixnet.com")</f>
        <v>dipika.mandewad@onixnet.com</v>
      </c>
      <c r="D380" s="4" t="str">
        <f>IFERROR(__xludf.DUMMYFUNCTION("""COMPUTED_VALUE"""),"Active")</f>
        <v>Active</v>
      </c>
      <c r="E380" s="4" t="str">
        <f>IFERROR(__xludf.DUMMYFUNCTION("""COMPUTED_VALUE"""),"Delivery Services")</f>
        <v>Delivery Services</v>
      </c>
      <c r="F380" s="4" t="str">
        <f>IFERROR(__xludf.DUMMYFUNCTION("""COMPUTED_VALUE"""),"Jitender Singh")</f>
        <v>Jitender Singh</v>
      </c>
      <c r="G380" s="4" t="str">
        <f>IFERROR(__xludf.DUMMYFUNCTION("""COMPUTED_VALUE"""),"Cluster - Gaurav")</f>
        <v>Cluster - Gaurav</v>
      </c>
      <c r="H380" s="4" t="str">
        <f>IFERROR(__xludf.DUMMYFUNCTION("""COMPUTED_VALUE"""),"ONIDMIDS1")</f>
        <v>ONIDMIDS1</v>
      </c>
      <c r="I380" s="5">
        <f>IFERROR(__xludf.DUMMYFUNCTION("""COMPUTED_VALUE"""),5.0)</f>
        <v>5</v>
      </c>
      <c r="J380" s="4" t="str">
        <f>IFERROR(__xludf.DUMMYFUNCTION("""COMPUTED_VALUE"""),"Tier 4")</f>
        <v>Tier 4</v>
      </c>
      <c r="K380" s="4" t="str">
        <f>IFERROR(__xludf.DUMMYFUNCTION("""COMPUTED_VALUE"""),"Active")</f>
        <v>Active</v>
      </c>
      <c r="L380" s="4" t="str">
        <f>IFERROR(__xludf.DUMMYFUNCTION("""COMPUTED_VALUE"""),"Gemini Enterprise Agent Platform")</f>
        <v>Gemini Enterprise Agent Platform</v>
      </c>
    </row>
    <row r="381">
      <c r="A381" s="4" t="str">
        <f>IFERROR(__xludf.DUMMYFUNCTION("""COMPUTED_VALUE"""),"DME2223")</f>
        <v>DME2223</v>
      </c>
      <c r="B381" s="4" t="str">
        <f>IFERROR(__xludf.DUMMYFUNCTION("""COMPUTED_VALUE"""),"Aniruddha Gopal Mandan")</f>
        <v>Aniruddha Gopal Mandan</v>
      </c>
      <c r="C381" s="4" t="str">
        <f>IFERROR(__xludf.DUMMYFUNCTION("""COMPUTED_VALUE"""),"aniruddha.mandan@onixnet.com")</f>
        <v>aniruddha.mandan@onixnet.com</v>
      </c>
      <c r="D381" s="4" t="str">
        <f>IFERROR(__xludf.DUMMYFUNCTION("""COMPUTED_VALUE"""),"Active")</f>
        <v>Active</v>
      </c>
      <c r="E381" s="4" t="str">
        <f>IFERROR(__xludf.DUMMYFUNCTION("""COMPUTED_VALUE"""),"Product Engineering")</f>
        <v>Product Engineering</v>
      </c>
      <c r="F381" s="4" t="str">
        <f>IFERROR(__xludf.DUMMYFUNCTION("""COMPUTED_VALUE"""),"Aayush Sahu")</f>
        <v>Aayush Sahu</v>
      </c>
      <c r="G381" s="4" t="str">
        <f>IFERROR(__xludf.DUMMYFUNCTION("""COMPUTED_VALUE"""),"Cluster - Mayur")</f>
        <v>Cluster - Mayur</v>
      </c>
      <c r="H381" s="4"/>
      <c r="I381" s="5"/>
      <c r="J381" s="4"/>
      <c r="K381" s="4" t="str">
        <f>IFERROR(__xludf.DUMMYFUNCTION("""COMPUTED_VALUE"""),"ID Not Created")</f>
        <v>ID Not Created</v>
      </c>
      <c r="L381" s="4"/>
    </row>
    <row r="382">
      <c r="A382" s="4" t="str">
        <f>IFERROR(__xludf.DUMMYFUNCTION("""COMPUTED_VALUE"""),"DME2228")</f>
        <v>DME2228</v>
      </c>
      <c r="B382" s="4" t="str">
        <f>IFERROR(__xludf.DUMMYFUNCTION("""COMPUTED_VALUE"""),"Shraddha Shankar Dethe")</f>
        <v>Shraddha Shankar Dethe</v>
      </c>
      <c r="C382" s="4" t="str">
        <f>IFERROR(__xludf.DUMMYFUNCTION("""COMPUTED_VALUE"""),"shraddha.dethe@onixnet.com")</f>
        <v>shraddha.dethe@onixnet.com</v>
      </c>
      <c r="D382" s="4" t="str">
        <f>IFERROR(__xludf.DUMMYFUNCTION("""COMPUTED_VALUE"""),"Active")</f>
        <v>Active</v>
      </c>
      <c r="E382" s="4" t="str">
        <f>IFERROR(__xludf.DUMMYFUNCTION("""COMPUTED_VALUE"""),"Product Engineering")</f>
        <v>Product Engineering</v>
      </c>
      <c r="F382" s="4" t="str">
        <f>IFERROR(__xludf.DUMMYFUNCTION("""COMPUTED_VALUE"""),"Uday Hajare")</f>
        <v>Uday Hajare</v>
      </c>
      <c r="G382" s="4" t="str">
        <f>IFERROR(__xludf.DUMMYFUNCTION("""COMPUTED_VALUE"""),"Cluster - Mayur")</f>
        <v>Cluster - Mayur</v>
      </c>
      <c r="H382" s="4" t="str">
        <f>IFERROR(__xludf.DUMMYFUNCTION("""COMPUTED_VALUE"""),"ONISDMPO1")</f>
        <v>ONISDMPO1</v>
      </c>
      <c r="I382" s="5">
        <f>IFERROR(__xludf.DUMMYFUNCTION("""COMPUTED_VALUE"""),20.0)</f>
        <v>20</v>
      </c>
      <c r="J382" s="4" t="str">
        <f>IFERROR(__xludf.DUMMYFUNCTION("""COMPUTED_VALUE"""),"Tier 3")</f>
        <v>Tier 3</v>
      </c>
      <c r="K382" s="4" t="str">
        <f>IFERROR(__xludf.DUMMYFUNCTION("""COMPUTED_VALUE"""),"Active")</f>
        <v>Active</v>
      </c>
      <c r="L382" s="4" t="str">
        <f>IFERROR(__xludf.DUMMYFUNCTION("""COMPUTED_VALUE"""),"AI Applications")</f>
        <v>AI Applications</v>
      </c>
    </row>
    <row r="383">
      <c r="A383" s="4" t="str">
        <f>IFERROR(__xludf.DUMMYFUNCTION("""COMPUTED_VALUE"""),"DME2229")</f>
        <v>DME2229</v>
      </c>
      <c r="B383" s="4" t="str">
        <f>IFERROR(__xludf.DUMMYFUNCTION("""COMPUTED_VALUE"""),"Ashutosh Kumar")</f>
        <v>Ashutosh Kumar</v>
      </c>
      <c r="C383" s="4" t="str">
        <f>IFERROR(__xludf.DUMMYFUNCTION("""COMPUTED_VALUE"""),"ashutosh.kumar@onixnet.com")</f>
        <v>ashutosh.kumar@onixnet.com</v>
      </c>
      <c r="D383" s="4" t="str">
        <f>IFERROR(__xludf.DUMMYFUNCTION("""COMPUTED_VALUE"""),"Active")</f>
        <v>Active</v>
      </c>
      <c r="E383" s="4" t="str">
        <f>IFERROR(__xludf.DUMMYFUNCTION("""COMPUTED_VALUE"""),"Product Engineering")</f>
        <v>Product Engineering</v>
      </c>
      <c r="F383" s="4" t="str">
        <f>IFERROR(__xludf.DUMMYFUNCTION("""COMPUTED_VALUE"""),"Anurag Saxena")</f>
        <v>Anurag Saxena</v>
      </c>
      <c r="G383" s="4" t="str">
        <f>IFERROR(__xludf.DUMMYFUNCTION("""COMPUTED_VALUE"""),"Cluster - Mayur")</f>
        <v>Cluster - Mayur</v>
      </c>
      <c r="H383" s="4" t="str">
        <f>IFERROR(__xludf.DUMMYFUNCTION("""COMPUTED_VALUE"""),"ONIAKOPC3")</f>
        <v>ONIAKOPC3</v>
      </c>
      <c r="I383" s="5">
        <f>IFERROR(__xludf.DUMMYFUNCTION("""COMPUTED_VALUE"""),10.0)</f>
        <v>10</v>
      </c>
      <c r="J383" s="4" t="str">
        <f>IFERROR(__xludf.DUMMYFUNCTION("""COMPUTED_VALUE"""),"Tier 4")</f>
        <v>Tier 4</v>
      </c>
      <c r="K383" s="4" t="str">
        <f>IFERROR(__xludf.DUMMYFUNCTION("""COMPUTED_VALUE"""),"Active")</f>
        <v>Active</v>
      </c>
      <c r="L383" s="4" t="str">
        <f>IFERROR(__xludf.DUMMYFUNCTION("""COMPUTED_VALUE"""),"AI Applications")</f>
        <v>AI Applications</v>
      </c>
    </row>
    <row r="384">
      <c r="A384" s="4" t="str">
        <f>IFERROR(__xludf.DUMMYFUNCTION("""COMPUTED_VALUE"""),"DME2230")</f>
        <v>DME2230</v>
      </c>
      <c r="B384" s="4" t="str">
        <f>IFERROR(__xludf.DUMMYFUNCTION("""COMPUTED_VALUE"""),"Shailesh Arvind Salunke")</f>
        <v>Shailesh Arvind Salunke</v>
      </c>
      <c r="C384" s="4" t="str">
        <f>IFERROR(__xludf.DUMMYFUNCTION("""COMPUTED_VALUE"""),"shailesh.salunke@onixnet.com")</f>
        <v>shailesh.salunke@onixnet.com</v>
      </c>
      <c r="D384" s="4" t="str">
        <f>IFERROR(__xludf.DUMMYFUNCTION("""COMPUTED_VALUE"""),"Active")</f>
        <v>Active</v>
      </c>
      <c r="E384" s="4" t="str">
        <f>IFERROR(__xludf.DUMMYFUNCTION("""COMPUTED_VALUE"""),"Delivery Services")</f>
        <v>Delivery Services</v>
      </c>
      <c r="F384" s="4" t="str">
        <f>IFERROR(__xludf.DUMMYFUNCTION("""COMPUTED_VALUE"""),"Naveen Harish")</f>
        <v>Naveen Harish</v>
      </c>
      <c r="G384" s="4" t="str">
        <f>IFERROR(__xludf.DUMMYFUNCTION("""COMPUTED_VALUE"""),"Cluster - Varun")</f>
        <v>Cluster - Varun</v>
      </c>
      <c r="H384" s="4" t="str">
        <f>IFERROR(__xludf.DUMMYFUNCTION("""COMPUTED_VALUE"""),"ONISSNJP0")</f>
        <v>ONISSNJP0</v>
      </c>
      <c r="I384" s="5">
        <f>IFERROR(__xludf.DUMMYFUNCTION("""COMPUTED_VALUE"""),5.0)</f>
        <v>5</v>
      </c>
      <c r="J384" s="4" t="str">
        <f>IFERROR(__xludf.DUMMYFUNCTION("""COMPUTED_VALUE"""),"Tier 4")</f>
        <v>Tier 4</v>
      </c>
      <c r="K384" s="4" t="str">
        <f>IFERROR(__xludf.DUMMYFUNCTION("""COMPUTED_VALUE"""),"Active")</f>
        <v>Active</v>
      </c>
      <c r="L384" s="4" t="str">
        <f>IFERROR(__xludf.DUMMYFUNCTION("""COMPUTED_VALUE"""),"Gemini Enterprise Agent Platform")</f>
        <v>Gemini Enterprise Agent Platform</v>
      </c>
    </row>
    <row r="385">
      <c r="A385" s="4" t="str">
        <f>IFERROR(__xludf.DUMMYFUNCTION("""COMPUTED_VALUE"""),"DME2234")</f>
        <v>DME2234</v>
      </c>
      <c r="B385" s="4" t="str">
        <f>IFERROR(__xludf.DUMMYFUNCTION("""COMPUTED_VALUE"""),"Vijay Kumar Koutarapu")</f>
        <v>Vijay Kumar Koutarapu</v>
      </c>
      <c r="C385" s="4" t="str">
        <f>IFERROR(__xludf.DUMMYFUNCTION("""COMPUTED_VALUE"""),"vijay.koutarapu@onixnet.com")</f>
        <v>vijay.koutarapu@onixnet.com</v>
      </c>
      <c r="D385" s="4" t="str">
        <f>IFERROR(__xludf.DUMMYFUNCTION("""COMPUTED_VALUE"""),"Active")</f>
        <v>Active</v>
      </c>
      <c r="E385" s="4" t="str">
        <f>IFERROR(__xludf.DUMMYFUNCTION("""COMPUTED_VALUE"""),"Delivery Services")</f>
        <v>Delivery Services</v>
      </c>
      <c r="F385" s="4" t="str">
        <f>IFERROR(__xludf.DUMMYFUNCTION("""COMPUTED_VALUE"""),"Ashish Shaligram Tiwari")</f>
        <v>Ashish Shaligram Tiwari</v>
      </c>
      <c r="G385" s="4" t="str">
        <f>IFERROR(__xludf.DUMMYFUNCTION("""COMPUTED_VALUE"""),"Cluster - Sachin")</f>
        <v>Cluster - Sachin</v>
      </c>
      <c r="H385" s="4" t="str">
        <f>IFERROR(__xludf.DUMMYFUNCTION("""COMPUTED_VALUE"""),"ONIVKRSX9")</f>
        <v>ONIVKRSX9</v>
      </c>
      <c r="I385" s="5">
        <f>IFERROR(__xludf.DUMMYFUNCTION("""COMPUTED_VALUE"""),10.0)</f>
        <v>10</v>
      </c>
      <c r="J385" s="4" t="str">
        <f>IFERROR(__xludf.DUMMYFUNCTION("""COMPUTED_VALUE"""),"Tier 4")</f>
        <v>Tier 4</v>
      </c>
      <c r="K385" s="4" t="str">
        <f>IFERROR(__xludf.DUMMYFUNCTION("""COMPUTED_VALUE"""),"Active")</f>
        <v>Active</v>
      </c>
      <c r="L385" s="4" t="str">
        <f>IFERROR(__xludf.DUMMYFUNCTION("""COMPUTED_VALUE"""),"Looker")</f>
        <v>Looker</v>
      </c>
    </row>
    <row r="386">
      <c r="A386" s="4" t="str">
        <f>IFERROR(__xludf.DUMMYFUNCTION("""COMPUTED_VALUE"""),"DME2237")</f>
        <v>DME2237</v>
      </c>
      <c r="B386" s="4" t="str">
        <f>IFERROR(__xludf.DUMMYFUNCTION("""COMPUTED_VALUE"""),"Sanskar")</f>
        <v>Sanskar</v>
      </c>
      <c r="C386" s="4" t="str">
        <f>IFERROR(__xludf.DUMMYFUNCTION("""COMPUTED_VALUE"""),"sanskar.sinha@onixnet.com")</f>
        <v>sanskar.sinha@onixnet.com</v>
      </c>
      <c r="D386" s="4" t="str">
        <f>IFERROR(__xludf.DUMMYFUNCTION("""COMPUTED_VALUE"""),"Active")</f>
        <v>Active</v>
      </c>
      <c r="E386" s="4" t="str">
        <f>IFERROR(__xludf.DUMMYFUNCTION("""COMPUTED_VALUE"""),"Delivery Services")</f>
        <v>Delivery Services</v>
      </c>
      <c r="F386" s="4" t="str">
        <f>IFERROR(__xludf.DUMMYFUNCTION("""COMPUTED_VALUE"""),"Sneha Bhatambrekar")</f>
        <v>Sneha Bhatambrekar</v>
      </c>
      <c r="G386" s="4" t="str">
        <f>IFERROR(__xludf.DUMMYFUNCTION("""COMPUTED_VALUE"""),"Cluster - Sandeep")</f>
        <v>Cluster - Sandeep</v>
      </c>
      <c r="H386" s="4" t="str">
        <f>IFERROR(__xludf.DUMMYFUNCTION("""COMPUTED_VALUE"""),"ONISSGCS0")</f>
        <v>ONISSGCS0</v>
      </c>
      <c r="I386" s="5">
        <f>IFERROR(__xludf.DUMMYFUNCTION("""COMPUTED_VALUE"""),13.0)</f>
        <v>13</v>
      </c>
      <c r="J386" s="4" t="str">
        <f>IFERROR(__xludf.DUMMYFUNCTION("""COMPUTED_VALUE"""),"Tier 4")</f>
        <v>Tier 4</v>
      </c>
      <c r="K386" s="4" t="str">
        <f>IFERROR(__xludf.DUMMYFUNCTION("""COMPUTED_VALUE"""),"Active")</f>
        <v>Active</v>
      </c>
      <c r="L386" s="4" t="str">
        <f>IFERROR(__xludf.DUMMYFUNCTION("""COMPUTED_VALUE"""),"BigQuery")</f>
        <v>BigQuery</v>
      </c>
    </row>
    <row r="387">
      <c r="A387" s="4" t="str">
        <f>IFERROR(__xludf.DUMMYFUNCTION("""COMPUTED_VALUE"""),"DME2240")</f>
        <v>DME2240</v>
      </c>
      <c r="B387" s="4" t="str">
        <f>IFERROR(__xludf.DUMMYFUNCTION("""COMPUTED_VALUE"""),"Shubham Dak")</f>
        <v>Shubham Dak</v>
      </c>
      <c r="C387" s="4" t="str">
        <f>IFERROR(__xludf.DUMMYFUNCTION("""COMPUTED_VALUE"""),"shubham.dak@onixnet.com")</f>
        <v>shubham.dak@onixnet.com</v>
      </c>
      <c r="D387" s="4" t="str">
        <f>IFERROR(__xludf.DUMMYFUNCTION("""COMPUTED_VALUE"""),"Active")</f>
        <v>Active</v>
      </c>
      <c r="E387" s="4" t="str">
        <f>IFERROR(__xludf.DUMMYFUNCTION("""COMPUTED_VALUE"""),"Delivery Services")</f>
        <v>Delivery Services</v>
      </c>
      <c r="F387" s="4" t="str">
        <f>IFERROR(__xludf.DUMMYFUNCTION("""COMPUTED_VALUE"""),"Pooja Chawda")</f>
        <v>Pooja Chawda</v>
      </c>
      <c r="G387" s="4" t="str">
        <f>IFERROR(__xludf.DUMMYFUNCTION("""COMPUTED_VALUE"""),"Cluster - Sandeep")</f>
        <v>Cluster - Sandeep</v>
      </c>
      <c r="H387" s="4" t="str">
        <f>IFERROR(__xludf.DUMMYFUNCTION("""COMPUTED_VALUE"""),"ONISDQSH5")</f>
        <v>ONISDQSH5</v>
      </c>
      <c r="I387" s="5">
        <f>IFERROR(__xludf.DUMMYFUNCTION("""COMPUTED_VALUE"""),9.0)</f>
        <v>9</v>
      </c>
      <c r="J387" s="4" t="str">
        <f>IFERROR(__xludf.DUMMYFUNCTION("""COMPUTED_VALUE"""),"Tier 4")</f>
        <v>Tier 4</v>
      </c>
      <c r="K387" s="4" t="str">
        <f>IFERROR(__xludf.DUMMYFUNCTION("""COMPUTED_VALUE"""),"Active")</f>
        <v>Active</v>
      </c>
      <c r="L387" s="4" t="str">
        <f>IFERROR(__xludf.DUMMYFUNCTION("""COMPUTED_VALUE"""),"Looker")</f>
        <v>Looker</v>
      </c>
    </row>
    <row r="388">
      <c r="A388" s="4" t="str">
        <f>IFERROR(__xludf.DUMMYFUNCTION("""COMPUTED_VALUE"""),"DME2244")</f>
        <v>DME2244</v>
      </c>
      <c r="B388" s="4" t="str">
        <f>IFERROR(__xludf.DUMMYFUNCTION("""COMPUTED_VALUE"""),"Shreya Samir Choudhary")</f>
        <v>Shreya Samir Choudhary</v>
      </c>
      <c r="C388" s="4" t="str">
        <f>IFERROR(__xludf.DUMMYFUNCTION("""COMPUTED_VALUE"""),"shreya.choudhary@onixnet.com")</f>
        <v>shreya.choudhary@onixnet.com</v>
      </c>
      <c r="D388" s="4" t="str">
        <f>IFERROR(__xludf.DUMMYFUNCTION("""COMPUTED_VALUE"""),"Active")</f>
        <v>Active</v>
      </c>
      <c r="E388" s="4" t="str">
        <f>IFERROR(__xludf.DUMMYFUNCTION("""COMPUTED_VALUE"""),"Delivery Services")</f>
        <v>Delivery Services</v>
      </c>
      <c r="F388" s="4" t="str">
        <f>IFERROR(__xludf.DUMMYFUNCTION("""COMPUTED_VALUE"""),"Sneha Bhatambrekar")</f>
        <v>Sneha Bhatambrekar</v>
      </c>
      <c r="G388" s="4" t="str">
        <f>IFERROR(__xludf.DUMMYFUNCTION("""COMPUTED_VALUE"""),"Cluster - Sandeep")</f>
        <v>Cluster - Sandeep</v>
      </c>
      <c r="H388" s="4" t="str">
        <f>IFERROR(__xludf.DUMMYFUNCTION("""COMPUTED_VALUE"""),"ONISCHCT3")</f>
        <v>ONISCHCT3</v>
      </c>
      <c r="I388" s="5">
        <f>IFERROR(__xludf.DUMMYFUNCTION("""COMPUTED_VALUE"""),10.0)</f>
        <v>10</v>
      </c>
      <c r="J388" s="4" t="str">
        <f>IFERROR(__xludf.DUMMYFUNCTION("""COMPUTED_VALUE"""),"Tier 4")</f>
        <v>Tier 4</v>
      </c>
      <c r="K388" s="4" t="str">
        <f>IFERROR(__xludf.DUMMYFUNCTION("""COMPUTED_VALUE"""),"Active")</f>
        <v>Active</v>
      </c>
      <c r="L388" s="4" t="str">
        <f>IFERROR(__xludf.DUMMYFUNCTION("""COMPUTED_VALUE"""),"Google Kubernetes Engine")</f>
        <v>Google Kubernetes Engine</v>
      </c>
    </row>
    <row r="389">
      <c r="A389" s="4" t="str">
        <f>IFERROR(__xludf.DUMMYFUNCTION("""COMPUTED_VALUE"""),"DME2245")</f>
        <v>DME2245</v>
      </c>
      <c r="B389" s="4" t="str">
        <f>IFERROR(__xludf.DUMMYFUNCTION("""COMPUTED_VALUE"""),"Atharva Abhijit Karnale")</f>
        <v>Atharva Abhijit Karnale</v>
      </c>
      <c r="C389" s="4" t="str">
        <f>IFERROR(__xludf.DUMMYFUNCTION("""COMPUTED_VALUE"""),"atharva.karnale@onixnet.com")</f>
        <v>atharva.karnale@onixnet.com</v>
      </c>
      <c r="D389" s="4" t="str">
        <f>IFERROR(__xludf.DUMMYFUNCTION("""COMPUTED_VALUE"""),"Active")</f>
        <v>Active</v>
      </c>
      <c r="E389" s="4" t="str">
        <f>IFERROR(__xludf.DUMMYFUNCTION("""COMPUTED_VALUE"""),"Delivery Services")</f>
        <v>Delivery Services</v>
      </c>
      <c r="F389" s="4" t="str">
        <f>IFERROR(__xludf.DUMMYFUNCTION("""COMPUTED_VALUE"""),"Devayani Girish Pillai")</f>
        <v>Devayani Girish Pillai</v>
      </c>
      <c r="G389" s="4" t="str">
        <f>IFERROR(__xludf.DUMMYFUNCTION("""COMPUTED_VALUE"""),"Cluster - Devayani")</f>
        <v>Cluster - Devayani</v>
      </c>
      <c r="H389" s="4" t="str">
        <f>IFERROR(__xludf.DUMMYFUNCTION("""COMPUTED_VALUE"""),"ONIAKTHQ8")</f>
        <v>ONIAKTHQ8</v>
      </c>
      <c r="I389" s="5">
        <f>IFERROR(__xludf.DUMMYFUNCTION("""COMPUTED_VALUE"""),53.0)</f>
        <v>53</v>
      </c>
      <c r="J389" s="4" t="str">
        <f>IFERROR(__xludf.DUMMYFUNCTION("""COMPUTED_VALUE"""),"Tier 1")</f>
        <v>Tier 1</v>
      </c>
      <c r="K389" s="4" t="str">
        <f>IFERROR(__xludf.DUMMYFUNCTION("""COMPUTED_VALUE"""),"Active")</f>
        <v>Active</v>
      </c>
      <c r="L389" s="4" t="str">
        <f>IFERROR(__xludf.DUMMYFUNCTION("""COMPUTED_VALUE"""),"Gemini Enterprise Agent Platform")</f>
        <v>Gemini Enterprise Agent Platform</v>
      </c>
    </row>
    <row r="390">
      <c r="A390" s="4" t="str">
        <f>IFERROR(__xludf.DUMMYFUNCTION("""COMPUTED_VALUE"""),"DME2247")</f>
        <v>DME2247</v>
      </c>
      <c r="B390" s="4" t="str">
        <f>IFERROR(__xludf.DUMMYFUNCTION("""COMPUTED_VALUE"""),"Gauri Ashokrao Bhavekar")</f>
        <v>Gauri Ashokrao Bhavekar</v>
      </c>
      <c r="C390" s="4" t="str">
        <f>IFERROR(__xludf.DUMMYFUNCTION("""COMPUTED_VALUE"""),"gauri.bhavekar@onixnet.com")</f>
        <v>gauri.bhavekar@onixnet.com</v>
      </c>
      <c r="D390" s="4" t="str">
        <f>IFERROR(__xludf.DUMMYFUNCTION("""COMPUTED_VALUE"""),"Active")</f>
        <v>Active</v>
      </c>
      <c r="E390" s="4" t="str">
        <f>IFERROR(__xludf.DUMMYFUNCTION("""COMPUTED_VALUE"""),"Delivery Services")</f>
        <v>Delivery Services</v>
      </c>
      <c r="F390" s="4" t="str">
        <f>IFERROR(__xludf.DUMMYFUNCTION("""COMPUTED_VALUE"""),"Ravindra Pujari")</f>
        <v>Ravindra Pujari</v>
      </c>
      <c r="G390" s="4" t="str">
        <f>IFERROR(__xludf.DUMMYFUNCTION("""COMPUTED_VALUE"""),"Cluster - Sachin")</f>
        <v>Cluster - Sachin</v>
      </c>
      <c r="H390" s="4" t="str">
        <f>IFERROR(__xludf.DUMMYFUNCTION("""COMPUTED_VALUE"""),"ONIGBCMI8")</f>
        <v>ONIGBCMI8</v>
      </c>
      <c r="I390" s="5">
        <f>IFERROR(__xludf.DUMMYFUNCTION("""COMPUTED_VALUE"""),32.0)</f>
        <v>32</v>
      </c>
      <c r="J390" s="4" t="str">
        <f>IFERROR(__xludf.DUMMYFUNCTION("""COMPUTED_VALUE"""),"Tier 3")</f>
        <v>Tier 3</v>
      </c>
      <c r="K390" s="4" t="str">
        <f>IFERROR(__xludf.DUMMYFUNCTION("""COMPUTED_VALUE"""),"Active")</f>
        <v>Active</v>
      </c>
      <c r="L390" s="4" t="str">
        <f>IFERROR(__xludf.DUMMYFUNCTION("""COMPUTED_VALUE"""),"BigQuery")</f>
        <v>BigQuery</v>
      </c>
    </row>
    <row r="391">
      <c r="A391" s="4" t="str">
        <f>IFERROR(__xludf.DUMMYFUNCTION("""COMPUTED_VALUE"""),"DME2248")</f>
        <v>DME2248</v>
      </c>
      <c r="B391" s="4" t="str">
        <f>IFERROR(__xludf.DUMMYFUNCTION("""COMPUTED_VALUE"""),"Vaishnavi Suresh Kurode")</f>
        <v>Vaishnavi Suresh Kurode</v>
      </c>
      <c r="C391" s="4" t="str">
        <f>IFERROR(__xludf.DUMMYFUNCTION("""COMPUTED_VALUE"""),"vaishnavi.kurode@onixnet.com")</f>
        <v>vaishnavi.kurode@onixnet.com</v>
      </c>
      <c r="D391" s="4" t="str">
        <f>IFERROR(__xludf.DUMMYFUNCTION("""COMPUTED_VALUE"""),"Active")</f>
        <v>Active</v>
      </c>
      <c r="E391" s="4" t="str">
        <f>IFERROR(__xludf.DUMMYFUNCTION("""COMPUTED_VALUE"""),"Product Engineering")</f>
        <v>Product Engineering</v>
      </c>
      <c r="F391" s="4" t="str">
        <f>IFERROR(__xludf.DUMMYFUNCTION("""COMPUTED_VALUE"""),"Saurabh Singh")</f>
        <v>Saurabh Singh</v>
      </c>
      <c r="G391" s="4" t="str">
        <f>IFERROR(__xludf.DUMMYFUNCTION("""COMPUTED_VALUE"""),"Cluster - Mayur")</f>
        <v>Cluster - Mayur</v>
      </c>
      <c r="H391" s="4" t="str">
        <f>IFERROR(__xludf.DUMMYFUNCTION("""COMPUTED_VALUE"""),"ONIVKLMX0")</f>
        <v>ONIVKLMX0</v>
      </c>
      <c r="I391" s="5">
        <f>IFERROR(__xludf.DUMMYFUNCTION("""COMPUTED_VALUE"""),10.0)</f>
        <v>10</v>
      </c>
      <c r="J391" s="4" t="str">
        <f>IFERROR(__xludf.DUMMYFUNCTION("""COMPUTED_VALUE"""),"Tier 4")</f>
        <v>Tier 4</v>
      </c>
      <c r="K391" s="4" t="str">
        <f>IFERROR(__xludf.DUMMYFUNCTION("""COMPUTED_VALUE"""),"Active")</f>
        <v>Active</v>
      </c>
      <c r="L391" s="4" t="str">
        <f>IFERROR(__xludf.DUMMYFUNCTION("""COMPUTED_VALUE"""),"Google Kubernetes Engine")</f>
        <v>Google Kubernetes Engine</v>
      </c>
    </row>
    <row r="392">
      <c r="A392" s="4" t="str">
        <f>IFERROR(__xludf.DUMMYFUNCTION("""COMPUTED_VALUE"""),"DME2249")</f>
        <v>DME2249</v>
      </c>
      <c r="B392" s="4" t="str">
        <f>IFERROR(__xludf.DUMMYFUNCTION("""COMPUTED_VALUE"""),"Ahmad Raza Khan")</f>
        <v>Ahmad Raza Khan</v>
      </c>
      <c r="C392" s="4" t="str">
        <f>IFERROR(__xludf.DUMMYFUNCTION("""COMPUTED_VALUE"""),"ahmad.khan@onixnet.com")</f>
        <v>ahmad.khan@onixnet.com</v>
      </c>
      <c r="D392" s="4" t="str">
        <f>IFERROR(__xludf.DUMMYFUNCTION("""COMPUTED_VALUE"""),"Active")</f>
        <v>Active</v>
      </c>
      <c r="E392" s="4" t="str">
        <f>IFERROR(__xludf.DUMMYFUNCTION("""COMPUTED_VALUE"""),"Delivery Services")</f>
        <v>Delivery Services</v>
      </c>
      <c r="F392" s="4" t="str">
        <f>IFERROR(__xludf.DUMMYFUNCTION("""COMPUTED_VALUE"""),"Ashwini Kumar")</f>
        <v>Ashwini Kumar</v>
      </c>
      <c r="G392" s="4" t="str">
        <f>IFERROR(__xludf.DUMMYFUNCTION("""COMPUTED_VALUE"""),"Cluster - Kanhaiya")</f>
        <v>Cluster - Kanhaiya</v>
      </c>
      <c r="H392" s="4" t="str">
        <f>IFERROR(__xludf.DUMMYFUNCTION("""COMPUTED_VALUE"""),"ONIAKGGN1")</f>
        <v>ONIAKGGN1</v>
      </c>
      <c r="I392" s="5">
        <f>IFERROR(__xludf.DUMMYFUNCTION("""COMPUTED_VALUE"""),0.0)</f>
        <v>0</v>
      </c>
      <c r="J392" s="4" t="str">
        <f>IFERROR(__xludf.DUMMYFUNCTION("""COMPUTED_VALUE"""),"Tier 4")</f>
        <v>Tier 4</v>
      </c>
      <c r="K392" s="4" t="str">
        <f>IFERROR(__xludf.DUMMYFUNCTION("""COMPUTED_VALUE"""),"ID Created DRP score 0")</f>
        <v>ID Created DRP score 0</v>
      </c>
      <c r="L392" s="4"/>
    </row>
    <row r="393">
      <c r="A393" s="4" t="str">
        <f>IFERROR(__xludf.DUMMYFUNCTION("""COMPUTED_VALUE"""),"DME2250")</f>
        <v>DME2250</v>
      </c>
      <c r="B393" s="4" t="str">
        <f>IFERROR(__xludf.DUMMYFUNCTION("""COMPUTED_VALUE"""),"Arpit Shrivastav")</f>
        <v>Arpit Shrivastav</v>
      </c>
      <c r="C393" s="4" t="str">
        <f>IFERROR(__xludf.DUMMYFUNCTION("""COMPUTED_VALUE"""),"arpit.shrivastav@onixnet.com")</f>
        <v>arpit.shrivastav@onixnet.com</v>
      </c>
      <c r="D393" s="4" t="str">
        <f>IFERROR(__xludf.DUMMYFUNCTION("""COMPUTED_VALUE"""),"Active")</f>
        <v>Active</v>
      </c>
      <c r="E393" s="4" t="str">
        <f>IFERROR(__xludf.DUMMYFUNCTION("""COMPUTED_VALUE"""),"Delivery Services")</f>
        <v>Delivery Services</v>
      </c>
      <c r="F393" s="4" t="str">
        <f>IFERROR(__xludf.DUMMYFUNCTION("""COMPUTED_VALUE"""),"Ashwini Kumar")</f>
        <v>Ashwini Kumar</v>
      </c>
      <c r="G393" s="4" t="str">
        <f>IFERROR(__xludf.DUMMYFUNCTION("""COMPUTED_VALUE"""),"Cluster - Kanhaiya")</f>
        <v>Cluster - Kanhaiya</v>
      </c>
      <c r="H393" s="4" t="str">
        <f>IFERROR(__xludf.DUMMYFUNCTION("""COMPUTED_VALUE"""),"ONIASWMV9")</f>
        <v>ONIASWMV9</v>
      </c>
      <c r="I393" s="5">
        <f>IFERROR(__xludf.DUMMYFUNCTION("""COMPUTED_VALUE"""),5.0)</f>
        <v>5</v>
      </c>
      <c r="J393" s="4" t="str">
        <f>IFERROR(__xludf.DUMMYFUNCTION("""COMPUTED_VALUE"""),"Tier 4")</f>
        <v>Tier 4</v>
      </c>
      <c r="K393" s="4" t="str">
        <f>IFERROR(__xludf.DUMMYFUNCTION("""COMPUTED_VALUE"""),"Active")</f>
        <v>Active</v>
      </c>
      <c r="L393" s="4" t="str">
        <f>IFERROR(__xludf.DUMMYFUNCTION("""COMPUTED_VALUE"""),"Gemini Enterprise Agent Platform")</f>
        <v>Gemini Enterprise Agent Platform</v>
      </c>
    </row>
    <row r="394">
      <c r="A394" s="4" t="str">
        <f>IFERROR(__xludf.DUMMYFUNCTION("""COMPUTED_VALUE"""),"DME2251")</f>
        <v>DME2251</v>
      </c>
      <c r="B394" s="4" t="str">
        <f>IFERROR(__xludf.DUMMYFUNCTION("""COMPUTED_VALUE"""),"Amogh Sharma")</f>
        <v>Amogh Sharma</v>
      </c>
      <c r="C394" s="4" t="str">
        <f>IFERROR(__xludf.DUMMYFUNCTION("""COMPUTED_VALUE"""),"amogh.sharma@onixnet.com")</f>
        <v>amogh.sharma@onixnet.com</v>
      </c>
      <c r="D394" s="4" t="str">
        <f>IFERROR(__xludf.DUMMYFUNCTION("""COMPUTED_VALUE"""),"Active")</f>
        <v>Active</v>
      </c>
      <c r="E394" s="4" t="str">
        <f>IFERROR(__xludf.DUMMYFUNCTION("""COMPUTED_VALUE"""),"Delivery Services")</f>
        <v>Delivery Services</v>
      </c>
      <c r="F394" s="4" t="str">
        <f>IFERROR(__xludf.DUMMYFUNCTION("""COMPUTED_VALUE"""),"Ashwini Kumar")</f>
        <v>Ashwini Kumar</v>
      </c>
      <c r="G394" s="4" t="str">
        <f>IFERROR(__xludf.DUMMYFUNCTION("""COMPUTED_VALUE"""),"Cluster - Kanhaiya")</f>
        <v>Cluster - Kanhaiya</v>
      </c>
      <c r="H394" s="4" t="str">
        <f>IFERROR(__xludf.DUMMYFUNCTION("""COMPUTED_VALUE"""),"ONIASSBJ0")</f>
        <v>ONIASSBJ0</v>
      </c>
      <c r="I394" s="5">
        <f>IFERROR(__xludf.DUMMYFUNCTION("""COMPUTED_VALUE"""),0.0)</f>
        <v>0</v>
      </c>
      <c r="J394" s="4" t="str">
        <f>IFERROR(__xludf.DUMMYFUNCTION("""COMPUTED_VALUE"""),"Tier 4")</f>
        <v>Tier 4</v>
      </c>
      <c r="K394" s="4" t="str">
        <f>IFERROR(__xludf.DUMMYFUNCTION("""COMPUTED_VALUE"""),"ID Created DRP score 0")</f>
        <v>ID Created DRP score 0</v>
      </c>
      <c r="L394" s="4"/>
    </row>
    <row r="395">
      <c r="A395" s="4" t="str">
        <f>IFERROR(__xludf.DUMMYFUNCTION("""COMPUTED_VALUE"""),"DME2253")</f>
        <v>DME2253</v>
      </c>
      <c r="B395" s="4" t="str">
        <f>IFERROR(__xludf.DUMMYFUNCTION("""COMPUTED_VALUE"""),"Prathamesh Raghunath Shinde")</f>
        <v>Prathamesh Raghunath Shinde</v>
      </c>
      <c r="C395" s="4" t="str">
        <f>IFERROR(__xludf.DUMMYFUNCTION("""COMPUTED_VALUE"""),"prathamesh.s@onixnet.com")</f>
        <v>prathamesh.s@onixnet.com</v>
      </c>
      <c r="D395" s="4" t="str">
        <f>IFERROR(__xludf.DUMMYFUNCTION("""COMPUTED_VALUE"""),"Active")</f>
        <v>Active</v>
      </c>
      <c r="E395" s="4" t="str">
        <f>IFERROR(__xludf.DUMMYFUNCTION("""COMPUTED_VALUE"""),"Delivery Services")</f>
        <v>Delivery Services</v>
      </c>
      <c r="F395" s="4" t="str">
        <f>IFERROR(__xludf.DUMMYFUNCTION("""COMPUTED_VALUE"""),"Ashwini Kumar")</f>
        <v>Ashwini Kumar</v>
      </c>
      <c r="G395" s="4" t="str">
        <f>IFERROR(__xludf.DUMMYFUNCTION("""COMPUTED_VALUE"""),"Cluster - Kanhaiya")</f>
        <v>Cluster - Kanhaiya</v>
      </c>
      <c r="H395" s="4" t="str">
        <f>IFERROR(__xludf.DUMMYFUNCTION("""COMPUTED_VALUE"""),"ONIPSFZX5")</f>
        <v>ONIPSFZX5</v>
      </c>
      <c r="I395" s="5">
        <f>IFERROR(__xludf.DUMMYFUNCTION("""COMPUTED_VALUE"""),5.0)</f>
        <v>5</v>
      </c>
      <c r="J395" s="4" t="str">
        <f>IFERROR(__xludf.DUMMYFUNCTION("""COMPUTED_VALUE"""),"Tier 4")</f>
        <v>Tier 4</v>
      </c>
      <c r="K395" s="4" t="str">
        <f>IFERROR(__xludf.DUMMYFUNCTION("""COMPUTED_VALUE"""),"Active")</f>
        <v>Active</v>
      </c>
      <c r="L395" s="4" t="str">
        <f>IFERROR(__xludf.DUMMYFUNCTION("""COMPUTED_VALUE"""),"Gemini Enterprise Agent Platform")</f>
        <v>Gemini Enterprise Agent Platform</v>
      </c>
    </row>
    <row r="396">
      <c r="A396" s="4" t="str">
        <f>IFERROR(__xludf.DUMMYFUNCTION("""COMPUTED_VALUE"""),"DME2254")</f>
        <v>DME2254</v>
      </c>
      <c r="B396" s="4" t="str">
        <f>IFERROR(__xludf.DUMMYFUNCTION("""COMPUTED_VALUE"""),"Anushri Shubham Patil")</f>
        <v>Anushri Shubham Patil</v>
      </c>
      <c r="C396" s="4" t="str">
        <f>IFERROR(__xludf.DUMMYFUNCTION("""COMPUTED_VALUE"""),"anushri.badhe@onixnet.com")</f>
        <v>anushri.badhe@onixnet.com</v>
      </c>
      <c r="D396" s="4" t="str">
        <f>IFERROR(__xludf.DUMMYFUNCTION("""COMPUTED_VALUE"""),"Active")</f>
        <v>Active</v>
      </c>
      <c r="E396" s="4" t="str">
        <f>IFERROR(__xludf.DUMMYFUNCTION("""COMPUTED_VALUE"""),"Delivery Services")</f>
        <v>Delivery Services</v>
      </c>
      <c r="F396" s="4" t="str">
        <f>IFERROR(__xludf.DUMMYFUNCTION("""COMPUTED_VALUE"""),"Ashwini Kumar")</f>
        <v>Ashwini Kumar</v>
      </c>
      <c r="G396" s="4" t="str">
        <f>IFERROR(__xludf.DUMMYFUNCTION("""COMPUTED_VALUE"""),"Cluster - Kanhaiya")</f>
        <v>Cluster - Kanhaiya</v>
      </c>
      <c r="H396" s="4"/>
      <c r="I396" s="5"/>
      <c r="J396" s="4"/>
      <c r="K396" s="4" t="str">
        <f>IFERROR(__xludf.DUMMYFUNCTION("""COMPUTED_VALUE"""),"ID Not Created")</f>
        <v>ID Not Created</v>
      </c>
      <c r="L396" s="4"/>
    </row>
    <row r="397">
      <c r="A397" s="4" t="str">
        <f>IFERROR(__xludf.DUMMYFUNCTION("""COMPUTED_VALUE"""),"DME2259")</f>
        <v>DME2259</v>
      </c>
      <c r="B397" s="4" t="str">
        <f>IFERROR(__xludf.DUMMYFUNCTION("""COMPUTED_VALUE"""),"Komal Vijay Gawali")</f>
        <v>Komal Vijay Gawali</v>
      </c>
      <c r="C397" s="4" t="str">
        <f>IFERROR(__xludf.DUMMYFUNCTION("""COMPUTED_VALUE"""),"komal.gawali@onixnet.com")</f>
        <v>komal.gawali@onixnet.com</v>
      </c>
      <c r="D397" s="4" t="str">
        <f>IFERROR(__xludf.DUMMYFUNCTION("""COMPUTED_VALUE"""),"Active")</f>
        <v>Active</v>
      </c>
      <c r="E397" s="4" t="str">
        <f>IFERROR(__xludf.DUMMYFUNCTION("""COMPUTED_VALUE"""),"Delivery Services")</f>
        <v>Delivery Services</v>
      </c>
      <c r="F397" s="4" t="str">
        <f>IFERROR(__xludf.DUMMYFUNCTION("""COMPUTED_VALUE"""),"Sneha Bhatambrekar")</f>
        <v>Sneha Bhatambrekar</v>
      </c>
      <c r="G397" s="4" t="str">
        <f>IFERROR(__xludf.DUMMYFUNCTION("""COMPUTED_VALUE"""),"Cluster - Sandeep")</f>
        <v>Cluster - Sandeep</v>
      </c>
      <c r="H397" s="4" t="str">
        <f>IFERROR(__xludf.DUMMYFUNCTION("""COMPUTED_VALUE"""),"ONIKGJRO2")</f>
        <v>ONIKGJRO2</v>
      </c>
      <c r="I397" s="5">
        <f>IFERROR(__xludf.DUMMYFUNCTION("""COMPUTED_VALUE"""),12.0)</f>
        <v>12</v>
      </c>
      <c r="J397" s="4" t="str">
        <f>IFERROR(__xludf.DUMMYFUNCTION("""COMPUTED_VALUE"""),"Tier 4")</f>
        <v>Tier 4</v>
      </c>
      <c r="K397" s="4" t="str">
        <f>IFERROR(__xludf.DUMMYFUNCTION("""COMPUTED_VALUE"""),"Active")</f>
        <v>Active</v>
      </c>
      <c r="L397" s="4" t="str">
        <f>IFERROR(__xludf.DUMMYFUNCTION("""COMPUTED_VALUE"""),"AlloyDB for PostgreSQL")</f>
        <v>AlloyDB for PostgreSQL</v>
      </c>
    </row>
    <row r="398">
      <c r="A398" s="4" t="str">
        <f>IFERROR(__xludf.DUMMYFUNCTION("""COMPUTED_VALUE"""),"DME2260")</f>
        <v>DME2260</v>
      </c>
      <c r="B398" s="4" t="str">
        <f>IFERROR(__xludf.DUMMYFUNCTION("""COMPUTED_VALUE"""),"Ravikumar Shivaji Sutar")</f>
        <v>Ravikumar Shivaji Sutar</v>
      </c>
      <c r="C398" s="4" t="str">
        <f>IFERROR(__xludf.DUMMYFUNCTION("""COMPUTED_VALUE"""),"ravikumar.sutar@onixnet.com")</f>
        <v>ravikumar.sutar@onixnet.com</v>
      </c>
      <c r="D398" s="4" t="str">
        <f>IFERROR(__xludf.DUMMYFUNCTION("""COMPUTED_VALUE"""),"Active")</f>
        <v>Active</v>
      </c>
      <c r="E398" s="4" t="str">
        <f>IFERROR(__xludf.DUMMYFUNCTION("""COMPUTED_VALUE"""),"Professional Services")</f>
        <v>Professional Services</v>
      </c>
      <c r="F398" s="4" t="str">
        <f>IFERROR(__xludf.DUMMYFUNCTION("""COMPUTED_VALUE"""),"Pratik Malshe")</f>
        <v>Pratik Malshe</v>
      </c>
      <c r="G398" s="4" t="str">
        <f>IFERROR(__xludf.DUMMYFUNCTION("""COMPUTED_VALUE"""),"Cluster - Kalpa")</f>
        <v>Cluster - Kalpa</v>
      </c>
      <c r="H398" s="4" t="str">
        <f>IFERROR(__xludf.DUMMYFUNCTION("""COMPUTED_VALUE"""),"ONIRSBZE4")</f>
        <v>ONIRSBZE4</v>
      </c>
      <c r="I398" s="5">
        <f>IFERROR(__xludf.DUMMYFUNCTION("""COMPUTED_VALUE"""),27.0)</f>
        <v>27</v>
      </c>
      <c r="J398" s="4" t="str">
        <f>IFERROR(__xludf.DUMMYFUNCTION("""COMPUTED_VALUE"""),"Tier 3")</f>
        <v>Tier 3</v>
      </c>
      <c r="K398" s="4" t="str">
        <f>IFERROR(__xludf.DUMMYFUNCTION("""COMPUTED_VALUE"""),"Active")</f>
        <v>Active</v>
      </c>
      <c r="L398" s="4" t="str">
        <f>IFERROR(__xludf.DUMMYFUNCTION("""COMPUTED_VALUE"""),"AI Applications")</f>
        <v>AI Applications</v>
      </c>
    </row>
    <row r="399">
      <c r="A399" s="4" t="str">
        <f>IFERROR(__xludf.DUMMYFUNCTION("""COMPUTED_VALUE"""),"DME2262")</f>
        <v>DME2262</v>
      </c>
      <c r="B399" s="4" t="str">
        <f>IFERROR(__xludf.DUMMYFUNCTION("""COMPUTED_VALUE"""),"Ashish Kailash Chute")</f>
        <v>Ashish Kailash Chute</v>
      </c>
      <c r="C399" s="4" t="str">
        <f>IFERROR(__xludf.DUMMYFUNCTION("""COMPUTED_VALUE"""),"ashish.chute@onixnet.com")</f>
        <v>ashish.chute@onixnet.com</v>
      </c>
      <c r="D399" s="4" t="str">
        <f>IFERROR(__xludf.DUMMYFUNCTION("""COMPUTED_VALUE"""),"Active")</f>
        <v>Active</v>
      </c>
      <c r="E399" s="4" t="str">
        <f>IFERROR(__xludf.DUMMYFUNCTION("""COMPUTED_VALUE"""),"Delivery Services")</f>
        <v>Delivery Services</v>
      </c>
      <c r="F399" s="4" t="str">
        <f>IFERROR(__xludf.DUMMYFUNCTION("""COMPUTED_VALUE"""),"Ashish Shaligram Tiwari")</f>
        <v>Ashish Shaligram Tiwari</v>
      </c>
      <c r="G399" s="4" t="str">
        <f>IFERROR(__xludf.DUMMYFUNCTION("""COMPUTED_VALUE"""),"Cluster - Sachin")</f>
        <v>Cluster - Sachin</v>
      </c>
      <c r="H399" s="4" t="str">
        <f>IFERROR(__xludf.DUMMYFUNCTION("""COMPUTED_VALUE"""),"ONIACYVN9")</f>
        <v>ONIACYVN9</v>
      </c>
      <c r="I399" s="5">
        <f>IFERROR(__xludf.DUMMYFUNCTION("""COMPUTED_VALUE"""),13.0)</f>
        <v>13</v>
      </c>
      <c r="J399" s="4" t="str">
        <f>IFERROR(__xludf.DUMMYFUNCTION("""COMPUTED_VALUE"""),"Tier 4")</f>
        <v>Tier 4</v>
      </c>
      <c r="K399" s="4" t="str">
        <f>IFERROR(__xludf.DUMMYFUNCTION("""COMPUTED_VALUE"""),"Active")</f>
        <v>Active</v>
      </c>
      <c r="L399" s="4" t="str">
        <f>IFERROR(__xludf.DUMMYFUNCTION("""COMPUTED_VALUE"""),"BigQuery")</f>
        <v>BigQuery</v>
      </c>
    </row>
    <row r="400">
      <c r="A400" s="4" t="str">
        <f>IFERROR(__xludf.DUMMYFUNCTION("""COMPUTED_VALUE"""),"DME2264")</f>
        <v>DME2264</v>
      </c>
      <c r="B400" s="4" t="str">
        <f>IFERROR(__xludf.DUMMYFUNCTION("""COMPUTED_VALUE"""),"Sanket Dattatray Gavali")</f>
        <v>Sanket Dattatray Gavali</v>
      </c>
      <c r="C400" s="4" t="str">
        <f>IFERROR(__xludf.DUMMYFUNCTION("""COMPUTED_VALUE"""),"sanket.gavali@onixnet.com")</f>
        <v>sanket.gavali@onixnet.com</v>
      </c>
      <c r="D400" s="4" t="str">
        <f>IFERROR(__xludf.DUMMYFUNCTION("""COMPUTED_VALUE"""),"Active")</f>
        <v>Active</v>
      </c>
      <c r="E400" s="4" t="str">
        <f>IFERROR(__xludf.DUMMYFUNCTION("""COMPUTED_VALUE"""),"Delivery Services")</f>
        <v>Delivery Services</v>
      </c>
      <c r="F400" s="4" t="str">
        <f>IFERROR(__xludf.DUMMYFUNCTION("""COMPUTED_VALUE"""),"Aarti Borhade")</f>
        <v>Aarti Borhade</v>
      </c>
      <c r="G400" s="4" t="str">
        <f>IFERROR(__xludf.DUMMYFUNCTION("""COMPUTED_VALUE"""),"Cluster - Sagar")</f>
        <v>Cluster - Sagar</v>
      </c>
      <c r="H400" s="4" t="str">
        <f>IFERROR(__xludf.DUMMYFUNCTION("""COMPUTED_VALUE"""),"ONISGTMK0")</f>
        <v>ONISGTMK0</v>
      </c>
      <c r="I400" s="5">
        <f>IFERROR(__xludf.DUMMYFUNCTION("""COMPUTED_VALUE"""),10.0)</f>
        <v>10</v>
      </c>
      <c r="J400" s="4" t="str">
        <f>IFERROR(__xludf.DUMMYFUNCTION("""COMPUTED_VALUE"""),"Tier 4")</f>
        <v>Tier 4</v>
      </c>
      <c r="K400" s="4" t="str">
        <f>IFERROR(__xludf.DUMMYFUNCTION("""COMPUTED_VALUE"""),"Active")</f>
        <v>Active</v>
      </c>
      <c r="L400" s="4" t="str">
        <f>IFERROR(__xludf.DUMMYFUNCTION("""COMPUTED_VALUE"""),"Google Kubernetes Engine")</f>
        <v>Google Kubernetes Engine</v>
      </c>
    </row>
    <row r="401">
      <c r="A401" s="4" t="str">
        <f>IFERROR(__xludf.DUMMYFUNCTION("""COMPUTED_VALUE"""),"DME2265")</f>
        <v>DME2265</v>
      </c>
      <c r="B401" s="4" t="str">
        <f>IFERROR(__xludf.DUMMYFUNCTION("""COMPUTED_VALUE"""),"Aditya Subhash Range")</f>
        <v>Aditya Subhash Range</v>
      </c>
      <c r="C401" s="4" t="str">
        <f>IFERROR(__xludf.DUMMYFUNCTION("""COMPUTED_VALUE"""),"aditya.range@onixnet.com")</f>
        <v>aditya.range@onixnet.com</v>
      </c>
      <c r="D401" s="4" t="str">
        <f>IFERROR(__xludf.DUMMYFUNCTION("""COMPUTED_VALUE"""),"Active")</f>
        <v>Active</v>
      </c>
      <c r="E401" s="4" t="str">
        <f>IFERROR(__xludf.DUMMYFUNCTION("""COMPUTED_VALUE"""),"Delivery Services")</f>
        <v>Delivery Services</v>
      </c>
      <c r="F401" s="4" t="str">
        <f>IFERROR(__xludf.DUMMYFUNCTION("""COMPUTED_VALUE"""),"Jitender Singh")</f>
        <v>Jitender Singh</v>
      </c>
      <c r="G401" s="4" t="str">
        <f>IFERROR(__xludf.DUMMYFUNCTION("""COMPUTED_VALUE"""),"Cluster - Gaurav")</f>
        <v>Cluster - Gaurav</v>
      </c>
      <c r="H401" s="4" t="str">
        <f>IFERROR(__xludf.DUMMYFUNCTION("""COMPUTED_VALUE"""),"ONIARCIR1")</f>
        <v>ONIARCIR1</v>
      </c>
      <c r="I401" s="5">
        <f>IFERROR(__xludf.DUMMYFUNCTION("""COMPUTED_VALUE"""),0.0)</f>
        <v>0</v>
      </c>
      <c r="J401" s="4" t="str">
        <f>IFERROR(__xludf.DUMMYFUNCTION("""COMPUTED_VALUE"""),"Tier 4")</f>
        <v>Tier 4</v>
      </c>
      <c r="K401" s="4" t="str">
        <f>IFERROR(__xludf.DUMMYFUNCTION("""COMPUTED_VALUE"""),"ID Created DRP score 0")</f>
        <v>ID Created DRP score 0</v>
      </c>
      <c r="L401" s="4"/>
    </row>
    <row r="402">
      <c r="A402" s="4" t="str">
        <f>IFERROR(__xludf.DUMMYFUNCTION("""COMPUTED_VALUE"""),"DME2266")</f>
        <v>DME2266</v>
      </c>
      <c r="B402" s="4" t="str">
        <f>IFERROR(__xludf.DUMMYFUNCTION("""COMPUTED_VALUE"""),"Sneha Satish bhatambrekar")</f>
        <v>Sneha Satish bhatambrekar</v>
      </c>
      <c r="C402" s="4" t="str">
        <f>IFERROR(__xludf.DUMMYFUNCTION("""COMPUTED_VALUE"""),"sneha.b@onixnet.com")</f>
        <v>sneha.b@onixnet.com</v>
      </c>
      <c r="D402" s="4" t="str">
        <f>IFERROR(__xludf.DUMMYFUNCTION("""COMPUTED_VALUE"""),"Active")</f>
        <v>Active</v>
      </c>
      <c r="E402" s="4" t="str">
        <f>IFERROR(__xludf.DUMMYFUNCTION("""COMPUTED_VALUE"""),"Delivery Services")</f>
        <v>Delivery Services</v>
      </c>
      <c r="F402" s="4" t="str">
        <f>IFERROR(__xludf.DUMMYFUNCTION("""COMPUTED_VALUE"""),"Arabi Mohammed")</f>
        <v>Arabi Mohammed</v>
      </c>
      <c r="G402" s="4" t="str">
        <f>IFERROR(__xludf.DUMMYFUNCTION("""COMPUTED_VALUE"""),"Cluster - Sandeep")</f>
        <v>Cluster - Sandeep</v>
      </c>
      <c r="H402" s="4" t="str">
        <f>IFERROR(__xludf.DUMMYFUNCTION("""COMPUTED_VALUE"""),"ONISBSLK0")</f>
        <v>ONISBSLK0</v>
      </c>
      <c r="I402" s="5">
        <f>IFERROR(__xludf.DUMMYFUNCTION("""COMPUTED_VALUE"""),9.0)</f>
        <v>9</v>
      </c>
      <c r="J402" s="4" t="str">
        <f>IFERROR(__xludf.DUMMYFUNCTION("""COMPUTED_VALUE"""),"Tier 4")</f>
        <v>Tier 4</v>
      </c>
      <c r="K402" s="4" t="str">
        <f>IFERROR(__xludf.DUMMYFUNCTION("""COMPUTED_VALUE"""),"Active")</f>
        <v>Active</v>
      </c>
      <c r="L402" s="4" t="str">
        <f>IFERROR(__xludf.DUMMYFUNCTION("""COMPUTED_VALUE"""),"BigQuery")</f>
        <v>BigQuery</v>
      </c>
    </row>
    <row r="403">
      <c r="A403" s="4" t="str">
        <f>IFERROR(__xludf.DUMMYFUNCTION("""COMPUTED_VALUE"""),"DME2273")</f>
        <v>DME2273</v>
      </c>
      <c r="B403" s="4" t="str">
        <f>IFERROR(__xludf.DUMMYFUNCTION("""COMPUTED_VALUE"""),"Gorhe Shraddha Chandrakant")</f>
        <v>Gorhe Shraddha Chandrakant</v>
      </c>
      <c r="C403" s="4" t="str">
        <f>IFERROR(__xludf.DUMMYFUNCTION("""COMPUTED_VALUE"""),"shraddha.gorhe@onixnet.com")</f>
        <v>shraddha.gorhe@onixnet.com</v>
      </c>
      <c r="D403" s="4" t="str">
        <f>IFERROR(__xludf.DUMMYFUNCTION("""COMPUTED_VALUE"""),"Active")</f>
        <v>Active</v>
      </c>
      <c r="E403" s="4" t="str">
        <f>IFERROR(__xludf.DUMMYFUNCTION("""COMPUTED_VALUE"""),"Delivery Services")</f>
        <v>Delivery Services</v>
      </c>
      <c r="F403" s="4" t="str">
        <f>IFERROR(__xludf.DUMMYFUNCTION("""COMPUTED_VALUE"""),"Kiran Shinde")</f>
        <v>Kiran Shinde</v>
      </c>
      <c r="G403" s="4" t="str">
        <f>IFERROR(__xludf.DUMMYFUNCTION("""COMPUTED_VALUE"""),"Cluster - Gaurav")</f>
        <v>Cluster - Gaurav</v>
      </c>
      <c r="H403" s="4" t="str">
        <f>IFERROR(__xludf.DUMMYFUNCTION("""COMPUTED_VALUE"""),"ONISGGOJ8")</f>
        <v>ONISGGOJ8</v>
      </c>
      <c r="I403" s="5">
        <f>IFERROR(__xludf.DUMMYFUNCTION("""COMPUTED_VALUE"""),13.0)</f>
        <v>13</v>
      </c>
      <c r="J403" s="4" t="str">
        <f>IFERROR(__xludf.DUMMYFUNCTION("""COMPUTED_VALUE"""),"Tier 4")</f>
        <v>Tier 4</v>
      </c>
      <c r="K403" s="4" t="str">
        <f>IFERROR(__xludf.DUMMYFUNCTION("""COMPUTED_VALUE"""),"Active")</f>
        <v>Active</v>
      </c>
      <c r="L403" s="4" t="str">
        <f>IFERROR(__xludf.DUMMYFUNCTION("""COMPUTED_VALUE"""),"BigQuery")</f>
        <v>BigQuery</v>
      </c>
    </row>
    <row r="404">
      <c r="A404" s="4" t="str">
        <f>IFERROR(__xludf.DUMMYFUNCTION("""COMPUTED_VALUE"""),"DME2272")</f>
        <v>DME2272</v>
      </c>
      <c r="B404" s="4" t="str">
        <f>IFERROR(__xludf.DUMMYFUNCTION("""COMPUTED_VALUE"""),"Jadhav Yogeshvari Shrimant")</f>
        <v>Jadhav Yogeshvari Shrimant</v>
      </c>
      <c r="C404" s="4" t="str">
        <f>IFERROR(__xludf.DUMMYFUNCTION("""COMPUTED_VALUE"""),"yogeshvari.j@onixnet.com")</f>
        <v>yogeshvari.j@onixnet.com</v>
      </c>
      <c r="D404" s="4" t="str">
        <f>IFERROR(__xludf.DUMMYFUNCTION("""COMPUTED_VALUE"""),"Active")</f>
        <v>Active</v>
      </c>
      <c r="E404" s="4" t="str">
        <f>IFERROR(__xludf.DUMMYFUNCTION("""COMPUTED_VALUE"""),"Delivery Services")</f>
        <v>Delivery Services</v>
      </c>
      <c r="F404" s="4" t="str">
        <f>IFERROR(__xludf.DUMMYFUNCTION("""COMPUTED_VALUE"""),"Anushri Agrawal")</f>
        <v>Anushri Agrawal</v>
      </c>
      <c r="G404" s="4" t="str">
        <f>IFERROR(__xludf.DUMMYFUNCTION("""COMPUTED_VALUE"""),"Cluster - Sachin")</f>
        <v>Cluster - Sachin</v>
      </c>
      <c r="H404" s="4" t="str">
        <f>IFERROR(__xludf.DUMMYFUNCTION("""COMPUTED_VALUE"""),"ONIYJWHA6")</f>
        <v>ONIYJWHA6</v>
      </c>
      <c r="I404" s="5">
        <f>IFERROR(__xludf.DUMMYFUNCTION("""COMPUTED_VALUE"""),10.0)</f>
        <v>10</v>
      </c>
      <c r="J404" s="4" t="str">
        <f>IFERROR(__xludf.DUMMYFUNCTION("""COMPUTED_VALUE"""),"Tier 4")</f>
        <v>Tier 4</v>
      </c>
      <c r="K404" s="4" t="str">
        <f>IFERROR(__xludf.DUMMYFUNCTION("""COMPUTED_VALUE"""),"Active")</f>
        <v>Active</v>
      </c>
      <c r="L404" s="4" t="str">
        <f>IFERROR(__xludf.DUMMYFUNCTION("""COMPUTED_VALUE"""),"BigQuery")</f>
        <v>BigQuery</v>
      </c>
    </row>
    <row r="405">
      <c r="A405" s="4" t="str">
        <f>IFERROR(__xludf.DUMMYFUNCTION("""COMPUTED_VALUE"""),"DME2271")</f>
        <v>DME2271</v>
      </c>
      <c r="B405" s="4" t="str">
        <f>IFERROR(__xludf.DUMMYFUNCTION("""COMPUTED_VALUE"""),"Balaji Bojja Ramakrishnan")</f>
        <v>Balaji Bojja Ramakrishnan</v>
      </c>
      <c r="C405" s="4" t="str">
        <f>IFERROR(__xludf.DUMMYFUNCTION("""COMPUTED_VALUE"""),"balaji.r@onixnet.com")</f>
        <v>balaji.r@onixnet.com</v>
      </c>
      <c r="D405" s="4" t="str">
        <f>IFERROR(__xludf.DUMMYFUNCTION("""COMPUTED_VALUE"""),"Active")</f>
        <v>Active</v>
      </c>
      <c r="E405" s="4" t="str">
        <f>IFERROR(__xludf.DUMMYFUNCTION("""COMPUTED_VALUE"""),"Solutions and Pre-Sales")</f>
        <v>Solutions and Pre-Sales</v>
      </c>
      <c r="F405" s="4" t="str">
        <f>IFERROR(__xludf.DUMMYFUNCTION("""COMPUTED_VALUE"""),"Gaurav Agarwaal")</f>
        <v>Gaurav Agarwaal</v>
      </c>
      <c r="G405" s="4" t="str">
        <f>IFERROR(__xludf.DUMMYFUNCTION("""COMPUTED_VALUE"""),"Portfolio - Gaurav A (Presales)")</f>
        <v>Portfolio - Gaurav A (Presales)</v>
      </c>
      <c r="H405" s="4"/>
      <c r="I405" s="5"/>
      <c r="J405" s="4"/>
      <c r="K405" s="4" t="str">
        <f>IFERROR(__xludf.DUMMYFUNCTION("""COMPUTED_VALUE"""),"ID Not Created")</f>
        <v>ID Not Created</v>
      </c>
      <c r="L405" s="4"/>
    </row>
    <row r="406">
      <c r="A406" s="4" t="str">
        <f>IFERROR(__xludf.DUMMYFUNCTION("""COMPUTED_VALUE"""),"DME2270")</f>
        <v>DME2270</v>
      </c>
      <c r="B406" s="4" t="str">
        <f>IFERROR(__xludf.DUMMYFUNCTION("""COMPUTED_VALUE"""),"Anantha Balasubramanian")</f>
        <v>Anantha Balasubramanian</v>
      </c>
      <c r="C406" s="4" t="str">
        <f>IFERROR(__xludf.DUMMYFUNCTION("""COMPUTED_VALUE"""),"anantbal@onixnet.com")</f>
        <v>anantbal@onixnet.com</v>
      </c>
      <c r="D406" s="4" t="str">
        <f>IFERROR(__xludf.DUMMYFUNCTION("""COMPUTED_VALUE"""),"Active")</f>
        <v>Active</v>
      </c>
      <c r="E406" s="4" t="str">
        <f>IFERROR(__xludf.DUMMYFUNCTION("""COMPUTED_VALUE"""),"Solutions and Pre-Sales")</f>
        <v>Solutions and Pre-Sales</v>
      </c>
      <c r="F406" s="4" t="str">
        <f>IFERROR(__xludf.DUMMYFUNCTION("""COMPUTED_VALUE"""),"Gaurav Agarwaal")</f>
        <v>Gaurav Agarwaal</v>
      </c>
      <c r="G406" s="4" t="str">
        <f>IFERROR(__xludf.DUMMYFUNCTION("""COMPUTED_VALUE"""),"Portfolio - Gaurav A (Presales)")</f>
        <v>Portfolio - Gaurav A (Presales)</v>
      </c>
      <c r="H406" s="4" t="str">
        <f>IFERROR(__xludf.DUMMYFUNCTION("""COMPUTED_VALUE"""),"ONIABEGP2")</f>
        <v>ONIABEGP2</v>
      </c>
      <c r="I406" s="5">
        <f>IFERROR(__xludf.DUMMYFUNCTION("""COMPUTED_VALUE"""),20.0)</f>
        <v>20</v>
      </c>
      <c r="J406" s="4" t="str">
        <f>IFERROR(__xludf.DUMMYFUNCTION("""COMPUTED_VALUE"""),"Tier 3")</f>
        <v>Tier 3</v>
      </c>
      <c r="K406" s="4" t="str">
        <f>IFERROR(__xludf.DUMMYFUNCTION("""COMPUTED_VALUE"""),"Active")</f>
        <v>Active</v>
      </c>
      <c r="L406" s="4" t="str">
        <f>IFERROR(__xludf.DUMMYFUNCTION("""COMPUTED_VALUE"""),"Google Compute Engine")</f>
        <v>Google Compute Engine</v>
      </c>
    </row>
    <row r="407">
      <c r="A407" s="4" t="str">
        <f>IFERROR(__xludf.DUMMYFUNCTION("""COMPUTED_VALUE"""),"DME2268")</f>
        <v>DME2268</v>
      </c>
      <c r="B407" s="4" t="str">
        <f>IFERROR(__xludf.DUMMYFUNCTION("""COMPUTED_VALUE"""),"Vaishnavi Paraskar")</f>
        <v>Vaishnavi Paraskar</v>
      </c>
      <c r="C407" s="4" t="str">
        <f>IFERROR(__xludf.DUMMYFUNCTION("""COMPUTED_VALUE"""),"vaishnavi.p@onixnet.com")</f>
        <v>vaishnavi.p@onixnet.com</v>
      </c>
      <c r="D407" s="4" t="str">
        <f>IFERROR(__xludf.DUMMYFUNCTION("""COMPUTED_VALUE"""),"Active")</f>
        <v>Active</v>
      </c>
      <c r="E407" s="4" t="str">
        <f>IFERROR(__xludf.DUMMYFUNCTION("""COMPUTED_VALUE"""),"Product Engineering")</f>
        <v>Product Engineering</v>
      </c>
      <c r="F407" s="4" t="str">
        <f>IFERROR(__xludf.DUMMYFUNCTION("""COMPUTED_VALUE"""),"Rahul Panwar")</f>
        <v>Rahul Panwar</v>
      </c>
      <c r="G407" s="4" t="str">
        <f>IFERROR(__xludf.DUMMYFUNCTION("""COMPUTED_VALUE"""),"Cluster - Mayur")</f>
        <v>Cluster - Mayur</v>
      </c>
      <c r="H407" s="4" t="str">
        <f>IFERROR(__xludf.DUMMYFUNCTION("""COMPUTED_VALUE"""),"ONIVPJBW6")</f>
        <v>ONIVPJBW6</v>
      </c>
      <c r="I407" s="5">
        <f>IFERROR(__xludf.DUMMYFUNCTION("""COMPUTED_VALUE"""),5.0)</f>
        <v>5</v>
      </c>
      <c r="J407" s="4" t="str">
        <f>IFERROR(__xludf.DUMMYFUNCTION("""COMPUTED_VALUE"""),"Tier 4")</f>
        <v>Tier 4</v>
      </c>
      <c r="K407" s="4" t="str">
        <f>IFERROR(__xludf.DUMMYFUNCTION("""COMPUTED_VALUE"""),"Active")</f>
        <v>Active</v>
      </c>
      <c r="L407" s="4" t="str">
        <f>IFERROR(__xludf.DUMMYFUNCTION("""COMPUTED_VALUE"""),"BigQuery")</f>
        <v>BigQuery</v>
      </c>
    </row>
    <row r="408">
      <c r="A408" s="4" t="str">
        <f>IFERROR(__xludf.DUMMYFUNCTION("""COMPUTED_VALUE"""),"DME2277")</f>
        <v>DME2277</v>
      </c>
      <c r="B408" s="4" t="str">
        <f>IFERROR(__xludf.DUMMYFUNCTION("""COMPUTED_VALUE"""),"Sachin Pokharia")</f>
        <v>Sachin Pokharia</v>
      </c>
      <c r="C408" s="4" t="str">
        <f>IFERROR(__xludf.DUMMYFUNCTION("""COMPUTED_VALUE"""),"sachin.pokharia@onixnet.com")</f>
        <v>sachin.pokharia@onixnet.com</v>
      </c>
      <c r="D408" s="4" t="str">
        <f>IFERROR(__xludf.DUMMYFUNCTION("""COMPUTED_VALUE"""),"Active")</f>
        <v>Active</v>
      </c>
      <c r="E408" s="4" t="str">
        <f>IFERROR(__xludf.DUMMYFUNCTION("""COMPUTED_VALUE"""),"Delivery Services")</f>
        <v>Delivery Services</v>
      </c>
      <c r="F408" s="4" t="str">
        <f>IFERROR(__xludf.DUMMYFUNCTION("""COMPUTED_VALUE"""),"Aarti Borhade")</f>
        <v>Aarti Borhade</v>
      </c>
      <c r="G408" s="4" t="str">
        <f>IFERROR(__xludf.DUMMYFUNCTION("""COMPUTED_VALUE"""),"Cluster - Sagar")</f>
        <v>Cluster - Sagar</v>
      </c>
      <c r="H408" s="4" t="str">
        <f>IFERROR(__xludf.DUMMYFUNCTION("""COMPUTED_VALUE"""),"ONISPVXZ2")</f>
        <v>ONISPVXZ2</v>
      </c>
      <c r="I408" s="5">
        <f>IFERROR(__xludf.DUMMYFUNCTION("""COMPUTED_VALUE"""),5.0)</f>
        <v>5</v>
      </c>
      <c r="J408" s="4" t="str">
        <f>IFERROR(__xludf.DUMMYFUNCTION("""COMPUTED_VALUE"""),"Tier 4")</f>
        <v>Tier 4</v>
      </c>
      <c r="K408" s="4" t="str">
        <f>IFERROR(__xludf.DUMMYFUNCTION("""COMPUTED_VALUE"""),"Active")</f>
        <v>Active</v>
      </c>
      <c r="L408" s="4" t="str">
        <f>IFERROR(__xludf.DUMMYFUNCTION("""COMPUTED_VALUE"""),"Gemini Enterprise Agent Platform")</f>
        <v>Gemini Enterprise Agent Platform</v>
      </c>
    </row>
    <row r="409">
      <c r="A409" s="4" t="str">
        <f>IFERROR(__xludf.DUMMYFUNCTION("""COMPUTED_VALUE"""),"DME2279")</f>
        <v>DME2279</v>
      </c>
      <c r="B409" s="4" t="str">
        <f>IFERROR(__xludf.DUMMYFUNCTION("""COMPUTED_VALUE"""),"Shreyash Suresh Patil")</f>
        <v>Shreyash Suresh Patil</v>
      </c>
      <c r="C409" s="4" t="str">
        <f>IFERROR(__xludf.DUMMYFUNCTION("""COMPUTED_VALUE"""),"shreyash.patil@onixnet.com")</f>
        <v>shreyash.patil@onixnet.com</v>
      </c>
      <c r="D409" s="4" t="str">
        <f>IFERROR(__xludf.DUMMYFUNCTION("""COMPUTED_VALUE"""),"Active")</f>
        <v>Active</v>
      </c>
      <c r="E409" s="4" t="str">
        <f>IFERROR(__xludf.DUMMYFUNCTION("""COMPUTED_VALUE"""),"Delivery Services")</f>
        <v>Delivery Services</v>
      </c>
      <c r="F409" s="4" t="str">
        <f>IFERROR(__xludf.DUMMYFUNCTION("""COMPUTED_VALUE"""),"Ashwini Kumar")</f>
        <v>Ashwini Kumar</v>
      </c>
      <c r="G409" s="4" t="str">
        <f>IFERROR(__xludf.DUMMYFUNCTION("""COMPUTED_VALUE"""),"Cluster - Kanhaiya")</f>
        <v>Cluster - Kanhaiya</v>
      </c>
      <c r="H409" s="4" t="str">
        <f>IFERROR(__xludf.DUMMYFUNCTION("""COMPUTED_VALUE"""),"ONISPGWY6")</f>
        <v>ONISPGWY6</v>
      </c>
      <c r="I409" s="5">
        <f>IFERROR(__xludf.DUMMYFUNCTION("""COMPUTED_VALUE"""),5.0)</f>
        <v>5</v>
      </c>
      <c r="J409" s="4" t="str">
        <f>IFERROR(__xludf.DUMMYFUNCTION("""COMPUTED_VALUE"""),"Tier 4")</f>
        <v>Tier 4</v>
      </c>
      <c r="K409" s="4" t="str">
        <f>IFERROR(__xludf.DUMMYFUNCTION("""COMPUTED_VALUE"""),"Active")</f>
        <v>Active</v>
      </c>
      <c r="L409" s="4" t="str">
        <f>IFERROR(__xludf.DUMMYFUNCTION("""COMPUTED_VALUE"""),"Dataflow")</f>
        <v>Dataflow</v>
      </c>
    </row>
    <row r="410">
      <c r="A410" s="4" t="str">
        <f>IFERROR(__xludf.DUMMYFUNCTION("""COMPUTED_VALUE"""),"DME2280")</f>
        <v>DME2280</v>
      </c>
      <c r="B410" s="4" t="str">
        <f>IFERROR(__xludf.DUMMYFUNCTION("""COMPUTED_VALUE"""),"Asawari Vilas Lohar")</f>
        <v>Asawari Vilas Lohar</v>
      </c>
      <c r="C410" s="4" t="str">
        <f>IFERROR(__xludf.DUMMYFUNCTION("""COMPUTED_VALUE"""),"asawari.lohar@onixnet.com")</f>
        <v>asawari.lohar@onixnet.com</v>
      </c>
      <c r="D410" s="4" t="str">
        <f>IFERROR(__xludf.DUMMYFUNCTION("""COMPUTED_VALUE"""),"Active")</f>
        <v>Active</v>
      </c>
      <c r="E410" s="4" t="str">
        <f>IFERROR(__xludf.DUMMYFUNCTION("""COMPUTED_VALUE"""),"Professional Services")</f>
        <v>Professional Services</v>
      </c>
      <c r="F410" s="4" t="str">
        <f>IFERROR(__xludf.DUMMYFUNCTION("""COMPUTED_VALUE"""),"Manoj Patil")</f>
        <v>Manoj Patil</v>
      </c>
      <c r="G410" s="4" t="str">
        <f>IFERROR(__xludf.DUMMYFUNCTION("""COMPUTED_VALUE"""),"Cluster - Shreepad")</f>
        <v>Cluster - Shreepad</v>
      </c>
      <c r="H410" s="4" t="str">
        <f>IFERROR(__xludf.DUMMYFUNCTION("""COMPUTED_VALUE"""),"ONIALCHN2")</f>
        <v>ONIALCHN2</v>
      </c>
      <c r="I410" s="5">
        <f>IFERROR(__xludf.DUMMYFUNCTION("""COMPUTED_VALUE"""),10.0)</f>
        <v>10</v>
      </c>
      <c r="J410" s="4" t="str">
        <f>IFERROR(__xludf.DUMMYFUNCTION("""COMPUTED_VALUE"""),"Tier 4")</f>
        <v>Tier 4</v>
      </c>
      <c r="K410" s="4" t="str">
        <f>IFERROR(__xludf.DUMMYFUNCTION("""COMPUTED_VALUE"""),"Active")</f>
        <v>Active</v>
      </c>
      <c r="L410" s="4" t="str">
        <f>IFERROR(__xludf.DUMMYFUNCTION("""COMPUTED_VALUE"""),"Google Kubernetes Engine")</f>
        <v>Google Kubernetes Engine</v>
      </c>
    </row>
    <row r="411">
      <c r="A411" s="4" t="str">
        <f>IFERROR(__xludf.DUMMYFUNCTION("""COMPUTED_VALUE"""),"DME2281")</f>
        <v>DME2281</v>
      </c>
      <c r="B411" s="4" t="str">
        <f>IFERROR(__xludf.DUMMYFUNCTION("""COMPUTED_VALUE"""),"Chinmay Anil Bhulkar")</f>
        <v>Chinmay Anil Bhulkar</v>
      </c>
      <c r="C411" s="4" t="str">
        <f>IFERROR(__xludf.DUMMYFUNCTION("""COMPUTED_VALUE"""),"chinmay.bhulkar@onixnet.com")</f>
        <v>chinmay.bhulkar@onixnet.com</v>
      </c>
      <c r="D411" s="4" t="str">
        <f>IFERROR(__xludf.DUMMYFUNCTION("""COMPUTED_VALUE"""),"Active")</f>
        <v>Active</v>
      </c>
      <c r="E411" s="4" t="str">
        <f>IFERROR(__xludf.DUMMYFUNCTION("""COMPUTED_VALUE"""),"Delivery Services")</f>
        <v>Delivery Services</v>
      </c>
      <c r="F411" s="4" t="str">
        <f>IFERROR(__xludf.DUMMYFUNCTION("""COMPUTED_VALUE"""),"Shivam Kumar")</f>
        <v>Shivam Kumar</v>
      </c>
      <c r="G411" s="4" t="str">
        <f>IFERROR(__xludf.DUMMYFUNCTION("""COMPUTED_VALUE"""),"Cluster - Sachin")</f>
        <v>Cluster - Sachin</v>
      </c>
      <c r="H411" s="4" t="str">
        <f>IFERROR(__xludf.DUMMYFUNCTION("""COMPUTED_VALUE"""),"ONICBSNL0")</f>
        <v>ONICBSNL0</v>
      </c>
      <c r="I411" s="5">
        <f>IFERROR(__xludf.DUMMYFUNCTION("""COMPUTED_VALUE"""),25.0)</f>
        <v>25</v>
      </c>
      <c r="J411" s="4" t="str">
        <f>IFERROR(__xludf.DUMMYFUNCTION("""COMPUTED_VALUE"""),"Tier 3")</f>
        <v>Tier 3</v>
      </c>
      <c r="K411" s="4" t="str">
        <f>IFERROR(__xludf.DUMMYFUNCTION("""COMPUTED_VALUE"""),"Active")</f>
        <v>Active</v>
      </c>
      <c r="L411" s="4" t="str">
        <f>IFERROR(__xludf.DUMMYFUNCTION("""COMPUTED_VALUE"""),"Dataproc")</f>
        <v>Dataproc</v>
      </c>
    </row>
    <row r="412">
      <c r="A412" s="4" t="str">
        <f>IFERROR(__xludf.DUMMYFUNCTION("""COMPUTED_VALUE"""),"DME2283")</f>
        <v>DME2283</v>
      </c>
      <c r="B412" s="4" t="str">
        <f>IFERROR(__xludf.DUMMYFUNCTION("""COMPUTED_VALUE"""),"Tejas Vijay Kolhe")</f>
        <v>Tejas Vijay Kolhe</v>
      </c>
      <c r="C412" s="4" t="str">
        <f>IFERROR(__xludf.DUMMYFUNCTION("""COMPUTED_VALUE"""),"tejas.kolhe@onixnet.com")</f>
        <v>tejas.kolhe@onixnet.com</v>
      </c>
      <c r="D412" s="4" t="str">
        <f>IFERROR(__xludf.DUMMYFUNCTION("""COMPUTED_VALUE"""),"Active")</f>
        <v>Active</v>
      </c>
      <c r="E412" s="4" t="str">
        <f>IFERROR(__xludf.DUMMYFUNCTION("""COMPUTED_VALUE"""),"Delivery Services")</f>
        <v>Delivery Services</v>
      </c>
      <c r="F412" s="4" t="str">
        <f>IFERROR(__xludf.DUMMYFUNCTION("""COMPUTED_VALUE"""),"Sneha Bhatambrekar")</f>
        <v>Sneha Bhatambrekar</v>
      </c>
      <c r="G412" s="4" t="str">
        <f>IFERROR(__xludf.DUMMYFUNCTION("""COMPUTED_VALUE"""),"Cluster - Sandeep")</f>
        <v>Cluster - Sandeep</v>
      </c>
      <c r="H412" s="4" t="str">
        <f>IFERROR(__xludf.DUMMYFUNCTION("""COMPUTED_VALUE"""),"ONITKTWO6")</f>
        <v>ONITKTWO6</v>
      </c>
      <c r="I412" s="5">
        <f>IFERROR(__xludf.DUMMYFUNCTION("""COMPUTED_VALUE"""),10.0)</f>
        <v>10</v>
      </c>
      <c r="J412" s="4" t="str">
        <f>IFERROR(__xludf.DUMMYFUNCTION("""COMPUTED_VALUE"""),"Tier 4")</f>
        <v>Tier 4</v>
      </c>
      <c r="K412" s="4" t="str">
        <f>IFERROR(__xludf.DUMMYFUNCTION("""COMPUTED_VALUE"""),"Active")</f>
        <v>Active</v>
      </c>
      <c r="L412" s="4" t="str">
        <f>IFERROR(__xludf.DUMMYFUNCTION("""COMPUTED_VALUE"""),"Google Kubernetes Engine")</f>
        <v>Google Kubernetes Engine</v>
      </c>
    </row>
    <row r="413">
      <c r="A413" s="4" t="str">
        <f>IFERROR(__xludf.DUMMYFUNCTION("""COMPUTED_VALUE"""),"DME2286")</f>
        <v>DME2286</v>
      </c>
      <c r="B413" s="4" t="str">
        <f>IFERROR(__xludf.DUMMYFUNCTION("""COMPUTED_VALUE"""),"Piyush Sachin Ghodke")</f>
        <v>Piyush Sachin Ghodke</v>
      </c>
      <c r="C413" s="4" t="str">
        <f>IFERROR(__xludf.DUMMYFUNCTION("""COMPUTED_VALUE"""),"piyush.ghodke@onixnet.com")</f>
        <v>piyush.ghodke@onixnet.com</v>
      </c>
      <c r="D413" s="4" t="str">
        <f>IFERROR(__xludf.DUMMYFUNCTION("""COMPUTED_VALUE"""),"Active")</f>
        <v>Active</v>
      </c>
      <c r="E413" s="4" t="str">
        <f>IFERROR(__xludf.DUMMYFUNCTION("""COMPUTED_VALUE"""),"Delivery Services")</f>
        <v>Delivery Services</v>
      </c>
      <c r="F413" s="4" t="str">
        <f>IFERROR(__xludf.DUMMYFUNCTION("""COMPUTED_VALUE"""),"Sneha Bhatambrekar")</f>
        <v>Sneha Bhatambrekar</v>
      </c>
      <c r="G413" s="4" t="str">
        <f>IFERROR(__xludf.DUMMYFUNCTION("""COMPUTED_VALUE"""),"Cluster - Sandeep")</f>
        <v>Cluster - Sandeep</v>
      </c>
      <c r="H413" s="4" t="str">
        <f>IFERROR(__xludf.DUMMYFUNCTION("""COMPUTED_VALUE"""),"ONIPGRCI7")</f>
        <v>ONIPGRCI7</v>
      </c>
      <c r="I413" s="5">
        <f>IFERROR(__xludf.DUMMYFUNCTION("""COMPUTED_VALUE"""),10.0)</f>
        <v>10</v>
      </c>
      <c r="J413" s="4" t="str">
        <f>IFERROR(__xludf.DUMMYFUNCTION("""COMPUTED_VALUE"""),"Tier 4")</f>
        <v>Tier 4</v>
      </c>
      <c r="K413" s="4" t="str">
        <f>IFERROR(__xludf.DUMMYFUNCTION("""COMPUTED_VALUE"""),"Active")</f>
        <v>Active</v>
      </c>
      <c r="L413" s="4" t="str">
        <f>IFERROR(__xludf.DUMMYFUNCTION("""COMPUTED_VALUE"""),"BigQuery")</f>
        <v>BigQuery</v>
      </c>
    </row>
    <row r="414">
      <c r="A414" s="4" t="str">
        <f>IFERROR(__xludf.DUMMYFUNCTION("""COMPUTED_VALUE"""),"DME2287")</f>
        <v>DME2287</v>
      </c>
      <c r="B414" s="4" t="str">
        <f>IFERROR(__xludf.DUMMYFUNCTION("""COMPUTED_VALUE"""),"Amisha Suryakant Kotkar")</f>
        <v>Amisha Suryakant Kotkar</v>
      </c>
      <c r="C414" s="4" t="str">
        <f>IFERROR(__xludf.DUMMYFUNCTION("""COMPUTED_VALUE"""),"amisha.kotkar@onixnet.com")</f>
        <v>amisha.kotkar@onixnet.com</v>
      </c>
      <c r="D414" s="4" t="str">
        <f>IFERROR(__xludf.DUMMYFUNCTION("""COMPUTED_VALUE"""),"Active")</f>
        <v>Active</v>
      </c>
      <c r="E414" s="4" t="str">
        <f>IFERROR(__xludf.DUMMYFUNCTION("""COMPUTED_VALUE"""),"Delivery Services")</f>
        <v>Delivery Services</v>
      </c>
      <c r="F414" s="4" t="str">
        <f>IFERROR(__xludf.DUMMYFUNCTION("""COMPUTED_VALUE"""),"Punam S Paliwal")</f>
        <v>Punam S Paliwal</v>
      </c>
      <c r="G414" s="4" t="str">
        <f>IFERROR(__xludf.DUMMYFUNCTION("""COMPUTED_VALUE"""),"Cluster - Sagar")</f>
        <v>Cluster - Sagar</v>
      </c>
      <c r="H414" s="4" t="str">
        <f>IFERROR(__xludf.DUMMYFUNCTION("""COMPUTED_VALUE"""),"ONIAKEFJ0")</f>
        <v>ONIAKEFJ0</v>
      </c>
      <c r="I414" s="5">
        <f>IFERROR(__xludf.DUMMYFUNCTION("""COMPUTED_VALUE"""),27.0)</f>
        <v>27</v>
      </c>
      <c r="J414" s="4" t="str">
        <f>IFERROR(__xludf.DUMMYFUNCTION("""COMPUTED_VALUE"""),"Tier 3")</f>
        <v>Tier 3</v>
      </c>
      <c r="K414" s="4" t="str">
        <f>IFERROR(__xludf.DUMMYFUNCTION("""COMPUTED_VALUE"""),"Active")</f>
        <v>Active</v>
      </c>
      <c r="L414" s="4" t="str">
        <f>IFERROR(__xludf.DUMMYFUNCTION("""COMPUTED_VALUE"""),"BigQuery")</f>
        <v>BigQuery</v>
      </c>
    </row>
    <row r="415">
      <c r="A415" s="4" t="str">
        <f>IFERROR(__xludf.DUMMYFUNCTION("""COMPUTED_VALUE"""),"DME2288")</f>
        <v>DME2288</v>
      </c>
      <c r="B415" s="4" t="str">
        <f>IFERROR(__xludf.DUMMYFUNCTION("""COMPUTED_VALUE"""),"Pranay Sanjay Kothale")</f>
        <v>Pranay Sanjay Kothale</v>
      </c>
      <c r="C415" s="4" t="str">
        <f>IFERROR(__xludf.DUMMYFUNCTION("""COMPUTED_VALUE"""),"pranay.kothale@onixnet.com")</f>
        <v>pranay.kothale@onixnet.com</v>
      </c>
      <c r="D415" s="4" t="str">
        <f>IFERROR(__xludf.DUMMYFUNCTION("""COMPUTED_VALUE"""),"Active")</f>
        <v>Active</v>
      </c>
      <c r="E415" s="4" t="str">
        <f>IFERROR(__xludf.DUMMYFUNCTION("""COMPUTED_VALUE"""),"Delivery Services")</f>
        <v>Delivery Services</v>
      </c>
      <c r="F415" s="4" t="str">
        <f>IFERROR(__xludf.DUMMYFUNCTION("""COMPUTED_VALUE"""),"Venkatavivekananda Sala")</f>
        <v>Venkatavivekananda Sala</v>
      </c>
      <c r="G415" s="4" t="str">
        <f>IFERROR(__xludf.DUMMYFUNCTION("""COMPUTED_VALUE"""),"Cluster - Sachin")</f>
        <v>Cluster - Sachin</v>
      </c>
      <c r="H415" s="4" t="str">
        <f>IFERROR(__xludf.DUMMYFUNCTION("""COMPUTED_VALUE"""),"ONIPKBGK8")</f>
        <v>ONIPKBGK8</v>
      </c>
      <c r="I415" s="5">
        <f>IFERROR(__xludf.DUMMYFUNCTION("""COMPUTED_VALUE"""),27.0)</f>
        <v>27</v>
      </c>
      <c r="J415" s="4" t="str">
        <f>IFERROR(__xludf.DUMMYFUNCTION("""COMPUTED_VALUE"""),"Tier 3")</f>
        <v>Tier 3</v>
      </c>
      <c r="K415" s="4" t="str">
        <f>IFERROR(__xludf.DUMMYFUNCTION("""COMPUTED_VALUE"""),"Active")</f>
        <v>Active</v>
      </c>
      <c r="L415" s="4" t="str">
        <f>IFERROR(__xludf.DUMMYFUNCTION("""COMPUTED_VALUE"""),"BigQuery")</f>
        <v>BigQuery</v>
      </c>
    </row>
    <row r="416">
      <c r="A416" s="4" t="str">
        <f>IFERROR(__xludf.DUMMYFUNCTION("""COMPUTED_VALUE"""),"DME2289")</f>
        <v>DME2289</v>
      </c>
      <c r="B416" s="4" t="str">
        <f>IFERROR(__xludf.DUMMYFUNCTION("""COMPUTED_VALUE"""),"Ajay Sunil Hoke")</f>
        <v>Ajay Sunil Hoke</v>
      </c>
      <c r="C416" s="4" t="str">
        <f>IFERROR(__xludf.DUMMYFUNCTION("""COMPUTED_VALUE"""),"ajay.hoke@onixnet.com")</f>
        <v>ajay.hoke@onixnet.com</v>
      </c>
      <c r="D416" s="4" t="str">
        <f>IFERROR(__xludf.DUMMYFUNCTION("""COMPUTED_VALUE"""),"Active")</f>
        <v>Active</v>
      </c>
      <c r="E416" s="4" t="str">
        <f>IFERROR(__xludf.DUMMYFUNCTION("""COMPUTED_VALUE"""),"Delivery Services")</f>
        <v>Delivery Services</v>
      </c>
      <c r="F416" s="4" t="str">
        <f>IFERROR(__xludf.DUMMYFUNCTION("""COMPUTED_VALUE"""),"Amit Malav")</f>
        <v>Amit Malav</v>
      </c>
      <c r="G416" s="4" t="str">
        <f>IFERROR(__xludf.DUMMYFUNCTION("""COMPUTED_VALUE"""),"Cluster - Gaurav")</f>
        <v>Cluster - Gaurav</v>
      </c>
      <c r="H416" s="4" t="str">
        <f>IFERROR(__xludf.DUMMYFUNCTION("""COMPUTED_VALUE"""),"ONIAHOGW6")</f>
        <v>ONIAHOGW6</v>
      </c>
      <c r="I416" s="5">
        <f>IFERROR(__xludf.DUMMYFUNCTION("""COMPUTED_VALUE"""),28.0)</f>
        <v>28</v>
      </c>
      <c r="J416" s="4" t="str">
        <f>IFERROR(__xludf.DUMMYFUNCTION("""COMPUTED_VALUE"""),"Tier 3")</f>
        <v>Tier 3</v>
      </c>
      <c r="K416" s="4" t="str">
        <f>IFERROR(__xludf.DUMMYFUNCTION("""COMPUTED_VALUE"""),"Active")</f>
        <v>Active</v>
      </c>
      <c r="L416" s="4" t="str">
        <f>IFERROR(__xludf.DUMMYFUNCTION("""COMPUTED_VALUE"""),"AI Applications")</f>
        <v>AI Applications</v>
      </c>
    </row>
    <row r="417">
      <c r="A417" s="4" t="str">
        <f>IFERROR(__xludf.DUMMYFUNCTION("""COMPUTED_VALUE"""),"DME2290")</f>
        <v>DME2290</v>
      </c>
      <c r="B417" s="4" t="str">
        <f>IFERROR(__xludf.DUMMYFUNCTION("""COMPUTED_VALUE"""),"Chaitanya Babu Patil")</f>
        <v>Chaitanya Babu Patil</v>
      </c>
      <c r="C417" s="4" t="str">
        <f>IFERROR(__xludf.DUMMYFUNCTION("""COMPUTED_VALUE"""),"chaitanya.patil@onixnet.com")</f>
        <v>chaitanya.patil@onixnet.com</v>
      </c>
      <c r="D417" s="4" t="str">
        <f>IFERROR(__xludf.DUMMYFUNCTION("""COMPUTED_VALUE"""),"Active")</f>
        <v>Active</v>
      </c>
      <c r="E417" s="4" t="str">
        <f>IFERROR(__xludf.DUMMYFUNCTION("""COMPUTED_VALUE"""),"Delivery Services")</f>
        <v>Delivery Services</v>
      </c>
      <c r="F417" s="4" t="str">
        <f>IFERROR(__xludf.DUMMYFUNCTION("""COMPUTED_VALUE"""),"Vipul Nilapwar")</f>
        <v>Vipul Nilapwar</v>
      </c>
      <c r="G417" s="4" t="str">
        <f>IFERROR(__xludf.DUMMYFUNCTION("""COMPUTED_VALUE"""),"Cluster - Sachin")</f>
        <v>Cluster - Sachin</v>
      </c>
      <c r="H417" s="4" t="str">
        <f>IFERROR(__xludf.DUMMYFUNCTION("""COMPUTED_VALUE"""),"ONICPIQT8")</f>
        <v>ONICPIQT8</v>
      </c>
      <c r="I417" s="5">
        <f>IFERROR(__xludf.DUMMYFUNCTION("""COMPUTED_VALUE"""),38.0)</f>
        <v>38</v>
      </c>
      <c r="J417" s="4" t="str">
        <f>IFERROR(__xludf.DUMMYFUNCTION("""COMPUTED_VALUE"""),"Tier 2")</f>
        <v>Tier 2</v>
      </c>
      <c r="K417" s="4" t="str">
        <f>IFERROR(__xludf.DUMMYFUNCTION("""COMPUTED_VALUE"""),"Active")</f>
        <v>Active</v>
      </c>
      <c r="L417" s="4" t="str">
        <f>IFERROR(__xludf.DUMMYFUNCTION("""COMPUTED_VALUE"""),"Gemini Enterprise Agent Platform")</f>
        <v>Gemini Enterprise Agent Platform</v>
      </c>
    </row>
    <row r="418">
      <c r="A418" s="4" t="str">
        <f>IFERROR(__xludf.DUMMYFUNCTION("""COMPUTED_VALUE"""),"DME2292")</f>
        <v>DME2292</v>
      </c>
      <c r="B418" s="4" t="str">
        <f>IFERROR(__xludf.DUMMYFUNCTION("""COMPUTED_VALUE"""),"Nikhil Subhash Datar")</f>
        <v>Nikhil Subhash Datar</v>
      </c>
      <c r="C418" s="4" t="str">
        <f>IFERROR(__xludf.DUMMYFUNCTION("""COMPUTED_VALUE"""),"nikhil.datar@onixnet.com")</f>
        <v>nikhil.datar@onixnet.com</v>
      </c>
      <c r="D418" s="4" t="str">
        <f>IFERROR(__xludf.DUMMYFUNCTION("""COMPUTED_VALUE"""),"Active")</f>
        <v>Active</v>
      </c>
      <c r="E418" s="4" t="str">
        <f>IFERROR(__xludf.DUMMYFUNCTION("""COMPUTED_VALUE"""),"Delivery Services")</f>
        <v>Delivery Services</v>
      </c>
      <c r="F418" s="4" t="str">
        <f>IFERROR(__xludf.DUMMYFUNCTION("""COMPUTED_VALUE"""),"Pooja Chawda")</f>
        <v>Pooja Chawda</v>
      </c>
      <c r="G418" s="4" t="str">
        <f>IFERROR(__xludf.DUMMYFUNCTION("""COMPUTED_VALUE"""),"Cluster - Sandeep")</f>
        <v>Cluster - Sandeep</v>
      </c>
      <c r="H418" s="4" t="str">
        <f>IFERROR(__xludf.DUMMYFUNCTION("""COMPUTED_VALUE"""),"ONINDWRC1")</f>
        <v>ONINDWRC1</v>
      </c>
      <c r="I418" s="5">
        <f>IFERROR(__xludf.DUMMYFUNCTION("""COMPUTED_VALUE"""),17.0)</f>
        <v>17</v>
      </c>
      <c r="J418" s="4" t="str">
        <f>IFERROR(__xludf.DUMMYFUNCTION("""COMPUTED_VALUE"""),"Tier 4")</f>
        <v>Tier 4</v>
      </c>
      <c r="K418" s="4" t="str">
        <f>IFERROR(__xludf.DUMMYFUNCTION("""COMPUTED_VALUE"""),"Active")</f>
        <v>Active</v>
      </c>
      <c r="L418" s="4" t="str">
        <f>IFERROR(__xludf.DUMMYFUNCTION("""COMPUTED_VALUE"""),"Gemini Enterprise Agent Platform")</f>
        <v>Gemini Enterprise Agent Platform</v>
      </c>
    </row>
    <row r="419">
      <c r="A419" s="4" t="str">
        <f>IFERROR(__xludf.DUMMYFUNCTION("""COMPUTED_VALUE"""),"DME2293")</f>
        <v>DME2293</v>
      </c>
      <c r="B419" s="4" t="str">
        <f>IFERROR(__xludf.DUMMYFUNCTION("""COMPUTED_VALUE"""),"Swapnil Santosh Joshi")</f>
        <v>Swapnil Santosh Joshi</v>
      </c>
      <c r="C419" s="4" t="str">
        <f>IFERROR(__xludf.DUMMYFUNCTION("""COMPUTED_VALUE"""),"swapnil.joshi@onixnet.com")</f>
        <v>swapnil.joshi@onixnet.com</v>
      </c>
      <c r="D419" s="4" t="str">
        <f>IFERROR(__xludf.DUMMYFUNCTION("""COMPUTED_VALUE"""),"Active")</f>
        <v>Active</v>
      </c>
      <c r="E419" s="4" t="str">
        <f>IFERROR(__xludf.DUMMYFUNCTION("""COMPUTED_VALUE"""),"Delivery Services")</f>
        <v>Delivery Services</v>
      </c>
      <c r="F419" s="4" t="str">
        <f>IFERROR(__xludf.DUMMYFUNCTION("""COMPUTED_VALUE"""),"Kiran Patharkar")</f>
        <v>Kiran Patharkar</v>
      </c>
      <c r="G419" s="4" t="str">
        <f>IFERROR(__xludf.DUMMYFUNCTION("""COMPUTED_VALUE"""),"Cluster - Sandeep")</f>
        <v>Cluster - Sandeep</v>
      </c>
      <c r="H419" s="4" t="str">
        <f>IFERROR(__xludf.DUMMYFUNCTION("""COMPUTED_VALUE"""),"ONISJVBP5")</f>
        <v>ONISJVBP5</v>
      </c>
      <c r="I419" s="5">
        <f>IFERROR(__xludf.DUMMYFUNCTION("""COMPUTED_VALUE"""),50.0)</f>
        <v>50</v>
      </c>
      <c r="J419" s="4" t="str">
        <f>IFERROR(__xludf.DUMMYFUNCTION("""COMPUTED_VALUE"""),"Tier 1")</f>
        <v>Tier 1</v>
      </c>
      <c r="K419" s="4" t="str">
        <f>IFERROR(__xludf.DUMMYFUNCTION("""COMPUTED_VALUE"""),"Active")</f>
        <v>Active</v>
      </c>
      <c r="L419" s="4" t="str">
        <f>IFERROR(__xludf.DUMMYFUNCTION("""COMPUTED_VALUE"""),"Gemini Enterprise Agent Platform")</f>
        <v>Gemini Enterprise Agent Platform</v>
      </c>
    </row>
    <row r="420">
      <c r="A420" s="4" t="str">
        <f>IFERROR(__xludf.DUMMYFUNCTION("""COMPUTED_VALUE"""),"DME2296")</f>
        <v>DME2296</v>
      </c>
      <c r="B420" s="4" t="str">
        <f>IFERROR(__xludf.DUMMYFUNCTION("""COMPUTED_VALUE"""),"Ashish Sunil Kadam")</f>
        <v>Ashish Sunil Kadam</v>
      </c>
      <c r="C420" s="4" t="str">
        <f>IFERROR(__xludf.DUMMYFUNCTION("""COMPUTED_VALUE"""),"ashish.kadam@onixnet.com")</f>
        <v>ashish.kadam@onixnet.com</v>
      </c>
      <c r="D420" s="4" t="str">
        <f>IFERROR(__xludf.DUMMYFUNCTION("""COMPUTED_VALUE"""),"Active")</f>
        <v>Active</v>
      </c>
      <c r="E420" s="4" t="str">
        <f>IFERROR(__xludf.DUMMYFUNCTION("""COMPUTED_VALUE"""),"Delivery Services")</f>
        <v>Delivery Services</v>
      </c>
      <c r="F420" s="4" t="str">
        <f>IFERROR(__xludf.DUMMYFUNCTION("""COMPUTED_VALUE"""),"Pooja Chawda")</f>
        <v>Pooja Chawda</v>
      </c>
      <c r="G420" s="4" t="str">
        <f>IFERROR(__xludf.DUMMYFUNCTION("""COMPUTED_VALUE"""),"Cluster - Sandeep")</f>
        <v>Cluster - Sandeep</v>
      </c>
      <c r="H420" s="4" t="str">
        <f>IFERROR(__xludf.DUMMYFUNCTION("""COMPUTED_VALUE"""),"ONIAKXHW5")</f>
        <v>ONIAKXHW5</v>
      </c>
      <c r="I420" s="5">
        <f>IFERROR(__xludf.DUMMYFUNCTION("""COMPUTED_VALUE"""),10.0)</f>
        <v>10</v>
      </c>
      <c r="J420" s="4" t="str">
        <f>IFERROR(__xludf.DUMMYFUNCTION("""COMPUTED_VALUE"""),"Tier 4")</f>
        <v>Tier 4</v>
      </c>
      <c r="K420" s="4" t="str">
        <f>IFERROR(__xludf.DUMMYFUNCTION("""COMPUTED_VALUE"""),"Active")</f>
        <v>Active</v>
      </c>
      <c r="L420" s="4" t="str">
        <f>IFERROR(__xludf.DUMMYFUNCTION("""COMPUTED_VALUE"""),"Gemini Enterprise Agent Platform")</f>
        <v>Gemini Enterprise Agent Platform</v>
      </c>
    </row>
    <row r="421">
      <c r="A421" s="4" t="str">
        <f>IFERROR(__xludf.DUMMYFUNCTION("""COMPUTED_VALUE"""),"DME2294")</f>
        <v>DME2294</v>
      </c>
      <c r="B421" s="4" t="str">
        <f>IFERROR(__xludf.DUMMYFUNCTION("""COMPUTED_VALUE"""),"Tushar Dattatraya Bhutte")</f>
        <v>Tushar Dattatraya Bhutte</v>
      </c>
      <c r="C421" s="4" t="str">
        <f>IFERROR(__xludf.DUMMYFUNCTION("""COMPUTED_VALUE"""),"tushar.bhutte@onixnet.com")</f>
        <v>tushar.bhutte@onixnet.com</v>
      </c>
      <c r="D421" s="4" t="str">
        <f>IFERROR(__xludf.DUMMYFUNCTION("""COMPUTED_VALUE"""),"Active")</f>
        <v>Active</v>
      </c>
      <c r="E421" s="4" t="str">
        <f>IFERROR(__xludf.DUMMYFUNCTION("""COMPUTED_VALUE"""),"Delivery Services")</f>
        <v>Delivery Services</v>
      </c>
      <c r="F421" s="4" t="str">
        <f>IFERROR(__xludf.DUMMYFUNCTION("""COMPUTED_VALUE"""),"Akash Morey")</f>
        <v>Akash Morey</v>
      </c>
      <c r="G421" s="4" t="str">
        <f>IFERROR(__xludf.DUMMYFUNCTION("""COMPUTED_VALUE"""),"Cluster - Sandeep")</f>
        <v>Cluster - Sandeep</v>
      </c>
      <c r="H421" s="4" t="str">
        <f>IFERROR(__xludf.DUMMYFUNCTION("""COMPUTED_VALUE"""),"ONITBZYZ9")</f>
        <v>ONITBZYZ9</v>
      </c>
      <c r="I421" s="5">
        <f>IFERROR(__xludf.DUMMYFUNCTION("""COMPUTED_VALUE"""),14.0)</f>
        <v>14</v>
      </c>
      <c r="J421" s="4" t="str">
        <f>IFERROR(__xludf.DUMMYFUNCTION("""COMPUTED_VALUE"""),"Tier 4")</f>
        <v>Tier 4</v>
      </c>
      <c r="K421" s="4" t="str">
        <f>IFERROR(__xludf.DUMMYFUNCTION("""COMPUTED_VALUE"""),"Active")</f>
        <v>Active</v>
      </c>
      <c r="L421" s="4" t="str">
        <f>IFERROR(__xludf.DUMMYFUNCTION("""COMPUTED_VALUE"""),"AI Applications")</f>
        <v>AI Applications</v>
      </c>
    </row>
    <row r="422">
      <c r="A422" s="4" t="str">
        <f>IFERROR(__xludf.DUMMYFUNCTION("""COMPUTED_VALUE"""),"DME2298")</f>
        <v>DME2298</v>
      </c>
      <c r="B422" s="4" t="str">
        <f>IFERROR(__xludf.DUMMYFUNCTION("""COMPUTED_VALUE"""),"Bhagyesh Mahendra Lunawat")</f>
        <v>Bhagyesh Mahendra Lunawat</v>
      </c>
      <c r="C422" s="4" t="str">
        <f>IFERROR(__xludf.DUMMYFUNCTION("""COMPUTED_VALUE"""),"bhagyesh.lunawat@onixnet.com")</f>
        <v>bhagyesh.lunawat@onixnet.com</v>
      </c>
      <c r="D422" s="4" t="str">
        <f>IFERROR(__xludf.DUMMYFUNCTION("""COMPUTED_VALUE"""),"Active")</f>
        <v>Active</v>
      </c>
      <c r="E422" s="4" t="str">
        <f>IFERROR(__xludf.DUMMYFUNCTION("""COMPUTED_VALUE"""),"Delivery Services")</f>
        <v>Delivery Services</v>
      </c>
      <c r="F422" s="4" t="str">
        <f>IFERROR(__xludf.DUMMYFUNCTION("""COMPUTED_VALUE"""),"Sunny Mathur")</f>
        <v>Sunny Mathur</v>
      </c>
      <c r="G422" s="4" t="str">
        <f>IFERROR(__xludf.DUMMYFUNCTION("""COMPUTED_VALUE"""),"Cluster - Sagar")</f>
        <v>Cluster - Sagar</v>
      </c>
      <c r="H422" s="4" t="str">
        <f>IFERROR(__xludf.DUMMYFUNCTION("""COMPUTED_VALUE"""),"ONIBLZDJ2")</f>
        <v>ONIBLZDJ2</v>
      </c>
      <c r="I422" s="5">
        <f>IFERROR(__xludf.DUMMYFUNCTION("""COMPUTED_VALUE"""),20.0)</f>
        <v>20</v>
      </c>
      <c r="J422" s="4" t="str">
        <f>IFERROR(__xludf.DUMMYFUNCTION("""COMPUTED_VALUE"""),"Tier 3")</f>
        <v>Tier 3</v>
      </c>
      <c r="K422" s="4" t="str">
        <f>IFERROR(__xludf.DUMMYFUNCTION("""COMPUTED_VALUE"""),"Active")</f>
        <v>Active</v>
      </c>
      <c r="L422" s="4" t="str">
        <f>IFERROR(__xludf.DUMMYFUNCTION("""COMPUTED_VALUE"""),"Gemini Enterprise Agent Platform")</f>
        <v>Gemini Enterprise Agent Platform</v>
      </c>
    </row>
    <row r="423">
      <c r="A423" s="4" t="str">
        <f>IFERROR(__xludf.DUMMYFUNCTION("""COMPUTED_VALUE"""),"DME2299")</f>
        <v>DME2299</v>
      </c>
      <c r="B423" s="4" t="str">
        <f>IFERROR(__xludf.DUMMYFUNCTION("""COMPUTED_VALUE"""),"Nikhil Mahabudhe")</f>
        <v>Nikhil Mahabudhe</v>
      </c>
      <c r="C423" s="4" t="str">
        <f>IFERROR(__xludf.DUMMYFUNCTION("""COMPUTED_VALUE"""),"nikhil.mahabudhe@onixnet.com")</f>
        <v>nikhil.mahabudhe@onixnet.com</v>
      </c>
      <c r="D423" s="4" t="str">
        <f>IFERROR(__xludf.DUMMYFUNCTION("""COMPUTED_VALUE"""),"Active")</f>
        <v>Active</v>
      </c>
      <c r="E423" s="4" t="str">
        <f>IFERROR(__xludf.DUMMYFUNCTION("""COMPUTED_VALUE"""),"Product Engineering")</f>
        <v>Product Engineering</v>
      </c>
      <c r="F423" s="4" t="str">
        <f>IFERROR(__xludf.DUMMYFUNCTION("""COMPUTED_VALUE"""),"Savan Tak")</f>
        <v>Savan Tak</v>
      </c>
      <c r="G423" s="4" t="str">
        <f>IFERROR(__xludf.DUMMYFUNCTION("""COMPUTED_VALUE"""),"Cluster - Mayur")</f>
        <v>Cluster - Mayur</v>
      </c>
      <c r="H423" s="4" t="str">
        <f>IFERROR(__xludf.DUMMYFUNCTION("""COMPUTED_VALUE"""),"ONINMBXT9")</f>
        <v>ONINMBXT9</v>
      </c>
      <c r="I423" s="5">
        <f>IFERROR(__xludf.DUMMYFUNCTION("""COMPUTED_VALUE"""),5.0)</f>
        <v>5</v>
      </c>
      <c r="J423" s="4" t="str">
        <f>IFERROR(__xludf.DUMMYFUNCTION("""COMPUTED_VALUE"""),"Tier 4")</f>
        <v>Tier 4</v>
      </c>
      <c r="K423" s="4" t="str">
        <f>IFERROR(__xludf.DUMMYFUNCTION("""COMPUTED_VALUE"""),"Active")</f>
        <v>Active</v>
      </c>
      <c r="L423" s="4" t="str">
        <f>IFERROR(__xludf.DUMMYFUNCTION("""COMPUTED_VALUE"""),"AI Applications")</f>
        <v>AI Applications</v>
      </c>
    </row>
    <row r="424">
      <c r="A424" s="4" t="str">
        <f>IFERROR(__xludf.DUMMYFUNCTION("""COMPUTED_VALUE"""),"DME2302")</f>
        <v>DME2302</v>
      </c>
      <c r="B424" s="4" t="str">
        <f>IFERROR(__xludf.DUMMYFUNCTION("""COMPUTED_VALUE"""),"Rajesh Kannan")</f>
        <v>Rajesh Kannan</v>
      </c>
      <c r="C424" s="4" t="str">
        <f>IFERROR(__xludf.DUMMYFUNCTION("""COMPUTED_VALUE"""),"rajesh.kannan@onixnet.com")</f>
        <v>rajesh.kannan@onixnet.com</v>
      </c>
      <c r="D424" s="4" t="str">
        <f>IFERROR(__xludf.DUMMYFUNCTION("""COMPUTED_VALUE"""),"Active")</f>
        <v>Active</v>
      </c>
      <c r="E424" s="4" t="str">
        <f>IFERROR(__xludf.DUMMYFUNCTION("""COMPUTED_VALUE"""),"Solutions and Pre-Sales")</f>
        <v>Solutions and Pre-Sales</v>
      </c>
      <c r="F424" s="4" t="str">
        <f>IFERROR(__xludf.DUMMYFUNCTION("""COMPUTED_VALUE"""),"Anantha Balasubramanian")</f>
        <v>Anantha Balasubramanian</v>
      </c>
      <c r="G424" s="4" t="str">
        <f>IFERROR(__xludf.DUMMYFUNCTION("""COMPUTED_VALUE"""),"Portfolio - Gaurav A (Presales)")</f>
        <v>Portfolio - Gaurav A (Presales)</v>
      </c>
      <c r="H424" s="4" t="str">
        <f>IFERROR(__xludf.DUMMYFUNCTION("""COMPUTED_VALUE"""),"ONIRKLWR2")</f>
        <v>ONIRKLWR2</v>
      </c>
      <c r="I424" s="5">
        <f>IFERROR(__xludf.DUMMYFUNCTION("""COMPUTED_VALUE"""),24.0)</f>
        <v>24</v>
      </c>
      <c r="J424" s="4" t="str">
        <f>IFERROR(__xludf.DUMMYFUNCTION("""COMPUTED_VALUE"""),"Tier 3")</f>
        <v>Tier 3</v>
      </c>
      <c r="K424" s="4" t="str">
        <f>IFERROR(__xludf.DUMMYFUNCTION("""COMPUTED_VALUE"""),"Active")</f>
        <v>Active</v>
      </c>
      <c r="L424" s="4" t="str">
        <f>IFERROR(__xludf.DUMMYFUNCTION("""COMPUTED_VALUE"""),"Google Compute Engine")</f>
        <v>Google Compute Engine</v>
      </c>
    </row>
    <row r="425">
      <c r="A425" s="4" t="str">
        <f>IFERROR(__xludf.DUMMYFUNCTION("""COMPUTED_VALUE"""),"DME2303")</f>
        <v>DME2303</v>
      </c>
      <c r="B425" s="4" t="str">
        <f>IFERROR(__xludf.DUMMYFUNCTION("""COMPUTED_VALUE"""),"Ajit Kumar Sinha")</f>
        <v>Ajit Kumar Sinha</v>
      </c>
      <c r="C425" s="4" t="str">
        <f>IFERROR(__xludf.DUMMYFUNCTION("""COMPUTED_VALUE"""),"ajitkumar.sinha@onixnet.com")</f>
        <v>ajitkumar.sinha@onixnet.com</v>
      </c>
      <c r="D425" s="4" t="str">
        <f>IFERROR(__xludf.DUMMYFUNCTION("""COMPUTED_VALUE"""),"Active")</f>
        <v>Active</v>
      </c>
      <c r="E425" s="4" t="str">
        <f>IFERROR(__xludf.DUMMYFUNCTION("""COMPUTED_VALUE"""),"Delivery Services")</f>
        <v>Delivery Services</v>
      </c>
      <c r="F425" s="4" t="str">
        <f>IFERROR(__xludf.DUMMYFUNCTION("""COMPUTED_VALUE"""),"Jitender Singh")</f>
        <v>Jitender Singh</v>
      </c>
      <c r="G425" s="4" t="str">
        <f>IFERROR(__xludf.DUMMYFUNCTION("""COMPUTED_VALUE"""),"Cluster - Gaurav")</f>
        <v>Cluster - Gaurav</v>
      </c>
      <c r="H425" s="4" t="str">
        <f>IFERROR(__xludf.DUMMYFUNCTION("""COMPUTED_VALUE"""),"ONIASVHN2")</f>
        <v>ONIASVHN2</v>
      </c>
      <c r="I425" s="5">
        <f>IFERROR(__xludf.DUMMYFUNCTION("""COMPUTED_VALUE"""),13.0)</f>
        <v>13</v>
      </c>
      <c r="J425" s="4" t="str">
        <f>IFERROR(__xludf.DUMMYFUNCTION("""COMPUTED_VALUE"""),"Tier 4")</f>
        <v>Tier 4</v>
      </c>
      <c r="K425" s="4" t="str">
        <f>IFERROR(__xludf.DUMMYFUNCTION("""COMPUTED_VALUE"""),"Active")</f>
        <v>Active</v>
      </c>
      <c r="L425" s="4" t="str">
        <f>IFERROR(__xludf.DUMMYFUNCTION("""COMPUTED_VALUE"""),"Google Distributed Cloud")</f>
        <v>Google Distributed Cloud</v>
      </c>
    </row>
    <row r="426">
      <c r="A426" s="4" t="str">
        <f>IFERROR(__xludf.DUMMYFUNCTION("""COMPUTED_VALUE"""),"DME2304")</f>
        <v>DME2304</v>
      </c>
      <c r="B426" s="4" t="str">
        <f>IFERROR(__xludf.DUMMYFUNCTION("""COMPUTED_VALUE"""),"Asim Parayane")</f>
        <v>Asim Parayane</v>
      </c>
      <c r="C426" s="4" t="str">
        <f>IFERROR(__xludf.DUMMYFUNCTION("""COMPUTED_VALUE"""),"asim.parayane@onixnet.com")</f>
        <v>asim.parayane@onixnet.com</v>
      </c>
      <c r="D426" s="4" t="str">
        <f>IFERROR(__xludf.DUMMYFUNCTION("""COMPUTED_VALUE"""),"Active")</f>
        <v>Active</v>
      </c>
      <c r="E426" s="4" t="str">
        <f>IFERROR(__xludf.DUMMYFUNCTION("""COMPUTED_VALUE"""),"Delivery Services")</f>
        <v>Delivery Services</v>
      </c>
      <c r="F426" s="4" t="str">
        <f>IFERROR(__xludf.DUMMYFUNCTION("""COMPUTED_VALUE"""),"Prasad Pramod Kulkarni")</f>
        <v>Prasad Pramod Kulkarni</v>
      </c>
      <c r="G426" s="4" t="str">
        <f>IFERROR(__xludf.DUMMYFUNCTION("""COMPUTED_VALUE"""),"Cluster - Sagar")</f>
        <v>Cluster - Sagar</v>
      </c>
      <c r="H426" s="4" t="str">
        <f>IFERROR(__xludf.DUMMYFUNCTION("""COMPUTED_VALUE"""),"ONIAPEDB7")</f>
        <v>ONIAPEDB7</v>
      </c>
      <c r="I426" s="5">
        <f>IFERROR(__xludf.DUMMYFUNCTION("""COMPUTED_VALUE"""),5.0)</f>
        <v>5</v>
      </c>
      <c r="J426" s="4" t="str">
        <f>IFERROR(__xludf.DUMMYFUNCTION("""COMPUTED_VALUE"""),"Tier 4")</f>
        <v>Tier 4</v>
      </c>
      <c r="K426" s="4" t="str">
        <f>IFERROR(__xludf.DUMMYFUNCTION("""COMPUTED_VALUE"""),"Active")</f>
        <v>Active</v>
      </c>
      <c r="L426" s="4" t="str">
        <f>IFERROR(__xludf.DUMMYFUNCTION("""COMPUTED_VALUE"""),"Google Cloud Networking")</f>
        <v>Google Cloud Networking</v>
      </c>
    </row>
    <row r="427">
      <c r="A427" s="4" t="str">
        <f>IFERROR(__xludf.DUMMYFUNCTION("""COMPUTED_VALUE"""),"DME2307")</f>
        <v>DME2307</v>
      </c>
      <c r="B427" s="4" t="str">
        <f>IFERROR(__xludf.DUMMYFUNCTION("""COMPUTED_VALUE"""),"Kamavarapu Lokeswara Rao")</f>
        <v>Kamavarapu Lokeswara Rao</v>
      </c>
      <c r="C427" s="4" t="str">
        <f>IFERROR(__xludf.DUMMYFUNCTION("""COMPUTED_VALUE"""),"lokeswara.k@onixnet.com")</f>
        <v>lokeswara.k@onixnet.com</v>
      </c>
      <c r="D427" s="4" t="str">
        <f>IFERROR(__xludf.DUMMYFUNCTION("""COMPUTED_VALUE"""),"Active")</f>
        <v>Active</v>
      </c>
      <c r="E427" s="4" t="str">
        <f>IFERROR(__xludf.DUMMYFUNCTION("""COMPUTED_VALUE"""),"Delivery Services")</f>
        <v>Delivery Services</v>
      </c>
      <c r="F427" s="4" t="str">
        <f>IFERROR(__xludf.DUMMYFUNCTION("""COMPUTED_VALUE"""),"Deshabhotla Sravan")</f>
        <v>Deshabhotla Sravan</v>
      </c>
      <c r="G427" s="4" t="str">
        <f>IFERROR(__xludf.DUMMYFUNCTION("""COMPUTED_VALUE"""),"Cluster - Shreepad")</f>
        <v>Cluster - Shreepad</v>
      </c>
      <c r="H427" s="4" t="str">
        <f>IFERROR(__xludf.DUMMYFUNCTION("""COMPUTED_VALUE"""),"ONILKMMZ3")</f>
        <v>ONILKMMZ3</v>
      </c>
      <c r="I427" s="5">
        <f>IFERROR(__xludf.DUMMYFUNCTION("""COMPUTED_VALUE"""),0.0)</f>
        <v>0</v>
      </c>
      <c r="J427" s="4" t="str">
        <f>IFERROR(__xludf.DUMMYFUNCTION("""COMPUTED_VALUE"""),"Tier 4")</f>
        <v>Tier 4</v>
      </c>
      <c r="K427" s="4" t="str">
        <f>IFERROR(__xludf.DUMMYFUNCTION("""COMPUTED_VALUE"""),"ID Created DRP score 0")</f>
        <v>ID Created DRP score 0</v>
      </c>
      <c r="L427" s="4"/>
    </row>
    <row r="428">
      <c r="A428" s="4" t="str">
        <f>IFERROR(__xludf.DUMMYFUNCTION("""COMPUTED_VALUE"""),"DME2308")</f>
        <v>DME2308</v>
      </c>
      <c r="B428" s="4" t="str">
        <f>IFERROR(__xludf.DUMMYFUNCTION("""COMPUTED_VALUE"""),"Tanvi Takiar")</f>
        <v>Tanvi Takiar</v>
      </c>
      <c r="C428" s="4" t="str">
        <f>IFERROR(__xludf.DUMMYFUNCTION("""COMPUTED_VALUE"""),"tanvi.takiar@onixnet.com")</f>
        <v>tanvi.takiar@onixnet.com</v>
      </c>
      <c r="D428" s="4" t="str">
        <f>IFERROR(__xludf.DUMMYFUNCTION("""COMPUTED_VALUE"""),"Active")</f>
        <v>Active</v>
      </c>
      <c r="E428" s="4" t="str">
        <f>IFERROR(__xludf.DUMMYFUNCTION("""COMPUTED_VALUE"""),"Delivery Services")</f>
        <v>Delivery Services</v>
      </c>
      <c r="F428" s="4" t="str">
        <f>IFERROR(__xludf.DUMMYFUNCTION("""COMPUTED_VALUE"""),"Jitender Singh")</f>
        <v>Jitender Singh</v>
      </c>
      <c r="G428" s="4" t="str">
        <f>IFERROR(__xludf.DUMMYFUNCTION("""COMPUTED_VALUE"""),"Cluster - Gaurav")</f>
        <v>Cluster - Gaurav</v>
      </c>
      <c r="H428" s="4"/>
      <c r="I428" s="5"/>
      <c r="J428" s="4"/>
      <c r="K428" s="4" t="str">
        <f>IFERROR(__xludf.DUMMYFUNCTION("""COMPUTED_VALUE"""),"ID Not Created")</f>
        <v>ID Not Created</v>
      </c>
      <c r="L428" s="4"/>
    </row>
    <row r="429">
      <c r="A429" s="4" t="str">
        <f>IFERROR(__xludf.DUMMYFUNCTION("""COMPUTED_VALUE"""),"DME2310")</f>
        <v>DME2310</v>
      </c>
      <c r="B429" s="4" t="str">
        <f>IFERROR(__xludf.DUMMYFUNCTION("""COMPUTED_VALUE"""),"Anushri Tekchand Agrawal")</f>
        <v>Anushri Tekchand Agrawal</v>
      </c>
      <c r="C429" s="4" t="str">
        <f>IFERROR(__xludf.DUMMYFUNCTION("""COMPUTED_VALUE"""),"anushri.agrawal@onixnet.com")</f>
        <v>anushri.agrawal@onixnet.com</v>
      </c>
      <c r="D429" s="4" t="str">
        <f>IFERROR(__xludf.DUMMYFUNCTION("""COMPUTED_VALUE"""),"Active")</f>
        <v>Active</v>
      </c>
      <c r="E429" s="4" t="str">
        <f>IFERROR(__xludf.DUMMYFUNCTION("""COMPUTED_VALUE"""),"Delivery Services")</f>
        <v>Delivery Services</v>
      </c>
      <c r="F429" s="4" t="str">
        <f>IFERROR(__xludf.DUMMYFUNCTION("""COMPUTED_VALUE"""),"Amish Ojha")</f>
        <v>Amish Ojha</v>
      </c>
      <c r="G429" s="4" t="str">
        <f>IFERROR(__xludf.DUMMYFUNCTION("""COMPUTED_VALUE"""),"Cluster - Gaurav")</f>
        <v>Cluster - Gaurav</v>
      </c>
      <c r="H429" s="4" t="str">
        <f>IFERROR(__xludf.DUMMYFUNCTION("""COMPUTED_VALUE"""),"ONIAABLC5")</f>
        <v>ONIAABLC5</v>
      </c>
      <c r="I429" s="5">
        <f>IFERROR(__xludf.DUMMYFUNCTION("""COMPUTED_VALUE"""),10.0)</f>
        <v>10</v>
      </c>
      <c r="J429" s="4" t="str">
        <f>IFERROR(__xludf.DUMMYFUNCTION("""COMPUTED_VALUE"""),"Tier 4")</f>
        <v>Tier 4</v>
      </c>
      <c r="K429" s="4" t="str">
        <f>IFERROR(__xludf.DUMMYFUNCTION("""COMPUTED_VALUE"""),"Active")</f>
        <v>Active</v>
      </c>
      <c r="L429" s="4" t="str">
        <f>IFERROR(__xludf.DUMMYFUNCTION("""COMPUTED_VALUE"""),"Gemini Enterprise Agent Platform")</f>
        <v>Gemini Enterprise Agent Platform</v>
      </c>
    </row>
    <row r="430">
      <c r="A430" s="4" t="str">
        <f>IFERROR(__xludf.DUMMYFUNCTION("""COMPUTED_VALUE"""),"DME2311")</f>
        <v>DME2311</v>
      </c>
      <c r="B430" s="4" t="str">
        <f>IFERROR(__xludf.DUMMYFUNCTION("""COMPUTED_VALUE"""),"Vishwadeep Upendra Sen Yadav")</f>
        <v>Vishwadeep Upendra Sen Yadav</v>
      </c>
      <c r="C430" s="4" t="str">
        <f>IFERROR(__xludf.DUMMYFUNCTION("""COMPUTED_VALUE"""),"vishwadeep.yadav@onixnet.com")</f>
        <v>vishwadeep.yadav@onixnet.com</v>
      </c>
      <c r="D430" s="4" t="str">
        <f>IFERROR(__xludf.DUMMYFUNCTION("""COMPUTED_VALUE"""),"Active")</f>
        <v>Active</v>
      </c>
      <c r="E430" s="4" t="str">
        <f>IFERROR(__xludf.DUMMYFUNCTION("""COMPUTED_VALUE"""),"Product Engineering")</f>
        <v>Product Engineering</v>
      </c>
      <c r="F430" s="4" t="str">
        <f>IFERROR(__xludf.DUMMYFUNCTION("""COMPUTED_VALUE"""),"Pravin Abhang")</f>
        <v>Pravin Abhang</v>
      </c>
      <c r="G430" s="4" t="str">
        <f>IFERROR(__xludf.DUMMYFUNCTION("""COMPUTED_VALUE"""),"Cluster - Mayur")</f>
        <v>Cluster - Mayur</v>
      </c>
      <c r="H430" s="4" t="str">
        <f>IFERROR(__xludf.DUMMYFUNCTION("""COMPUTED_VALUE"""),"ONIVYRDY0")</f>
        <v>ONIVYRDY0</v>
      </c>
      <c r="I430" s="5">
        <f>IFERROR(__xludf.DUMMYFUNCTION("""COMPUTED_VALUE"""),15.0)</f>
        <v>15</v>
      </c>
      <c r="J430" s="4" t="str">
        <f>IFERROR(__xludf.DUMMYFUNCTION("""COMPUTED_VALUE"""),"Tier 4")</f>
        <v>Tier 4</v>
      </c>
      <c r="K430" s="4" t="str">
        <f>IFERROR(__xludf.DUMMYFUNCTION("""COMPUTED_VALUE"""),"Active")</f>
        <v>Active</v>
      </c>
      <c r="L430" s="4" t="str">
        <f>IFERROR(__xludf.DUMMYFUNCTION("""COMPUTED_VALUE"""),"AI Applications")</f>
        <v>AI Applications</v>
      </c>
    </row>
    <row r="431">
      <c r="A431" s="4" t="str">
        <f>IFERROR(__xludf.DUMMYFUNCTION("""COMPUTED_VALUE"""),"DME2314")</f>
        <v>DME2314</v>
      </c>
      <c r="B431" s="4" t="str">
        <f>IFERROR(__xludf.DUMMYFUNCTION("""COMPUTED_VALUE"""),"Atul Babasaheb Patil")</f>
        <v>Atul Babasaheb Patil</v>
      </c>
      <c r="C431" s="4" t="str">
        <f>IFERROR(__xludf.DUMMYFUNCTION("""COMPUTED_VALUE"""),"atul.patil@onixnet.com")</f>
        <v>atul.patil@onixnet.com</v>
      </c>
      <c r="D431" s="4" t="str">
        <f>IFERROR(__xludf.DUMMYFUNCTION("""COMPUTED_VALUE"""),"Active")</f>
        <v>Active</v>
      </c>
      <c r="E431" s="4" t="str">
        <f>IFERROR(__xludf.DUMMYFUNCTION("""COMPUTED_VALUE"""),"Delivery Services")</f>
        <v>Delivery Services</v>
      </c>
      <c r="F431" s="4" t="str">
        <f>IFERROR(__xludf.DUMMYFUNCTION("""COMPUTED_VALUE"""),"Ramakant Vikram Divate")</f>
        <v>Ramakant Vikram Divate</v>
      </c>
      <c r="G431" s="4" t="str">
        <f>IFERROR(__xludf.DUMMYFUNCTION("""COMPUTED_VALUE"""),"Cluster - Gaurav")</f>
        <v>Cluster - Gaurav</v>
      </c>
      <c r="H431" s="4" t="str">
        <f>IFERROR(__xludf.DUMMYFUNCTION("""COMPUTED_VALUE"""),"ONIAPOED7")</f>
        <v>ONIAPOED7</v>
      </c>
      <c r="I431" s="5">
        <f>IFERROR(__xludf.DUMMYFUNCTION("""COMPUTED_VALUE"""),6.0)</f>
        <v>6</v>
      </c>
      <c r="J431" s="4" t="str">
        <f>IFERROR(__xludf.DUMMYFUNCTION("""COMPUTED_VALUE"""),"Tier 4")</f>
        <v>Tier 4</v>
      </c>
      <c r="K431" s="4" t="str">
        <f>IFERROR(__xludf.DUMMYFUNCTION("""COMPUTED_VALUE"""),"Active")</f>
        <v>Active</v>
      </c>
      <c r="L431" s="4" t="str">
        <f>IFERROR(__xludf.DUMMYFUNCTION("""COMPUTED_VALUE"""),"Gemini Enterprise Agent Platform")</f>
        <v>Gemini Enterprise Agent Platform</v>
      </c>
    </row>
    <row r="432">
      <c r="A432" s="4" t="str">
        <f>IFERROR(__xludf.DUMMYFUNCTION("""COMPUTED_VALUE"""),"DME2315")</f>
        <v>DME2315</v>
      </c>
      <c r="B432" s="4" t="str">
        <f>IFERROR(__xludf.DUMMYFUNCTION("""COMPUTED_VALUE"""),"Arun Kumar")</f>
        <v>Arun Kumar</v>
      </c>
      <c r="C432" s="4" t="str">
        <f>IFERROR(__xludf.DUMMYFUNCTION("""COMPUTED_VALUE"""),"arun.kumar@onixnet.com")</f>
        <v>arun.kumar@onixnet.com</v>
      </c>
      <c r="D432" s="4" t="str">
        <f>IFERROR(__xludf.DUMMYFUNCTION("""COMPUTED_VALUE"""),"Active")</f>
        <v>Active</v>
      </c>
      <c r="E432" s="4" t="str">
        <f>IFERROR(__xludf.DUMMYFUNCTION("""COMPUTED_VALUE"""),"Delivery Services")</f>
        <v>Delivery Services</v>
      </c>
      <c r="F432" s="4" t="str">
        <f>IFERROR(__xludf.DUMMYFUNCTION("""COMPUTED_VALUE"""),"Vipul Nilapwar")</f>
        <v>Vipul Nilapwar</v>
      </c>
      <c r="G432" s="4" t="str">
        <f>IFERROR(__xludf.DUMMYFUNCTION("""COMPUTED_VALUE"""),"Cluster - Sachin")</f>
        <v>Cluster - Sachin</v>
      </c>
      <c r="H432" s="4" t="str">
        <f>IFERROR(__xludf.DUMMYFUNCTION("""COMPUTED_VALUE"""),"ONIAKPTB4")</f>
        <v>ONIAKPTB4</v>
      </c>
      <c r="I432" s="5">
        <f>IFERROR(__xludf.DUMMYFUNCTION("""COMPUTED_VALUE"""),29.0)</f>
        <v>29</v>
      </c>
      <c r="J432" s="4" t="str">
        <f>IFERROR(__xludf.DUMMYFUNCTION("""COMPUTED_VALUE"""),"Tier 3")</f>
        <v>Tier 3</v>
      </c>
      <c r="K432" s="4" t="str">
        <f>IFERROR(__xludf.DUMMYFUNCTION("""COMPUTED_VALUE"""),"Active")</f>
        <v>Active</v>
      </c>
      <c r="L432" s="4" t="str">
        <f>IFERROR(__xludf.DUMMYFUNCTION("""COMPUTED_VALUE"""),"BigQuery")</f>
        <v>BigQuery</v>
      </c>
    </row>
    <row r="433">
      <c r="A433" s="4" t="str">
        <f>IFERROR(__xludf.DUMMYFUNCTION("""COMPUTED_VALUE"""),"DME2318")</f>
        <v>DME2318</v>
      </c>
      <c r="B433" s="4" t="str">
        <f>IFERROR(__xludf.DUMMYFUNCTION("""COMPUTED_VALUE"""),"Shivjeet Someshwar Dyade")</f>
        <v>Shivjeet Someshwar Dyade</v>
      </c>
      <c r="C433" s="4" t="str">
        <f>IFERROR(__xludf.DUMMYFUNCTION("""COMPUTED_VALUE"""),"shivjeet.dyade@onixnet.com")</f>
        <v>shivjeet.dyade@onixnet.com</v>
      </c>
      <c r="D433" s="4" t="str">
        <f>IFERROR(__xludf.DUMMYFUNCTION("""COMPUTED_VALUE"""),"Active")</f>
        <v>Active</v>
      </c>
      <c r="E433" s="4" t="str">
        <f>IFERROR(__xludf.DUMMYFUNCTION("""COMPUTED_VALUE"""),"Delivery Services")</f>
        <v>Delivery Services</v>
      </c>
      <c r="F433" s="4" t="str">
        <f>IFERROR(__xludf.DUMMYFUNCTION("""COMPUTED_VALUE"""),"Vaibhav Mittal")</f>
        <v>Vaibhav Mittal</v>
      </c>
      <c r="G433" s="4" t="str">
        <f>IFERROR(__xludf.DUMMYFUNCTION("""COMPUTED_VALUE"""),"Cluster - Gaurav")</f>
        <v>Cluster - Gaurav</v>
      </c>
      <c r="H433" s="4" t="str">
        <f>IFERROR(__xludf.DUMMYFUNCTION("""COMPUTED_VALUE"""),"ONISDNCK7")</f>
        <v>ONISDNCK7</v>
      </c>
      <c r="I433" s="5">
        <f>IFERROR(__xludf.DUMMYFUNCTION("""COMPUTED_VALUE"""),6.0)</f>
        <v>6</v>
      </c>
      <c r="J433" s="4" t="str">
        <f>IFERROR(__xludf.DUMMYFUNCTION("""COMPUTED_VALUE"""),"Tier 4")</f>
        <v>Tier 4</v>
      </c>
      <c r="K433" s="4" t="str">
        <f>IFERROR(__xludf.DUMMYFUNCTION("""COMPUTED_VALUE"""),"Active")</f>
        <v>Active</v>
      </c>
      <c r="L433" s="4" t="str">
        <f>IFERROR(__xludf.DUMMYFUNCTION("""COMPUTED_VALUE"""),"BigQuery")</f>
        <v>BigQuery</v>
      </c>
    </row>
    <row r="434">
      <c r="A434" s="4" t="str">
        <f>IFERROR(__xludf.DUMMYFUNCTION("""COMPUTED_VALUE"""),"DME2325")</f>
        <v>DME2325</v>
      </c>
      <c r="B434" s="4" t="str">
        <f>IFERROR(__xludf.DUMMYFUNCTION("""COMPUTED_VALUE"""),"Chakiri Sai Krishna")</f>
        <v>Chakiri Sai Krishna</v>
      </c>
      <c r="C434" s="4" t="str">
        <f>IFERROR(__xludf.DUMMYFUNCTION("""COMPUTED_VALUE"""),"sai.chakiri@onixnet.com")</f>
        <v>sai.chakiri@onixnet.com</v>
      </c>
      <c r="D434" s="4" t="str">
        <f>IFERROR(__xludf.DUMMYFUNCTION("""COMPUTED_VALUE"""),"Active")</f>
        <v>Active</v>
      </c>
      <c r="E434" s="4" t="str">
        <f>IFERROR(__xludf.DUMMYFUNCTION("""COMPUTED_VALUE"""),"Delivery Services")</f>
        <v>Delivery Services</v>
      </c>
      <c r="F434" s="4" t="str">
        <f>IFERROR(__xludf.DUMMYFUNCTION("""COMPUTED_VALUE"""),"Upendra Rangisetti")</f>
        <v>Upendra Rangisetti</v>
      </c>
      <c r="G434" s="4" t="str">
        <f>IFERROR(__xludf.DUMMYFUNCTION("""COMPUTED_VALUE"""),"Cluster - Shreepad")</f>
        <v>Cluster - Shreepad</v>
      </c>
      <c r="H434" s="4" t="str">
        <f>IFERROR(__xludf.DUMMYFUNCTION("""COMPUTED_VALUE"""),"ONISCVEG8")</f>
        <v>ONISCVEG8</v>
      </c>
      <c r="I434" s="5">
        <f>IFERROR(__xludf.DUMMYFUNCTION("""COMPUTED_VALUE"""),13.0)</f>
        <v>13</v>
      </c>
      <c r="J434" s="4" t="str">
        <f>IFERROR(__xludf.DUMMYFUNCTION("""COMPUTED_VALUE"""),"Tier 4")</f>
        <v>Tier 4</v>
      </c>
      <c r="K434" s="4" t="str">
        <f>IFERROR(__xludf.DUMMYFUNCTION("""COMPUTED_VALUE"""),"Active")</f>
        <v>Active</v>
      </c>
      <c r="L434" s="4" t="str">
        <f>IFERROR(__xludf.DUMMYFUNCTION("""COMPUTED_VALUE"""),"Google Kubernetes Engine")</f>
        <v>Google Kubernetes Engine</v>
      </c>
    </row>
    <row r="435">
      <c r="A435" s="4" t="str">
        <f>IFERROR(__xludf.DUMMYFUNCTION("""COMPUTED_VALUE"""),"DME2327")</f>
        <v>DME2327</v>
      </c>
      <c r="B435" s="4" t="str">
        <f>IFERROR(__xludf.DUMMYFUNCTION("""COMPUTED_VALUE"""),"Pratidnya Kailas Gorade")</f>
        <v>Pratidnya Kailas Gorade</v>
      </c>
      <c r="C435" s="4" t="str">
        <f>IFERROR(__xludf.DUMMYFUNCTION("""COMPUTED_VALUE"""),"pratidnya.gorade@onixnet.com")</f>
        <v>pratidnya.gorade@onixnet.com</v>
      </c>
      <c r="D435" s="4" t="str">
        <f>IFERROR(__xludf.DUMMYFUNCTION("""COMPUTED_VALUE"""),"Active")</f>
        <v>Active</v>
      </c>
      <c r="E435" s="4" t="str">
        <f>IFERROR(__xludf.DUMMYFUNCTION("""COMPUTED_VALUE"""),"Delivery Services")</f>
        <v>Delivery Services</v>
      </c>
      <c r="F435" s="4" t="str">
        <f>IFERROR(__xludf.DUMMYFUNCTION("""COMPUTED_VALUE"""),"Hemanth Kolluru")</f>
        <v>Hemanth Kolluru</v>
      </c>
      <c r="G435" s="4" t="str">
        <f>IFERROR(__xludf.DUMMYFUNCTION("""COMPUTED_VALUE"""),"Cluster - Sachin")</f>
        <v>Cluster - Sachin</v>
      </c>
      <c r="H435" s="4" t="str">
        <f>IFERROR(__xludf.DUMMYFUNCTION("""COMPUTED_VALUE"""),"ONIPGEXJ7")</f>
        <v>ONIPGEXJ7</v>
      </c>
      <c r="I435" s="5">
        <f>IFERROR(__xludf.DUMMYFUNCTION("""COMPUTED_VALUE"""),37.0)</f>
        <v>37</v>
      </c>
      <c r="J435" s="4" t="str">
        <f>IFERROR(__xludf.DUMMYFUNCTION("""COMPUTED_VALUE"""),"Tier 2")</f>
        <v>Tier 2</v>
      </c>
      <c r="K435" s="4" t="str">
        <f>IFERROR(__xludf.DUMMYFUNCTION("""COMPUTED_VALUE"""),"Active")</f>
        <v>Active</v>
      </c>
      <c r="L435" s="4" t="str">
        <f>IFERROR(__xludf.DUMMYFUNCTION("""COMPUTED_VALUE"""),"BigQuery")</f>
        <v>BigQuery</v>
      </c>
    </row>
    <row r="436">
      <c r="A436" s="4" t="str">
        <f>IFERROR(__xludf.DUMMYFUNCTION("""COMPUTED_VALUE"""),"DME2328")</f>
        <v>DME2328</v>
      </c>
      <c r="B436" s="4" t="str">
        <f>IFERROR(__xludf.DUMMYFUNCTION("""COMPUTED_VALUE"""),"Shrutisree Maity")</f>
        <v>Shrutisree Maity</v>
      </c>
      <c r="C436" s="4" t="str">
        <f>IFERROR(__xludf.DUMMYFUNCTION("""COMPUTED_VALUE"""),"shrutisree.maity@onixnet.com")</f>
        <v>shrutisree.maity@onixnet.com</v>
      </c>
      <c r="D436" s="4" t="str">
        <f>IFERROR(__xludf.DUMMYFUNCTION("""COMPUTED_VALUE"""),"Active")</f>
        <v>Active</v>
      </c>
      <c r="E436" s="4" t="str">
        <f>IFERROR(__xludf.DUMMYFUNCTION("""COMPUTED_VALUE"""),"Delivery Services")</f>
        <v>Delivery Services</v>
      </c>
      <c r="F436" s="4" t="str">
        <f>IFERROR(__xludf.DUMMYFUNCTION("""COMPUTED_VALUE"""),"Upendra Rangisetti")</f>
        <v>Upendra Rangisetti</v>
      </c>
      <c r="G436" s="4" t="str">
        <f>IFERROR(__xludf.DUMMYFUNCTION("""COMPUTED_VALUE"""),"Cluster - Shreepad")</f>
        <v>Cluster - Shreepad</v>
      </c>
      <c r="H436" s="4" t="str">
        <f>IFERROR(__xludf.DUMMYFUNCTION("""COMPUTED_VALUE"""),"ONISMWHH3")</f>
        <v>ONISMWHH3</v>
      </c>
      <c r="I436" s="5">
        <f>IFERROR(__xludf.DUMMYFUNCTION("""COMPUTED_VALUE"""),10.0)</f>
        <v>10</v>
      </c>
      <c r="J436" s="4" t="str">
        <f>IFERROR(__xludf.DUMMYFUNCTION("""COMPUTED_VALUE"""),"Tier 4")</f>
        <v>Tier 4</v>
      </c>
      <c r="K436" s="4" t="str">
        <f>IFERROR(__xludf.DUMMYFUNCTION("""COMPUTED_VALUE"""),"Active")</f>
        <v>Active</v>
      </c>
      <c r="L436" s="4" t="str">
        <f>IFERROR(__xludf.DUMMYFUNCTION("""COMPUTED_VALUE"""),"Gemini Enterprise Agent Platform")</f>
        <v>Gemini Enterprise Agent Platform</v>
      </c>
    </row>
    <row r="437">
      <c r="A437" s="4" t="str">
        <f>IFERROR(__xludf.DUMMYFUNCTION("""COMPUTED_VALUE"""),"DME2330")</f>
        <v>DME2330</v>
      </c>
      <c r="B437" s="4" t="str">
        <f>IFERROR(__xludf.DUMMYFUNCTION("""COMPUTED_VALUE"""),"Shreepad Sitaram Dhok")</f>
        <v>Shreepad Sitaram Dhok</v>
      </c>
      <c r="C437" s="4" t="str">
        <f>IFERROR(__xludf.DUMMYFUNCTION("""COMPUTED_VALUE"""),"shreepad.dhok@onixnet.com")</f>
        <v>shreepad.dhok@onixnet.com</v>
      </c>
      <c r="D437" s="4" t="str">
        <f>IFERROR(__xludf.DUMMYFUNCTION("""COMPUTED_VALUE"""),"Active")</f>
        <v>Active</v>
      </c>
      <c r="E437" s="4" t="str">
        <f>IFERROR(__xludf.DUMMYFUNCTION("""COMPUTED_VALUE"""),"Delivery Services")</f>
        <v>Delivery Services</v>
      </c>
      <c r="F437" s="4" t="str">
        <f>IFERROR(__xludf.DUMMYFUNCTION("""COMPUTED_VALUE"""),"Gaurav Bharara")</f>
        <v>Gaurav Bharara</v>
      </c>
      <c r="G437" s="4" t="str">
        <f>IFERROR(__xludf.DUMMYFUNCTION("""COMPUTED_VALUE"""),"Cluster - Shreepad")</f>
        <v>Cluster - Shreepad</v>
      </c>
      <c r="H437" s="4" t="str">
        <f>IFERROR(__xludf.DUMMYFUNCTION("""COMPUTED_VALUE"""),"ONISDNDQ4")</f>
        <v>ONISDNDQ4</v>
      </c>
      <c r="I437" s="5">
        <f>IFERROR(__xludf.DUMMYFUNCTION("""COMPUTED_VALUE"""),22.0)</f>
        <v>22</v>
      </c>
      <c r="J437" s="4" t="str">
        <f>IFERROR(__xludf.DUMMYFUNCTION("""COMPUTED_VALUE"""),"Tier 3")</f>
        <v>Tier 3</v>
      </c>
      <c r="K437" s="4" t="str">
        <f>IFERROR(__xludf.DUMMYFUNCTION("""COMPUTED_VALUE"""),"Active")</f>
        <v>Active</v>
      </c>
      <c r="L437" s="4" t="str">
        <f>IFERROR(__xludf.DUMMYFUNCTION("""COMPUTED_VALUE"""),"BigQuery")</f>
        <v>BigQuery</v>
      </c>
    </row>
    <row r="438">
      <c r="A438" s="4" t="str">
        <f>IFERROR(__xludf.DUMMYFUNCTION("""COMPUTED_VALUE"""),"DME2335")</f>
        <v>DME2335</v>
      </c>
      <c r="B438" s="4" t="str">
        <f>IFERROR(__xludf.DUMMYFUNCTION("""COMPUTED_VALUE"""),"Ashwini Pralhad Parmale")</f>
        <v>Ashwini Pralhad Parmale</v>
      </c>
      <c r="C438" s="4" t="str">
        <f>IFERROR(__xludf.DUMMYFUNCTION("""COMPUTED_VALUE"""),"ashwini.parmale@onixnet.com")</f>
        <v>ashwini.parmale@onixnet.com</v>
      </c>
      <c r="D438" s="4" t="str">
        <f>IFERROR(__xludf.DUMMYFUNCTION("""COMPUTED_VALUE"""),"Active")</f>
        <v>Active</v>
      </c>
      <c r="E438" s="4" t="str">
        <f>IFERROR(__xludf.DUMMYFUNCTION("""COMPUTED_VALUE"""),"Delivery Services")</f>
        <v>Delivery Services</v>
      </c>
      <c r="F438" s="4" t="str">
        <f>IFERROR(__xludf.DUMMYFUNCTION("""COMPUTED_VALUE"""),"Jitender Singh")</f>
        <v>Jitender Singh</v>
      </c>
      <c r="G438" s="4" t="str">
        <f>IFERROR(__xludf.DUMMYFUNCTION("""COMPUTED_VALUE"""),"Cluster - Gaurav")</f>
        <v>Cluster - Gaurav</v>
      </c>
      <c r="H438" s="4" t="str">
        <f>IFERROR(__xludf.DUMMYFUNCTION("""COMPUTED_VALUE"""),"ONIAPWDX7")</f>
        <v>ONIAPWDX7</v>
      </c>
      <c r="I438" s="5">
        <f>IFERROR(__xludf.DUMMYFUNCTION("""COMPUTED_VALUE"""),12.0)</f>
        <v>12</v>
      </c>
      <c r="J438" s="4" t="str">
        <f>IFERROR(__xludf.DUMMYFUNCTION("""COMPUTED_VALUE"""),"Tier 4")</f>
        <v>Tier 4</v>
      </c>
      <c r="K438" s="4" t="str">
        <f>IFERROR(__xludf.DUMMYFUNCTION("""COMPUTED_VALUE"""),"Active")</f>
        <v>Active</v>
      </c>
      <c r="L438" s="4" t="str">
        <f>IFERROR(__xludf.DUMMYFUNCTION("""COMPUTED_VALUE"""),"BigQuery")</f>
        <v>BigQuery</v>
      </c>
    </row>
    <row r="439">
      <c r="A439" s="4" t="str">
        <f>IFERROR(__xludf.DUMMYFUNCTION("""COMPUTED_VALUE"""),"DME2336")</f>
        <v>DME2336</v>
      </c>
      <c r="B439" s="4" t="str">
        <f>IFERROR(__xludf.DUMMYFUNCTION("""COMPUTED_VALUE"""),"Veeragouni Sai Kiran")</f>
        <v>Veeragouni Sai Kiran</v>
      </c>
      <c r="C439" s="4" t="str">
        <f>IFERROR(__xludf.DUMMYFUNCTION("""COMPUTED_VALUE"""),"sai.veeragouni@onixnet.com")</f>
        <v>sai.veeragouni@onixnet.com</v>
      </c>
      <c r="D439" s="4" t="str">
        <f>IFERROR(__xludf.DUMMYFUNCTION("""COMPUTED_VALUE"""),"Active")</f>
        <v>Active</v>
      </c>
      <c r="E439" s="4" t="str">
        <f>IFERROR(__xludf.DUMMYFUNCTION("""COMPUTED_VALUE"""),"Delivery Services")</f>
        <v>Delivery Services</v>
      </c>
      <c r="F439" s="4" t="str">
        <f>IFERROR(__xludf.DUMMYFUNCTION("""COMPUTED_VALUE"""),"Kamal Amrutham")</f>
        <v>Kamal Amrutham</v>
      </c>
      <c r="G439" s="4" t="str">
        <f>IFERROR(__xludf.DUMMYFUNCTION("""COMPUTED_VALUE"""),"Cluster - Shreepad")</f>
        <v>Cluster - Shreepad</v>
      </c>
      <c r="H439" s="4" t="str">
        <f>IFERROR(__xludf.DUMMYFUNCTION("""COMPUTED_VALUE"""),"ONISVLFB5")</f>
        <v>ONISVLFB5</v>
      </c>
      <c r="I439" s="5">
        <f>IFERROR(__xludf.DUMMYFUNCTION("""COMPUTED_VALUE"""),15.0)</f>
        <v>15</v>
      </c>
      <c r="J439" s="4" t="str">
        <f>IFERROR(__xludf.DUMMYFUNCTION("""COMPUTED_VALUE"""),"Tier 4")</f>
        <v>Tier 4</v>
      </c>
      <c r="K439" s="4" t="str">
        <f>IFERROR(__xludf.DUMMYFUNCTION("""COMPUTED_VALUE"""),"Active")</f>
        <v>Active</v>
      </c>
      <c r="L439" s="4" t="str">
        <f>IFERROR(__xludf.DUMMYFUNCTION("""COMPUTED_VALUE"""),"BigQuery")</f>
        <v>BigQuery</v>
      </c>
    </row>
    <row r="440">
      <c r="A440" s="4" t="str">
        <f>IFERROR(__xludf.DUMMYFUNCTION("""COMPUTED_VALUE"""),"DME2338")</f>
        <v>DME2338</v>
      </c>
      <c r="B440" s="4" t="str">
        <f>IFERROR(__xludf.DUMMYFUNCTION("""COMPUTED_VALUE"""),"Mugdha Harshavardhan Gokhale")</f>
        <v>Mugdha Harshavardhan Gokhale</v>
      </c>
      <c r="C440" s="4" t="str">
        <f>IFERROR(__xludf.DUMMYFUNCTION("""COMPUTED_VALUE"""),"mugdha.gokhale@onixnet.com")</f>
        <v>mugdha.gokhale@onixnet.com</v>
      </c>
      <c r="D440" s="4" t="str">
        <f>IFERROR(__xludf.DUMMYFUNCTION("""COMPUTED_VALUE"""),"Active")</f>
        <v>Active</v>
      </c>
      <c r="E440" s="4" t="str">
        <f>IFERROR(__xludf.DUMMYFUNCTION("""COMPUTED_VALUE"""),"Product Engineering")</f>
        <v>Product Engineering</v>
      </c>
      <c r="F440" s="4" t="str">
        <f>IFERROR(__xludf.DUMMYFUNCTION("""COMPUTED_VALUE"""),"Anurag Saxena")</f>
        <v>Anurag Saxena</v>
      </c>
      <c r="G440" s="4" t="str">
        <f>IFERROR(__xludf.DUMMYFUNCTION("""COMPUTED_VALUE"""),"Cluster - Mayur")</f>
        <v>Cluster - Mayur</v>
      </c>
      <c r="H440" s="4"/>
      <c r="I440" s="5"/>
      <c r="J440" s="4"/>
      <c r="K440" s="4" t="str">
        <f>IFERROR(__xludf.DUMMYFUNCTION("""COMPUTED_VALUE"""),"ID Not Created")</f>
        <v>ID Not Created</v>
      </c>
      <c r="L440" s="4"/>
    </row>
    <row r="441">
      <c r="A441" s="4" t="str">
        <f>IFERROR(__xludf.DUMMYFUNCTION("""COMPUTED_VALUE"""),"DME2339")</f>
        <v>DME2339</v>
      </c>
      <c r="B441" s="4" t="str">
        <f>IFERROR(__xludf.DUMMYFUNCTION("""COMPUTED_VALUE"""),"Gogineni Ravi Chandra")</f>
        <v>Gogineni Ravi Chandra</v>
      </c>
      <c r="C441" s="4" t="str">
        <f>IFERROR(__xludf.DUMMYFUNCTION("""COMPUTED_VALUE"""),"ravi.gogineni@onixnet.com")</f>
        <v>ravi.gogineni@onixnet.com</v>
      </c>
      <c r="D441" s="4" t="str">
        <f>IFERROR(__xludf.DUMMYFUNCTION("""COMPUTED_VALUE"""),"Active")</f>
        <v>Active</v>
      </c>
      <c r="E441" s="4" t="str">
        <f>IFERROR(__xludf.DUMMYFUNCTION("""COMPUTED_VALUE"""),"Delivery Services")</f>
        <v>Delivery Services</v>
      </c>
      <c r="F441" s="4" t="str">
        <f>IFERROR(__xludf.DUMMYFUNCTION("""COMPUTED_VALUE"""),"Haroon Azeem")</f>
        <v>Haroon Azeem</v>
      </c>
      <c r="G441" s="4" t="str">
        <f>IFERROR(__xludf.DUMMYFUNCTION("""COMPUTED_VALUE"""),"Cluster - Shreepad")</f>
        <v>Cluster - Shreepad</v>
      </c>
      <c r="H441" s="4" t="str">
        <f>IFERROR(__xludf.DUMMYFUNCTION("""COMPUTED_VALUE"""),"ONIRGKKP3")</f>
        <v>ONIRGKKP3</v>
      </c>
      <c r="I441" s="5">
        <f>IFERROR(__xludf.DUMMYFUNCTION("""COMPUTED_VALUE"""),18.0)</f>
        <v>18</v>
      </c>
      <c r="J441" s="4" t="str">
        <f>IFERROR(__xludf.DUMMYFUNCTION("""COMPUTED_VALUE"""),"Tier 4")</f>
        <v>Tier 4</v>
      </c>
      <c r="K441" s="4" t="str">
        <f>IFERROR(__xludf.DUMMYFUNCTION("""COMPUTED_VALUE"""),"Active")</f>
        <v>Active</v>
      </c>
      <c r="L441" s="4" t="str">
        <f>IFERROR(__xludf.DUMMYFUNCTION("""COMPUTED_VALUE"""),"BigQuery")</f>
        <v>BigQuery</v>
      </c>
    </row>
    <row r="442">
      <c r="A442" s="4" t="str">
        <f>IFERROR(__xludf.DUMMYFUNCTION("""COMPUTED_VALUE"""),"DME2342")</f>
        <v>DME2342</v>
      </c>
      <c r="B442" s="4" t="str">
        <f>IFERROR(__xludf.DUMMYFUNCTION("""COMPUTED_VALUE"""),"Nagururu Lavanya")</f>
        <v>Nagururu Lavanya</v>
      </c>
      <c r="C442" s="4" t="str">
        <f>IFERROR(__xludf.DUMMYFUNCTION("""COMPUTED_VALUE"""),"lavanya.nagururu@onixnet.com")</f>
        <v>lavanya.nagururu@onixnet.com</v>
      </c>
      <c r="D442" s="4" t="str">
        <f>IFERROR(__xludf.DUMMYFUNCTION("""COMPUTED_VALUE"""),"Active")</f>
        <v>Active</v>
      </c>
      <c r="E442" s="4" t="str">
        <f>IFERROR(__xludf.DUMMYFUNCTION("""COMPUTED_VALUE"""),"Delivery Services")</f>
        <v>Delivery Services</v>
      </c>
      <c r="F442" s="4" t="str">
        <f>IFERROR(__xludf.DUMMYFUNCTION("""COMPUTED_VALUE"""),"Sneha Bhatambrekar")</f>
        <v>Sneha Bhatambrekar</v>
      </c>
      <c r="G442" s="4" t="str">
        <f>IFERROR(__xludf.DUMMYFUNCTION("""COMPUTED_VALUE"""),"Cluster - Sandeep")</f>
        <v>Cluster - Sandeep</v>
      </c>
      <c r="H442" s="4" t="str">
        <f>IFERROR(__xludf.DUMMYFUNCTION("""COMPUTED_VALUE"""),"ONILNYXF4")</f>
        <v>ONILNYXF4</v>
      </c>
      <c r="I442" s="5">
        <f>IFERROR(__xludf.DUMMYFUNCTION("""COMPUTED_VALUE"""),12.0)</f>
        <v>12</v>
      </c>
      <c r="J442" s="4" t="str">
        <f>IFERROR(__xludf.DUMMYFUNCTION("""COMPUTED_VALUE"""),"Tier 4")</f>
        <v>Tier 4</v>
      </c>
      <c r="K442" s="4" t="str">
        <f>IFERROR(__xludf.DUMMYFUNCTION("""COMPUTED_VALUE"""),"Active")</f>
        <v>Active</v>
      </c>
      <c r="L442" s="4" t="str">
        <f>IFERROR(__xludf.DUMMYFUNCTION("""COMPUTED_VALUE"""),"BigQuery")</f>
        <v>BigQuery</v>
      </c>
    </row>
    <row r="443">
      <c r="A443" s="4" t="str">
        <f>IFERROR(__xludf.DUMMYFUNCTION("""COMPUTED_VALUE"""),"DME2347")</f>
        <v>DME2347</v>
      </c>
      <c r="B443" s="4" t="str">
        <f>IFERROR(__xludf.DUMMYFUNCTION("""COMPUTED_VALUE"""),"Pentareddy Swapna Rani")</f>
        <v>Pentareddy Swapna Rani</v>
      </c>
      <c r="C443" s="4" t="str">
        <f>IFERROR(__xludf.DUMMYFUNCTION("""COMPUTED_VALUE"""),"swapna.p@onixnet.com")</f>
        <v>swapna.p@onixnet.com</v>
      </c>
      <c r="D443" s="4" t="str">
        <f>IFERROR(__xludf.DUMMYFUNCTION("""COMPUTED_VALUE"""),"Active")</f>
        <v>Active</v>
      </c>
      <c r="E443" s="4" t="str">
        <f>IFERROR(__xludf.DUMMYFUNCTION("""COMPUTED_VALUE"""),"Delivery Services")</f>
        <v>Delivery Services</v>
      </c>
      <c r="F443" s="4" t="str">
        <f>IFERROR(__xludf.DUMMYFUNCTION("""COMPUTED_VALUE"""),"Sneha Bhatambrekar")</f>
        <v>Sneha Bhatambrekar</v>
      </c>
      <c r="G443" s="4" t="str">
        <f>IFERROR(__xludf.DUMMYFUNCTION("""COMPUTED_VALUE"""),"Cluster - Sandeep")</f>
        <v>Cluster - Sandeep</v>
      </c>
      <c r="H443" s="4" t="str">
        <f>IFERROR(__xludf.DUMMYFUNCTION("""COMPUTED_VALUE"""),"ONISPFJX7")</f>
        <v>ONISPFJX7</v>
      </c>
      <c r="I443" s="5">
        <f>IFERROR(__xludf.DUMMYFUNCTION("""COMPUTED_VALUE"""),8.0)</f>
        <v>8</v>
      </c>
      <c r="J443" s="4" t="str">
        <f>IFERROR(__xludf.DUMMYFUNCTION("""COMPUTED_VALUE"""),"Tier 4")</f>
        <v>Tier 4</v>
      </c>
      <c r="K443" s="4" t="str">
        <f>IFERROR(__xludf.DUMMYFUNCTION("""COMPUTED_VALUE"""),"Active")</f>
        <v>Active</v>
      </c>
      <c r="L443" s="4" t="str">
        <f>IFERROR(__xludf.DUMMYFUNCTION("""COMPUTED_VALUE"""),"BigQuery")</f>
        <v>BigQuery</v>
      </c>
    </row>
    <row r="444">
      <c r="A444" s="4" t="str">
        <f>IFERROR(__xludf.DUMMYFUNCTION("""COMPUTED_VALUE"""),"DME2348")</f>
        <v>DME2348</v>
      </c>
      <c r="B444" s="4" t="str">
        <f>IFERROR(__xludf.DUMMYFUNCTION("""COMPUTED_VALUE"""),"Rushikesh Sopan Jagatap")</f>
        <v>Rushikesh Sopan Jagatap</v>
      </c>
      <c r="C444" s="4" t="str">
        <f>IFERROR(__xludf.DUMMYFUNCTION("""COMPUTED_VALUE"""),"rushikesh.j@onixnet.com")</f>
        <v>rushikesh.j@onixnet.com</v>
      </c>
      <c r="D444" s="4" t="str">
        <f>IFERROR(__xludf.DUMMYFUNCTION("""COMPUTED_VALUE"""),"Active")</f>
        <v>Active</v>
      </c>
      <c r="E444" s="4" t="str">
        <f>IFERROR(__xludf.DUMMYFUNCTION("""COMPUTED_VALUE"""),"Delivery Services")</f>
        <v>Delivery Services</v>
      </c>
      <c r="F444" s="4" t="str">
        <f>IFERROR(__xludf.DUMMYFUNCTION("""COMPUTED_VALUE"""),"Ashwini Kumar")</f>
        <v>Ashwini Kumar</v>
      </c>
      <c r="G444" s="4" t="str">
        <f>IFERROR(__xludf.DUMMYFUNCTION("""COMPUTED_VALUE"""),"Cluster - Kanhaiya")</f>
        <v>Cluster - Kanhaiya</v>
      </c>
      <c r="H444" s="4" t="str">
        <f>IFERROR(__xludf.DUMMYFUNCTION("""COMPUTED_VALUE"""),"ONIRJUKM7")</f>
        <v>ONIRJUKM7</v>
      </c>
      <c r="I444" s="5">
        <f>IFERROR(__xludf.DUMMYFUNCTION("""COMPUTED_VALUE"""),5.0)</f>
        <v>5</v>
      </c>
      <c r="J444" s="4" t="str">
        <f>IFERROR(__xludf.DUMMYFUNCTION("""COMPUTED_VALUE"""),"Tier 4")</f>
        <v>Tier 4</v>
      </c>
      <c r="K444" s="4" t="str">
        <f>IFERROR(__xludf.DUMMYFUNCTION("""COMPUTED_VALUE"""),"Active")</f>
        <v>Active</v>
      </c>
      <c r="L444" s="4" t="str">
        <f>IFERROR(__xludf.DUMMYFUNCTION("""COMPUTED_VALUE"""),"Gemini Enterprise Agent Platform")</f>
        <v>Gemini Enterprise Agent Platform</v>
      </c>
    </row>
    <row r="445">
      <c r="A445" s="4" t="str">
        <f>IFERROR(__xludf.DUMMYFUNCTION("""COMPUTED_VALUE"""),"DME2349")</f>
        <v>DME2349</v>
      </c>
      <c r="B445" s="4" t="str">
        <f>IFERROR(__xludf.DUMMYFUNCTION("""COMPUTED_VALUE"""),"Khan Bassam Razi Ghulam Murtuza Khan")</f>
        <v>Khan Bassam Razi Ghulam Murtuza Khan</v>
      </c>
      <c r="C445" s="4" t="str">
        <f>IFERROR(__xludf.DUMMYFUNCTION("""COMPUTED_VALUE"""),"bassam.khan@onixnet.com")</f>
        <v>bassam.khan@onixnet.com</v>
      </c>
      <c r="D445" s="4" t="str">
        <f>IFERROR(__xludf.DUMMYFUNCTION("""COMPUTED_VALUE"""),"Active")</f>
        <v>Active</v>
      </c>
      <c r="E445" s="4" t="str">
        <f>IFERROR(__xludf.DUMMYFUNCTION("""COMPUTED_VALUE"""),"Delivery Services")</f>
        <v>Delivery Services</v>
      </c>
      <c r="F445" s="4" t="str">
        <f>IFERROR(__xludf.DUMMYFUNCTION("""COMPUTED_VALUE"""),"Pooja Chawda")</f>
        <v>Pooja Chawda</v>
      </c>
      <c r="G445" s="4" t="str">
        <f>IFERROR(__xludf.DUMMYFUNCTION("""COMPUTED_VALUE"""),"Cluster - Sandeep")</f>
        <v>Cluster - Sandeep</v>
      </c>
      <c r="H445" s="4" t="str">
        <f>IFERROR(__xludf.DUMMYFUNCTION("""COMPUTED_VALUE"""),"ONIBKDXV4")</f>
        <v>ONIBKDXV4</v>
      </c>
      <c r="I445" s="5">
        <f>IFERROR(__xludf.DUMMYFUNCTION("""COMPUTED_VALUE"""),19.0)</f>
        <v>19</v>
      </c>
      <c r="J445" s="4" t="str">
        <f>IFERROR(__xludf.DUMMYFUNCTION("""COMPUTED_VALUE"""),"Tier 4")</f>
        <v>Tier 4</v>
      </c>
      <c r="K445" s="4" t="str">
        <f>IFERROR(__xludf.DUMMYFUNCTION("""COMPUTED_VALUE"""),"Active")</f>
        <v>Active</v>
      </c>
      <c r="L445" s="4" t="str">
        <f>IFERROR(__xludf.DUMMYFUNCTION("""COMPUTED_VALUE"""),"AI Applications")</f>
        <v>AI Applications</v>
      </c>
    </row>
    <row r="446">
      <c r="A446" s="4" t="str">
        <f>IFERROR(__xludf.DUMMYFUNCTION("""COMPUTED_VALUE"""),"DME2350")</f>
        <v>DME2350</v>
      </c>
      <c r="B446" s="4" t="str">
        <f>IFERROR(__xludf.DUMMYFUNCTION("""COMPUTED_VALUE"""),"Anuradha Prabhakar Patil")</f>
        <v>Anuradha Prabhakar Patil</v>
      </c>
      <c r="C446" s="4" t="str">
        <f>IFERROR(__xludf.DUMMYFUNCTION("""COMPUTED_VALUE"""),"anuradha.patil@onixnet.com")</f>
        <v>anuradha.patil@onixnet.com</v>
      </c>
      <c r="D446" s="4" t="str">
        <f>IFERROR(__xludf.DUMMYFUNCTION("""COMPUTED_VALUE"""),"Active")</f>
        <v>Active</v>
      </c>
      <c r="E446" s="4" t="str">
        <f>IFERROR(__xludf.DUMMYFUNCTION("""COMPUTED_VALUE"""),"Delivery Services")</f>
        <v>Delivery Services</v>
      </c>
      <c r="F446" s="4" t="str">
        <f>IFERROR(__xludf.DUMMYFUNCTION("""COMPUTED_VALUE"""),"Jitender Singh")</f>
        <v>Jitender Singh</v>
      </c>
      <c r="G446" s="4" t="str">
        <f>IFERROR(__xludf.DUMMYFUNCTION("""COMPUTED_VALUE"""),"Cluster - Gaurav")</f>
        <v>Cluster - Gaurav</v>
      </c>
      <c r="H446" s="4"/>
      <c r="I446" s="5"/>
      <c r="J446" s="4"/>
      <c r="K446" s="4" t="str">
        <f>IFERROR(__xludf.DUMMYFUNCTION("""COMPUTED_VALUE"""),"ID Not Created")</f>
        <v>ID Not Created</v>
      </c>
      <c r="L446" s="4"/>
    </row>
    <row r="447">
      <c r="A447" s="4" t="str">
        <f>IFERROR(__xludf.DUMMYFUNCTION("""COMPUTED_VALUE"""),"DME2351")</f>
        <v>DME2351</v>
      </c>
      <c r="B447" s="4" t="str">
        <f>IFERROR(__xludf.DUMMYFUNCTION("""COMPUTED_VALUE"""),"Swapnil Dashrath Salunke")</f>
        <v>Swapnil Dashrath Salunke</v>
      </c>
      <c r="C447" s="4" t="str">
        <f>IFERROR(__xludf.DUMMYFUNCTION("""COMPUTED_VALUE"""),"swapnil.salunke@onixnet.com")</f>
        <v>swapnil.salunke@onixnet.com</v>
      </c>
      <c r="D447" s="4" t="str">
        <f>IFERROR(__xludf.DUMMYFUNCTION("""COMPUTED_VALUE"""),"Active")</f>
        <v>Active</v>
      </c>
      <c r="E447" s="4" t="str">
        <f>IFERROR(__xludf.DUMMYFUNCTION("""COMPUTED_VALUE"""),"Eagle Assessment")</f>
        <v>Eagle Assessment</v>
      </c>
      <c r="F447" s="4" t="str">
        <f>IFERROR(__xludf.DUMMYFUNCTION("""COMPUTED_VALUE"""),"Ashish Taman")</f>
        <v>Ashish Taman</v>
      </c>
      <c r="G447" s="4" t="str">
        <f>IFERROR(__xludf.DUMMYFUNCTION("""COMPUTED_VALUE"""),"Cluster - Kalpa")</f>
        <v>Cluster - Kalpa</v>
      </c>
      <c r="H447" s="4" t="str">
        <f>IFERROR(__xludf.DUMMYFUNCTION("""COMPUTED_VALUE"""),"ONISSJUN7")</f>
        <v>ONISSJUN7</v>
      </c>
      <c r="I447" s="5">
        <f>IFERROR(__xludf.DUMMYFUNCTION("""COMPUTED_VALUE"""),0.0)</f>
        <v>0</v>
      </c>
      <c r="J447" s="4" t="str">
        <f>IFERROR(__xludf.DUMMYFUNCTION("""COMPUTED_VALUE"""),"Tier 4")</f>
        <v>Tier 4</v>
      </c>
      <c r="K447" s="4" t="str">
        <f>IFERROR(__xludf.DUMMYFUNCTION("""COMPUTED_VALUE"""),"ID Created DRP score 0")</f>
        <v>ID Created DRP score 0</v>
      </c>
      <c r="L447" s="4"/>
    </row>
    <row r="448">
      <c r="A448" s="4" t="str">
        <f>IFERROR(__xludf.DUMMYFUNCTION("""COMPUTED_VALUE"""),"DME2361")</f>
        <v>DME2361</v>
      </c>
      <c r="B448" s="4" t="str">
        <f>IFERROR(__xludf.DUMMYFUNCTION("""COMPUTED_VALUE"""),"Neelankshi Singh")</f>
        <v>Neelankshi Singh</v>
      </c>
      <c r="C448" s="4" t="str">
        <f>IFERROR(__xludf.DUMMYFUNCTION("""COMPUTED_VALUE"""),"neelankshi.singh@onixnet.com")</f>
        <v>neelankshi.singh@onixnet.com</v>
      </c>
      <c r="D448" s="4" t="str">
        <f>IFERROR(__xludf.DUMMYFUNCTION("""COMPUTED_VALUE"""),"Active")</f>
        <v>Active</v>
      </c>
      <c r="E448" s="4" t="str">
        <f>IFERROR(__xludf.DUMMYFUNCTION("""COMPUTED_VALUE"""),"Delivery Services")</f>
        <v>Delivery Services</v>
      </c>
      <c r="F448" s="4" t="str">
        <f>IFERROR(__xludf.DUMMYFUNCTION("""COMPUTED_VALUE"""),"Ashwini Kumar")</f>
        <v>Ashwini Kumar</v>
      </c>
      <c r="G448" s="4" t="str">
        <f>IFERROR(__xludf.DUMMYFUNCTION("""COMPUTED_VALUE"""),"Cluster - Kanhaiya")</f>
        <v>Cluster - Kanhaiya</v>
      </c>
      <c r="H448" s="4" t="str">
        <f>IFERROR(__xludf.DUMMYFUNCTION("""COMPUTED_VALUE"""),"ONINSOOY9")</f>
        <v>ONINSOOY9</v>
      </c>
      <c r="I448" s="5">
        <f>IFERROR(__xludf.DUMMYFUNCTION("""COMPUTED_VALUE"""),5.0)</f>
        <v>5</v>
      </c>
      <c r="J448" s="4" t="str">
        <f>IFERROR(__xludf.DUMMYFUNCTION("""COMPUTED_VALUE"""),"Tier 4")</f>
        <v>Tier 4</v>
      </c>
      <c r="K448" s="4" t="str">
        <f>IFERROR(__xludf.DUMMYFUNCTION("""COMPUTED_VALUE"""),"Active")</f>
        <v>Active</v>
      </c>
      <c r="L448" s="4" t="str">
        <f>IFERROR(__xludf.DUMMYFUNCTION("""COMPUTED_VALUE"""),"Dataflow")</f>
        <v>Dataflow</v>
      </c>
    </row>
    <row r="449">
      <c r="A449" s="4" t="str">
        <f>IFERROR(__xludf.DUMMYFUNCTION("""COMPUTED_VALUE"""),"DME2363")</f>
        <v>DME2363</v>
      </c>
      <c r="B449" s="4" t="str">
        <f>IFERROR(__xludf.DUMMYFUNCTION("""COMPUTED_VALUE"""),"Ramdas Thakare")</f>
        <v>Ramdas Thakare</v>
      </c>
      <c r="C449" s="4" t="str">
        <f>IFERROR(__xludf.DUMMYFUNCTION("""COMPUTED_VALUE"""),"Ramdas.Thakare@onixnet.com")</f>
        <v>Ramdas.Thakare@onixnet.com</v>
      </c>
      <c r="D449" s="4" t="str">
        <f>IFERROR(__xludf.DUMMYFUNCTION("""COMPUTED_VALUE"""),"Active")</f>
        <v>Active</v>
      </c>
      <c r="E449" s="4" t="str">
        <f>IFERROR(__xludf.DUMMYFUNCTION("""COMPUTED_VALUE"""),"Delivery Services")</f>
        <v>Delivery Services</v>
      </c>
      <c r="F449" s="4" t="str">
        <f>IFERROR(__xludf.DUMMYFUNCTION("""COMPUTED_VALUE"""),"Venkatavivekananda Sala")</f>
        <v>Venkatavivekananda Sala</v>
      </c>
      <c r="G449" s="4" t="str">
        <f>IFERROR(__xludf.DUMMYFUNCTION("""COMPUTED_VALUE"""),"Cluster - Sachin")</f>
        <v>Cluster - Sachin</v>
      </c>
      <c r="H449" s="4" t="str">
        <f>IFERROR(__xludf.DUMMYFUNCTION("""COMPUTED_VALUE"""),"ONIRTGWC7")</f>
        <v>ONIRTGWC7</v>
      </c>
      <c r="I449" s="5">
        <f>IFERROR(__xludf.DUMMYFUNCTION("""COMPUTED_VALUE"""),49.0)</f>
        <v>49</v>
      </c>
      <c r="J449" s="4" t="str">
        <f>IFERROR(__xludf.DUMMYFUNCTION("""COMPUTED_VALUE"""),"Tier 2")</f>
        <v>Tier 2</v>
      </c>
      <c r="K449" s="4" t="str">
        <f>IFERROR(__xludf.DUMMYFUNCTION("""COMPUTED_VALUE"""),"Active")</f>
        <v>Active</v>
      </c>
      <c r="L449" s="4" t="str">
        <f>IFERROR(__xludf.DUMMYFUNCTION("""COMPUTED_VALUE"""),"BigQuery")</f>
        <v>BigQuery</v>
      </c>
    </row>
    <row r="450">
      <c r="A450" s="4" t="str">
        <f>IFERROR(__xludf.DUMMYFUNCTION("""COMPUTED_VALUE"""),"DME2364")</f>
        <v>DME2364</v>
      </c>
      <c r="B450" s="4" t="str">
        <f>IFERROR(__xludf.DUMMYFUNCTION("""COMPUTED_VALUE"""),"Ishvar Patil")</f>
        <v>Ishvar Patil</v>
      </c>
      <c r="C450" s="4" t="str">
        <f>IFERROR(__xludf.DUMMYFUNCTION("""COMPUTED_VALUE"""),"Ishvar.Patil@onixnet.com")</f>
        <v>Ishvar.Patil@onixnet.com</v>
      </c>
      <c r="D450" s="4" t="str">
        <f>IFERROR(__xludf.DUMMYFUNCTION("""COMPUTED_VALUE"""),"Active")</f>
        <v>Active</v>
      </c>
      <c r="E450" s="4" t="str">
        <f>IFERROR(__xludf.DUMMYFUNCTION("""COMPUTED_VALUE"""),"Delivery Services")</f>
        <v>Delivery Services</v>
      </c>
      <c r="F450" s="4" t="str">
        <f>IFERROR(__xludf.DUMMYFUNCTION("""COMPUTED_VALUE"""),"Ramakant Vikram Divate")</f>
        <v>Ramakant Vikram Divate</v>
      </c>
      <c r="G450" s="4" t="str">
        <f>IFERROR(__xludf.DUMMYFUNCTION("""COMPUTED_VALUE"""),"Cluster - Gaurav")</f>
        <v>Cluster - Gaurav</v>
      </c>
      <c r="H450" s="4" t="str">
        <f>IFERROR(__xludf.DUMMYFUNCTION("""COMPUTED_VALUE"""),"ONIIPVOX2")</f>
        <v>ONIIPVOX2</v>
      </c>
      <c r="I450" s="5">
        <f>IFERROR(__xludf.DUMMYFUNCTION("""COMPUTED_VALUE"""),5.0)</f>
        <v>5</v>
      </c>
      <c r="J450" s="4" t="str">
        <f>IFERROR(__xludf.DUMMYFUNCTION("""COMPUTED_VALUE"""),"Tier 4")</f>
        <v>Tier 4</v>
      </c>
      <c r="K450" s="4" t="str">
        <f>IFERROR(__xludf.DUMMYFUNCTION("""COMPUTED_VALUE"""),"Active")</f>
        <v>Active</v>
      </c>
      <c r="L450" s="4" t="str">
        <f>IFERROR(__xludf.DUMMYFUNCTION("""COMPUTED_VALUE"""),"Google Kubernetes Engine")</f>
        <v>Google Kubernetes Engine</v>
      </c>
    </row>
    <row r="451">
      <c r="A451" s="4" t="str">
        <f>IFERROR(__xludf.DUMMYFUNCTION("""COMPUTED_VALUE"""),"DME2365")</f>
        <v>DME2365</v>
      </c>
      <c r="B451" s="4" t="str">
        <f>IFERROR(__xludf.DUMMYFUNCTION("""COMPUTED_VALUE"""),"Vishal Pawar")</f>
        <v>Vishal Pawar</v>
      </c>
      <c r="C451" s="4" t="str">
        <f>IFERROR(__xludf.DUMMYFUNCTION("""COMPUTED_VALUE"""),"Vishal.Pawar@onixnet.com")</f>
        <v>Vishal.Pawar@onixnet.com</v>
      </c>
      <c r="D451" s="4" t="str">
        <f>IFERROR(__xludf.DUMMYFUNCTION("""COMPUTED_VALUE"""),"Active")</f>
        <v>Active</v>
      </c>
      <c r="E451" s="4" t="str">
        <f>IFERROR(__xludf.DUMMYFUNCTION("""COMPUTED_VALUE"""),"Delivery Services")</f>
        <v>Delivery Services</v>
      </c>
      <c r="F451" s="4" t="str">
        <f>IFERROR(__xludf.DUMMYFUNCTION("""COMPUTED_VALUE"""),"Manish Ahlawat")</f>
        <v>Manish Ahlawat</v>
      </c>
      <c r="G451" s="4" t="str">
        <f>IFERROR(__xludf.DUMMYFUNCTION("""COMPUTED_VALUE"""),"Cluster - Gaurav")</f>
        <v>Cluster - Gaurav</v>
      </c>
      <c r="H451" s="4" t="str">
        <f>IFERROR(__xludf.DUMMYFUNCTION("""COMPUTED_VALUE"""),"ONIVPKDV0")</f>
        <v>ONIVPKDV0</v>
      </c>
      <c r="I451" s="5">
        <f>IFERROR(__xludf.DUMMYFUNCTION("""COMPUTED_VALUE"""),13.0)</f>
        <v>13</v>
      </c>
      <c r="J451" s="4" t="str">
        <f>IFERROR(__xludf.DUMMYFUNCTION("""COMPUTED_VALUE"""),"Tier 4")</f>
        <v>Tier 4</v>
      </c>
      <c r="K451" s="4" t="str">
        <f>IFERROR(__xludf.DUMMYFUNCTION("""COMPUTED_VALUE"""),"Active")</f>
        <v>Active</v>
      </c>
      <c r="L451" s="4" t="str">
        <f>IFERROR(__xludf.DUMMYFUNCTION("""COMPUTED_VALUE"""),"BigQuery")</f>
        <v>BigQuery</v>
      </c>
    </row>
    <row r="452">
      <c r="A452" s="4" t="str">
        <f>IFERROR(__xludf.DUMMYFUNCTION("""COMPUTED_VALUE"""),"DME2368")</f>
        <v>DME2368</v>
      </c>
      <c r="B452" s="4" t="str">
        <f>IFERROR(__xludf.DUMMYFUNCTION("""COMPUTED_VALUE"""),"Pratik Sunil Pawashe")</f>
        <v>Pratik Sunil Pawashe</v>
      </c>
      <c r="C452" s="4" t="str">
        <f>IFERROR(__xludf.DUMMYFUNCTION("""COMPUTED_VALUE"""),"Pratik.Pawashe@onixnet.com")</f>
        <v>Pratik.Pawashe@onixnet.com</v>
      </c>
      <c r="D452" s="4" t="str">
        <f>IFERROR(__xludf.DUMMYFUNCTION("""COMPUTED_VALUE"""),"Active")</f>
        <v>Active</v>
      </c>
      <c r="E452" s="4" t="str">
        <f>IFERROR(__xludf.DUMMYFUNCTION("""COMPUTED_VALUE"""),"Delivery Services")</f>
        <v>Delivery Services</v>
      </c>
      <c r="F452" s="4" t="str">
        <f>IFERROR(__xludf.DUMMYFUNCTION("""COMPUTED_VALUE"""),"Sunny Mathur")</f>
        <v>Sunny Mathur</v>
      </c>
      <c r="G452" s="4" t="str">
        <f>IFERROR(__xludf.DUMMYFUNCTION("""COMPUTED_VALUE"""),"Cluster - Sagar")</f>
        <v>Cluster - Sagar</v>
      </c>
      <c r="H452" s="4" t="str">
        <f>IFERROR(__xludf.DUMMYFUNCTION("""COMPUTED_VALUE"""),"ONIPPIHT5")</f>
        <v>ONIPPIHT5</v>
      </c>
      <c r="I452" s="5">
        <f>IFERROR(__xludf.DUMMYFUNCTION("""COMPUTED_VALUE"""),24.0)</f>
        <v>24</v>
      </c>
      <c r="J452" s="4" t="str">
        <f>IFERROR(__xludf.DUMMYFUNCTION("""COMPUTED_VALUE"""),"Tier 3")</f>
        <v>Tier 3</v>
      </c>
      <c r="K452" s="4" t="str">
        <f>IFERROR(__xludf.DUMMYFUNCTION("""COMPUTED_VALUE"""),"Active")</f>
        <v>Active</v>
      </c>
      <c r="L452" s="4" t="str">
        <f>IFERROR(__xludf.DUMMYFUNCTION("""COMPUTED_VALUE"""),"AI Applications")</f>
        <v>AI Applications</v>
      </c>
    </row>
    <row r="453">
      <c r="A453" s="4" t="str">
        <f>IFERROR(__xludf.DUMMYFUNCTION("""COMPUTED_VALUE"""),"DME2369")</f>
        <v>DME2369</v>
      </c>
      <c r="B453" s="4" t="str">
        <f>IFERROR(__xludf.DUMMYFUNCTION("""COMPUTED_VALUE"""),"Kishor Namdeo Mengawade")</f>
        <v>Kishor Namdeo Mengawade</v>
      </c>
      <c r="C453" s="4" t="str">
        <f>IFERROR(__xludf.DUMMYFUNCTION("""COMPUTED_VALUE"""),"Kishor.Mengawade@onixnet.com")</f>
        <v>Kishor.Mengawade@onixnet.com</v>
      </c>
      <c r="D453" s="4" t="str">
        <f>IFERROR(__xludf.DUMMYFUNCTION("""COMPUTED_VALUE"""),"Active")</f>
        <v>Active</v>
      </c>
      <c r="E453" s="4" t="str">
        <f>IFERROR(__xludf.DUMMYFUNCTION("""COMPUTED_VALUE"""),"Delivery Services")</f>
        <v>Delivery Services</v>
      </c>
      <c r="F453" s="4" t="str">
        <f>IFERROR(__xludf.DUMMYFUNCTION("""COMPUTED_VALUE"""),"Vaibhav Mittal")</f>
        <v>Vaibhav Mittal</v>
      </c>
      <c r="G453" s="4" t="str">
        <f>IFERROR(__xludf.DUMMYFUNCTION("""COMPUTED_VALUE"""),"Cluster - Gaurav")</f>
        <v>Cluster - Gaurav</v>
      </c>
      <c r="H453" s="4" t="str">
        <f>IFERROR(__xludf.DUMMYFUNCTION("""COMPUTED_VALUE"""),"ONIKMUWC2")</f>
        <v>ONIKMUWC2</v>
      </c>
      <c r="I453" s="5">
        <f>IFERROR(__xludf.DUMMYFUNCTION("""COMPUTED_VALUE"""),17.0)</f>
        <v>17</v>
      </c>
      <c r="J453" s="4" t="str">
        <f>IFERROR(__xludf.DUMMYFUNCTION("""COMPUTED_VALUE"""),"Tier 4")</f>
        <v>Tier 4</v>
      </c>
      <c r="K453" s="4" t="str">
        <f>IFERROR(__xludf.DUMMYFUNCTION("""COMPUTED_VALUE"""),"Active")</f>
        <v>Active</v>
      </c>
      <c r="L453" s="4" t="str">
        <f>IFERROR(__xludf.DUMMYFUNCTION("""COMPUTED_VALUE"""),"Google Kubernetes Engine")</f>
        <v>Google Kubernetes Engine</v>
      </c>
    </row>
    <row r="454">
      <c r="A454" s="4" t="str">
        <f>IFERROR(__xludf.DUMMYFUNCTION("""COMPUTED_VALUE"""),"DME2370")</f>
        <v>DME2370</v>
      </c>
      <c r="B454" s="4" t="str">
        <f>IFERROR(__xludf.DUMMYFUNCTION("""COMPUTED_VALUE"""),"Sachin Nikrad")</f>
        <v>Sachin Nikrad</v>
      </c>
      <c r="C454" s="4" t="str">
        <f>IFERROR(__xludf.DUMMYFUNCTION("""COMPUTED_VALUE"""),"Sachin.Nikrad@onixnet.com")</f>
        <v>Sachin.Nikrad@onixnet.com</v>
      </c>
      <c r="D454" s="4" t="str">
        <f>IFERROR(__xludf.DUMMYFUNCTION("""COMPUTED_VALUE"""),"Active")</f>
        <v>Active</v>
      </c>
      <c r="E454" s="4" t="str">
        <f>IFERROR(__xludf.DUMMYFUNCTION("""COMPUTED_VALUE"""),"Delivery Services")</f>
        <v>Delivery Services</v>
      </c>
      <c r="F454" s="4" t="str">
        <f>IFERROR(__xludf.DUMMYFUNCTION("""COMPUTED_VALUE"""),"Aakash Vinod Tolani")</f>
        <v>Aakash Vinod Tolani</v>
      </c>
      <c r="G454" s="4" t="str">
        <f>IFERROR(__xludf.DUMMYFUNCTION("""COMPUTED_VALUE"""),"Cluster - Shreepad")</f>
        <v>Cluster - Shreepad</v>
      </c>
      <c r="H454" s="4" t="str">
        <f>IFERROR(__xludf.DUMMYFUNCTION("""COMPUTED_VALUE"""),"DATSNZKC6")</f>
        <v>DATSNZKC6</v>
      </c>
      <c r="I454" s="5">
        <f>IFERROR(__xludf.DUMMYFUNCTION("""COMPUTED_VALUE"""),44.0)</f>
        <v>44</v>
      </c>
      <c r="J454" s="4" t="str">
        <f>IFERROR(__xludf.DUMMYFUNCTION("""COMPUTED_VALUE"""),"Tier 2")</f>
        <v>Tier 2</v>
      </c>
      <c r="K454" s="4" t="str">
        <f>IFERROR(__xludf.DUMMYFUNCTION("""COMPUTED_VALUE"""),"Active")</f>
        <v>Active</v>
      </c>
      <c r="L454" s="4" t="str">
        <f>IFERROR(__xludf.DUMMYFUNCTION("""COMPUTED_VALUE"""),"BigQuery")</f>
        <v>BigQuery</v>
      </c>
    </row>
    <row r="455">
      <c r="A455" s="4" t="str">
        <f>IFERROR(__xludf.DUMMYFUNCTION("""COMPUTED_VALUE"""),"DME2373")</f>
        <v>DME2373</v>
      </c>
      <c r="B455" s="4" t="str">
        <f>IFERROR(__xludf.DUMMYFUNCTION("""COMPUTED_VALUE"""),"Bharat Gonmare")</f>
        <v>Bharat Gonmare</v>
      </c>
      <c r="C455" s="4" t="str">
        <f>IFERROR(__xludf.DUMMYFUNCTION("""COMPUTED_VALUE"""),"bharat.gonmare@onixnet.com")</f>
        <v>bharat.gonmare@onixnet.com</v>
      </c>
      <c r="D455" s="4" t="str">
        <f>IFERROR(__xludf.DUMMYFUNCTION("""COMPUTED_VALUE"""),"Active")</f>
        <v>Active</v>
      </c>
      <c r="E455" s="4" t="str">
        <f>IFERROR(__xludf.DUMMYFUNCTION("""COMPUTED_VALUE"""),"Eagle Assessment")</f>
        <v>Eagle Assessment</v>
      </c>
      <c r="F455" s="4" t="str">
        <f>IFERROR(__xludf.DUMMYFUNCTION("""COMPUTED_VALUE"""),"Ankit Khandelwal")</f>
        <v>Ankit Khandelwal</v>
      </c>
      <c r="G455" s="4" t="str">
        <f>IFERROR(__xludf.DUMMYFUNCTION("""COMPUTED_VALUE"""),"Cluster - Kalpa")</f>
        <v>Cluster - Kalpa</v>
      </c>
      <c r="H455" s="4" t="str">
        <f>IFERROR(__xludf.DUMMYFUNCTION("""COMPUTED_VALUE"""),"ONIBGSOK2")</f>
        <v>ONIBGSOK2</v>
      </c>
      <c r="I455" s="5">
        <f>IFERROR(__xludf.DUMMYFUNCTION("""COMPUTED_VALUE"""),0.0)</f>
        <v>0</v>
      </c>
      <c r="J455" s="4" t="str">
        <f>IFERROR(__xludf.DUMMYFUNCTION("""COMPUTED_VALUE"""),"Tier 4")</f>
        <v>Tier 4</v>
      </c>
      <c r="K455" s="4" t="str">
        <f>IFERROR(__xludf.DUMMYFUNCTION("""COMPUTED_VALUE"""),"ID Created DRP score 0")</f>
        <v>ID Created DRP score 0</v>
      </c>
      <c r="L455" s="4"/>
    </row>
    <row r="456">
      <c r="A456" s="4" t="str">
        <f>IFERROR(__xludf.DUMMYFUNCTION("""COMPUTED_VALUE"""),"DME2382")</f>
        <v>DME2382</v>
      </c>
      <c r="B456" s="4" t="str">
        <f>IFERROR(__xludf.DUMMYFUNCTION("""COMPUTED_VALUE"""),"Sharayu Naladkar")</f>
        <v>Sharayu Naladkar</v>
      </c>
      <c r="C456" s="4" t="str">
        <f>IFERROR(__xludf.DUMMYFUNCTION("""COMPUTED_VALUE"""),"Sharayu.Naladkar@onixnet.com")</f>
        <v>Sharayu.Naladkar@onixnet.com</v>
      </c>
      <c r="D456" s="4" t="str">
        <f>IFERROR(__xludf.DUMMYFUNCTION("""COMPUTED_VALUE"""),"Active")</f>
        <v>Active</v>
      </c>
      <c r="E456" s="4" t="str">
        <f>IFERROR(__xludf.DUMMYFUNCTION("""COMPUTED_VALUE"""),"Delivery Services")</f>
        <v>Delivery Services</v>
      </c>
      <c r="F456" s="4" t="str">
        <f>IFERROR(__xludf.DUMMYFUNCTION("""COMPUTED_VALUE"""),"Suresh Shankar Rasal")</f>
        <v>Suresh Shankar Rasal</v>
      </c>
      <c r="G456" s="4" t="str">
        <f>IFERROR(__xludf.DUMMYFUNCTION("""COMPUTED_VALUE"""),"Cluster - Gaurav")</f>
        <v>Cluster - Gaurav</v>
      </c>
      <c r="H456" s="4" t="str">
        <f>IFERROR(__xludf.DUMMYFUNCTION("""COMPUTED_VALUE"""),"ONISNVTJ1")</f>
        <v>ONISNVTJ1</v>
      </c>
      <c r="I456" s="5">
        <f>IFERROR(__xludf.DUMMYFUNCTION("""COMPUTED_VALUE"""),17.0)</f>
        <v>17</v>
      </c>
      <c r="J456" s="4" t="str">
        <f>IFERROR(__xludf.DUMMYFUNCTION("""COMPUTED_VALUE"""),"Tier 4")</f>
        <v>Tier 4</v>
      </c>
      <c r="K456" s="4" t="str">
        <f>IFERROR(__xludf.DUMMYFUNCTION("""COMPUTED_VALUE"""),"Active")</f>
        <v>Active</v>
      </c>
      <c r="L456" s="4" t="str">
        <f>IFERROR(__xludf.DUMMYFUNCTION("""COMPUTED_VALUE"""),"BigQuery")</f>
        <v>BigQuery</v>
      </c>
    </row>
    <row r="457">
      <c r="A457" s="4" t="str">
        <f>IFERROR(__xludf.DUMMYFUNCTION("""COMPUTED_VALUE"""),"DME2383")</f>
        <v>DME2383</v>
      </c>
      <c r="B457" s="4" t="str">
        <f>IFERROR(__xludf.DUMMYFUNCTION("""COMPUTED_VALUE"""),"Dinesh Shelke")</f>
        <v>Dinesh Shelke</v>
      </c>
      <c r="C457" s="4" t="str">
        <f>IFERROR(__xludf.DUMMYFUNCTION("""COMPUTED_VALUE"""),"Dinesh.Shelke@onixnet.com")</f>
        <v>Dinesh.Shelke@onixnet.com</v>
      </c>
      <c r="D457" s="4" t="str">
        <f>IFERROR(__xludf.DUMMYFUNCTION("""COMPUTED_VALUE"""),"Active")</f>
        <v>Active</v>
      </c>
      <c r="E457" s="4" t="str">
        <f>IFERROR(__xludf.DUMMYFUNCTION("""COMPUTED_VALUE"""),"Product Engineering")</f>
        <v>Product Engineering</v>
      </c>
      <c r="F457" s="4" t="str">
        <f>IFERROR(__xludf.DUMMYFUNCTION("""COMPUTED_VALUE"""),"Sachin Sakle")</f>
        <v>Sachin Sakle</v>
      </c>
      <c r="G457" s="4" t="str">
        <f>IFERROR(__xludf.DUMMYFUNCTION("""COMPUTED_VALUE"""),"Cluster - Mayur")</f>
        <v>Cluster - Mayur</v>
      </c>
      <c r="H457" s="4" t="str">
        <f>IFERROR(__xludf.DUMMYFUNCTION("""COMPUTED_VALUE"""),"ONIDSDBJ7")</f>
        <v>ONIDSDBJ7</v>
      </c>
      <c r="I457" s="5">
        <f>IFERROR(__xludf.DUMMYFUNCTION("""COMPUTED_VALUE"""),0.0)</f>
        <v>0</v>
      </c>
      <c r="J457" s="4" t="str">
        <f>IFERROR(__xludf.DUMMYFUNCTION("""COMPUTED_VALUE"""),"Tier 4")</f>
        <v>Tier 4</v>
      </c>
      <c r="K457" s="4" t="str">
        <f>IFERROR(__xludf.DUMMYFUNCTION("""COMPUTED_VALUE"""),"ID Created DRP score 0")</f>
        <v>ID Created DRP score 0</v>
      </c>
      <c r="L457" s="4"/>
    </row>
    <row r="458">
      <c r="A458" s="4" t="str">
        <f>IFERROR(__xludf.DUMMYFUNCTION("""COMPUTED_VALUE"""),"DME2384")</f>
        <v>DME2384</v>
      </c>
      <c r="B458" s="4" t="str">
        <f>IFERROR(__xludf.DUMMYFUNCTION("""COMPUTED_VALUE"""),"Somesh Ganesh Nistane")</f>
        <v>Somesh Ganesh Nistane</v>
      </c>
      <c r="C458" s="4" t="str">
        <f>IFERROR(__xludf.DUMMYFUNCTION("""COMPUTED_VALUE"""),"Somesh.Nistane@onixnet.com")</f>
        <v>Somesh.Nistane@onixnet.com</v>
      </c>
      <c r="D458" s="4" t="str">
        <f>IFERROR(__xludf.DUMMYFUNCTION("""COMPUTED_VALUE"""),"Active")</f>
        <v>Active</v>
      </c>
      <c r="E458" s="4" t="str">
        <f>IFERROR(__xludf.DUMMYFUNCTION("""COMPUTED_VALUE"""),"Product Engineering")</f>
        <v>Product Engineering</v>
      </c>
      <c r="F458" s="4" t="str">
        <f>IFERROR(__xludf.DUMMYFUNCTION("""COMPUTED_VALUE"""),"Venkat Shivkumar")</f>
        <v>Venkat Shivkumar</v>
      </c>
      <c r="G458" s="4" t="str">
        <f>IFERROR(__xludf.DUMMYFUNCTION("""COMPUTED_VALUE"""),"Cluster - Mayur")</f>
        <v>Cluster - Mayur</v>
      </c>
      <c r="H458" s="4" t="str">
        <f>IFERROR(__xludf.DUMMYFUNCTION("""COMPUTED_VALUE"""),"ONISNHWL0")</f>
        <v>ONISNHWL0</v>
      </c>
      <c r="I458" s="5">
        <f>IFERROR(__xludf.DUMMYFUNCTION("""COMPUTED_VALUE"""),15.0)</f>
        <v>15</v>
      </c>
      <c r="J458" s="4" t="str">
        <f>IFERROR(__xludf.DUMMYFUNCTION("""COMPUTED_VALUE"""),"Tier 4")</f>
        <v>Tier 4</v>
      </c>
      <c r="K458" s="4" t="str">
        <f>IFERROR(__xludf.DUMMYFUNCTION("""COMPUTED_VALUE"""),"Active")</f>
        <v>Active</v>
      </c>
      <c r="L458" s="4" t="str">
        <f>IFERROR(__xludf.DUMMYFUNCTION("""COMPUTED_VALUE"""),"AI Applications")</f>
        <v>AI Applications</v>
      </c>
    </row>
    <row r="459">
      <c r="A459" s="4" t="str">
        <f>IFERROR(__xludf.DUMMYFUNCTION("""COMPUTED_VALUE"""),"DME2385")</f>
        <v>DME2385</v>
      </c>
      <c r="B459" s="4" t="str">
        <f>IFERROR(__xludf.DUMMYFUNCTION("""COMPUTED_VALUE"""),"Pooja Sahebrao Aher")</f>
        <v>Pooja Sahebrao Aher</v>
      </c>
      <c r="C459" s="4" t="str">
        <f>IFERROR(__xludf.DUMMYFUNCTION("""COMPUTED_VALUE"""),"Pooja.Aher@onixnet.com")</f>
        <v>Pooja.Aher@onixnet.com</v>
      </c>
      <c r="D459" s="4" t="str">
        <f>IFERROR(__xludf.DUMMYFUNCTION("""COMPUTED_VALUE"""),"Active")</f>
        <v>Active</v>
      </c>
      <c r="E459" s="4" t="str">
        <f>IFERROR(__xludf.DUMMYFUNCTION("""COMPUTED_VALUE"""),"Delivery Services")</f>
        <v>Delivery Services</v>
      </c>
      <c r="F459" s="4" t="str">
        <f>IFERROR(__xludf.DUMMYFUNCTION("""COMPUTED_VALUE"""),"Ameya Kulkarni")</f>
        <v>Ameya Kulkarni</v>
      </c>
      <c r="G459" s="4" t="str">
        <f>IFERROR(__xludf.DUMMYFUNCTION("""COMPUTED_VALUE"""),"Cluster - Sagar")</f>
        <v>Cluster - Sagar</v>
      </c>
      <c r="H459" s="4" t="str">
        <f>IFERROR(__xludf.DUMMYFUNCTION("""COMPUTED_VALUE"""),"ONIPAEYE8")</f>
        <v>ONIPAEYE8</v>
      </c>
      <c r="I459" s="5">
        <f>IFERROR(__xludf.DUMMYFUNCTION("""COMPUTED_VALUE"""),10.0)</f>
        <v>10</v>
      </c>
      <c r="J459" s="4" t="str">
        <f>IFERROR(__xludf.DUMMYFUNCTION("""COMPUTED_VALUE"""),"Tier 4")</f>
        <v>Tier 4</v>
      </c>
      <c r="K459" s="4" t="str">
        <f>IFERROR(__xludf.DUMMYFUNCTION("""COMPUTED_VALUE"""),"Active")</f>
        <v>Active</v>
      </c>
      <c r="L459" s="4" t="str">
        <f>IFERROR(__xludf.DUMMYFUNCTION("""COMPUTED_VALUE"""),"BigQuery")</f>
        <v>BigQuery</v>
      </c>
    </row>
    <row r="460">
      <c r="A460" s="4" t="str">
        <f>IFERROR(__xludf.DUMMYFUNCTION("""COMPUTED_VALUE"""),"DME2386")</f>
        <v>DME2386</v>
      </c>
      <c r="B460" s="4" t="str">
        <f>IFERROR(__xludf.DUMMYFUNCTION("""COMPUTED_VALUE"""),"Vaishali Bankar")</f>
        <v>Vaishali Bankar</v>
      </c>
      <c r="C460" s="4" t="str">
        <f>IFERROR(__xludf.DUMMYFUNCTION("""COMPUTED_VALUE"""),"vaishali.bankar@onixnet.com")</f>
        <v>vaishali.bankar@onixnet.com</v>
      </c>
      <c r="D460" s="4" t="str">
        <f>IFERROR(__xludf.DUMMYFUNCTION("""COMPUTED_VALUE"""),"Active")</f>
        <v>Active</v>
      </c>
      <c r="E460" s="4" t="str">
        <f>IFERROR(__xludf.DUMMYFUNCTION("""COMPUTED_VALUE"""),"Delivery Services")</f>
        <v>Delivery Services</v>
      </c>
      <c r="F460" s="4" t="str">
        <f>IFERROR(__xludf.DUMMYFUNCTION("""COMPUTED_VALUE"""),"Rabindra Nayak")</f>
        <v>Rabindra Nayak</v>
      </c>
      <c r="G460" s="4" t="str">
        <f>IFERROR(__xludf.DUMMYFUNCTION("""COMPUTED_VALUE"""),"Cluster - Sagar")</f>
        <v>Cluster - Sagar</v>
      </c>
      <c r="H460" s="4" t="str">
        <f>IFERROR(__xludf.DUMMYFUNCTION("""COMPUTED_VALUE"""),"ONIVBYLJ1")</f>
        <v>ONIVBYLJ1</v>
      </c>
      <c r="I460" s="5">
        <f>IFERROR(__xludf.DUMMYFUNCTION("""COMPUTED_VALUE"""),5.0)</f>
        <v>5</v>
      </c>
      <c r="J460" s="4" t="str">
        <f>IFERROR(__xludf.DUMMYFUNCTION("""COMPUTED_VALUE"""),"Tier 4")</f>
        <v>Tier 4</v>
      </c>
      <c r="K460" s="4" t="str">
        <f>IFERROR(__xludf.DUMMYFUNCTION("""COMPUTED_VALUE"""),"Active")</f>
        <v>Active</v>
      </c>
      <c r="L460" s="4" t="str">
        <f>IFERROR(__xludf.DUMMYFUNCTION("""COMPUTED_VALUE"""),"Google Kubernetes Engine")</f>
        <v>Google Kubernetes Engine</v>
      </c>
    </row>
    <row r="461">
      <c r="A461" s="4" t="str">
        <f>IFERROR(__xludf.DUMMYFUNCTION("""COMPUTED_VALUE"""),"DME2387")</f>
        <v>DME2387</v>
      </c>
      <c r="B461" s="4" t="str">
        <f>IFERROR(__xludf.DUMMYFUNCTION("""COMPUTED_VALUE"""),"Saurabh Naikwadi")</f>
        <v>Saurabh Naikwadi</v>
      </c>
      <c r="C461" s="4" t="str">
        <f>IFERROR(__xludf.DUMMYFUNCTION("""COMPUTED_VALUE"""),"Saurabh.Naikwadi@onixnet.com")</f>
        <v>Saurabh.Naikwadi@onixnet.com</v>
      </c>
      <c r="D461" s="4" t="str">
        <f>IFERROR(__xludf.DUMMYFUNCTION("""COMPUTED_VALUE"""),"Active")</f>
        <v>Active</v>
      </c>
      <c r="E461" s="4" t="str">
        <f>IFERROR(__xludf.DUMMYFUNCTION("""COMPUTED_VALUE"""),"Delivery Services")</f>
        <v>Delivery Services</v>
      </c>
      <c r="F461" s="4" t="str">
        <f>IFERROR(__xludf.DUMMYFUNCTION("""COMPUTED_VALUE"""),"Vishal Khare")</f>
        <v>Vishal Khare</v>
      </c>
      <c r="G461" s="4" t="str">
        <f>IFERROR(__xludf.DUMMYFUNCTION("""COMPUTED_VALUE"""),"Cluster - Sagar")</f>
        <v>Cluster - Sagar</v>
      </c>
      <c r="H461" s="4" t="str">
        <f>IFERROR(__xludf.DUMMYFUNCTION("""COMPUTED_VALUE"""),"ONISNGBB6")</f>
        <v>ONISNGBB6</v>
      </c>
      <c r="I461" s="5">
        <f>IFERROR(__xludf.DUMMYFUNCTION("""COMPUTED_VALUE"""),33.0)</f>
        <v>33</v>
      </c>
      <c r="J461" s="4" t="str">
        <f>IFERROR(__xludf.DUMMYFUNCTION("""COMPUTED_VALUE"""),"Tier 3")</f>
        <v>Tier 3</v>
      </c>
      <c r="K461" s="4" t="str">
        <f>IFERROR(__xludf.DUMMYFUNCTION("""COMPUTED_VALUE"""),"Active")</f>
        <v>Active</v>
      </c>
      <c r="L461" s="4" t="str">
        <f>IFERROR(__xludf.DUMMYFUNCTION("""COMPUTED_VALUE"""),"Gemini Enterprise Agent Platform")</f>
        <v>Gemini Enterprise Agent Platform</v>
      </c>
    </row>
    <row r="462">
      <c r="A462" s="4" t="str">
        <f>IFERROR(__xludf.DUMMYFUNCTION("""COMPUTED_VALUE"""),"DME2376")</f>
        <v>DME2376</v>
      </c>
      <c r="B462" s="4" t="str">
        <f>IFERROR(__xludf.DUMMYFUNCTION("""COMPUTED_VALUE"""),"Sujeet Dattatraya Gore")</f>
        <v>Sujeet Dattatraya Gore</v>
      </c>
      <c r="C462" s="4" t="str">
        <f>IFERROR(__xludf.DUMMYFUNCTION("""COMPUTED_VALUE"""),"sujeet.gore@onixnet.com")</f>
        <v>sujeet.gore@onixnet.com</v>
      </c>
      <c r="D462" s="4" t="str">
        <f>IFERROR(__xludf.DUMMYFUNCTION("""COMPUTED_VALUE"""),"Active")</f>
        <v>Active</v>
      </c>
      <c r="E462" s="4" t="str">
        <f>IFERROR(__xludf.DUMMYFUNCTION("""COMPUTED_VALUE"""),"Delivery Services")</f>
        <v>Delivery Services</v>
      </c>
      <c r="F462" s="4" t="str">
        <f>IFERROR(__xludf.DUMMYFUNCTION("""COMPUTED_VALUE"""),"Mohit Shivramwar")</f>
        <v>Mohit Shivramwar</v>
      </c>
      <c r="G462" s="4" t="str">
        <f>IFERROR(__xludf.DUMMYFUNCTION("""COMPUTED_VALUE"""),"Cluster - Sagar")</f>
        <v>Cluster - Sagar</v>
      </c>
      <c r="H462" s="4" t="str">
        <f>IFERROR(__xludf.DUMMYFUNCTION("""COMPUTED_VALUE"""),"ONISGHRF1")</f>
        <v>ONISGHRF1</v>
      </c>
      <c r="I462" s="5">
        <f>IFERROR(__xludf.DUMMYFUNCTION("""COMPUTED_VALUE"""),42.0)</f>
        <v>42</v>
      </c>
      <c r="J462" s="4" t="str">
        <f>IFERROR(__xludf.DUMMYFUNCTION("""COMPUTED_VALUE"""),"Tier 2")</f>
        <v>Tier 2</v>
      </c>
      <c r="K462" s="4" t="str">
        <f>IFERROR(__xludf.DUMMYFUNCTION("""COMPUTED_VALUE"""),"Active")</f>
        <v>Active</v>
      </c>
      <c r="L462" s="4" t="str">
        <f>IFERROR(__xludf.DUMMYFUNCTION("""COMPUTED_VALUE"""),"BigQuery")</f>
        <v>BigQuery</v>
      </c>
    </row>
    <row r="463">
      <c r="A463" s="4" t="str">
        <f>IFERROR(__xludf.DUMMYFUNCTION("""COMPUTED_VALUE"""),"DME2380")</f>
        <v>DME2380</v>
      </c>
      <c r="B463" s="4" t="str">
        <f>IFERROR(__xludf.DUMMYFUNCTION("""COMPUTED_VALUE"""),"Abhinav Singh")</f>
        <v>Abhinav Singh</v>
      </c>
      <c r="C463" s="4" t="str">
        <f>IFERROR(__xludf.DUMMYFUNCTION("""COMPUTED_VALUE"""),"abhinav.singh@onixnet.com")</f>
        <v>abhinav.singh@onixnet.com</v>
      </c>
      <c r="D463" s="4" t="str">
        <f>IFERROR(__xludf.DUMMYFUNCTION("""COMPUTED_VALUE"""),"Active")</f>
        <v>Active</v>
      </c>
      <c r="E463" s="4" t="str">
        <f>IFERROR(__xludf.DUMMYFUNCTION("""COMPUTED_VALUE"""),"Delivery Services")</f>
        <v>Delivery Services</v>
      </c>
      <c r="F463" s="4" t="str">
        <f>IFERROR(__xludf.DUMMYFUNCTION("""COMPUTED_VALUE"""),"Poonam Sharma")</f>
        <v>Poonam Sharma</v>
      </c>
      <c r="G463" s="4" t="str">
        <f>IFERROR(__xludf.DUMMYFUNCTION("""COMPUTED_VALUE"""),"Cluster - Gaurav")</f>
        <v>Cluster - Gaurav</v>
      </c>
      <c r="H463" s="4" t="str">
        <f>IFERROR(__xludf.DUMMYFUNCTION("""COMPUTED_VALUE"""),"ONIASGIK9")</f>
        <v>ONIASGIK9</v>
      </c>
      <c r="I463" s="5">
        <f>IFERROR(__xludf.DUMMYFUNCTION("""COMPUTED_VALUE"""),53.0)</f>
        <v>53</v>
      </c>
      <c r="J463" s="4" t="str">
        <f>IFERROR(__xludf.DUMMYFUNCTION("""COMPUTED_VALUE"""),"Tier 1")</f>
        <v>Tier 1</v>
      </c>
      <c r="K463" s="4" t="str">
        <f>IFERROR(__xludf.DUMMYFUNCTION("""COMPUTED_VALUE"""),"Active")</f>
        <v>Active</v>
      </c>
      <c r="L463" s="4" t="str">
        <f>IFERROR(__xludf.DUMMYFUNCTION("""COMPUTED_VALUE"""),"BigQuery")</f>
        <v>BigQuery</v>
      </c>
    </row>
    <row r="464">
      <c r="A464" s="4" t="str">
        <f>IFERROR(__xludf.DUMMYFUNCTION("""COMPUTED_VALUE"""),"DME2388")</f>
        <v>DME2388</v>
      </c>
      <c r="B464" s="4" t="str">
        <f>IFERROR(__xludf.DUMMYFUNCTION("""COMPUTED_VALUE"""),"Ketan Rajendra Dosi")</f>
        <v>Ketan Rajendra Dosi</v>
      </c>
      <c r="C464" s="4" t="str">
        <f>IFERROR(__xludf.DUMMYFUNCTION("""COMPUTED_VALUE"""),"ketan.dosi@onixnet.com")</f>
        <v>ketan.dosi@onixnet.com</v>
      </c>
      <c r="D464" s="4" t="str">
        <f>IFERROR(__xludf.DUMMYFUNCTION("""COMPUTED_VALUE"""),"Active")</f>
        <v>Active</v>
      </c>
      <c r="E464" s="4" t="str">
        <f>IFERROR(__xludf.DUMMYFUNCTION("""COMPUTED_VALUE"""),"Product Engineering")</f>
        <v>Product Engineering</v>
      </c>
      <c r="F464" s="4" t="str">
        <f>IFERROR(__xludf.DUMMYFUNCTION("""COMPUTED_VALUE"""),"Shailesh Kumbhar")</f>
        <v>Shailesh Kumbhar</v>
      </c>
      <c r="G464" s="4" t="str">
        <f>IFERROR(__xludf.DUMMYFUNCTION("""COMPUTED_VALUE"""),"Cluster - Mayur")</f>
        <v>Cluster - Mayur</v>
      </c>
      <c r="H464" s="4" t="str">
        <f>IFERROR(__xludf.DUMMYFUNCTION("""COMPUTED_VALUE"""),"ONIKDGKS9")</f>
        <v>ONIKDGKS9</v>
      </c>
      <c r="I464" s="5">
        <f>IFERROR(__xludf.DUMMYFUNCTION("""COMPUTED_VALUE"""),10.0)</f>
        <v>10</v>
      </c>
      <c r="J464" s="4" t="str">
        <f>IFERROR(__xludf.DUMMYFUNCTION("""COMPUTED_VALUE"""),"Tier 4")</f>
        <v>Tier 4</v>
      </c>
      <c r="K464" s="4" t="str">
        <f>IFERROR(__xludf.DUMMYFUNCTION("""COMPUTED_VALUE"""),"Active")</f>
        <v>Active</v>
      </c>
      <c r="L464" s="4" t="str">
        <f>IFERROR(__xludf.DUMMYFUNCTION("""COMPUTED_VALUE"""),"AI Applications")</f>
        <v>AI Applications</v>
      </c>
    </row>
    <row r="465">
      <c r="A465" s="4" t="str">
        <f>IFERROR(__xludf.DUMMYFUNCTION("""COMPUTED_VALUE"""),"DME2391")</f>
        <v>DME2391</v>
      </c>
      <c r="B465" s="4" t="str">
        <f>IFERROR(__xludf.DUMMYFUNCTION("""COMPUTED_VALUE"""),"Bhupesh Chauhan")</f>
        <v>Bhupesh Chauhan</v>
      </c>
      <c r="C465" s="4" t="str">
        <f>IFERROR(__xludf.DUMMYFUNCTION("""COMPUTED_VALUE"""),"bhupesh.chauhan@onixnet.com")</f>
        <v>bhupesh.chauhan@onixnet.com</v>
      </c>
      <c r="D465" s="4" t="str">
        <f>IFERROR(__xludf.DUMMYFUNCTION("""COMPUTED_VALUE"""),"Active")</f>
        <v>Active</v>
      </c>
      <c r="E465" s="4" t="str">
        <f>IFERROR(__xludf.DUMMYFUNCTION("""COMPUTED_VALUE"""),"Delivery Services")</f>
        <v>Delivery Services</v>
      </c>
      <c r="F465" s="4" t="str">
        <f>IFERROR(__xludf.DUMMYFUNCTION("""COMPUTED_VALUE"""),"Sachin Jakhar")</f>
        <v>Sachin Jakhar</v>
      </c>
      <c r="G465" s="4" t="str">
        <f>IFERROR(__xludf.DUMMYFUNCTION("""COMPUTED_VALUE"""),"Cluster - Sachin")</f>
        <v>Cluster - Sachin</v>
      </c>
      <c r="H465" s="4" t="str">
        <f>IFERROR(__xludf.DUMMYFUNCTION("""COMPUTED_VALUE"""),"ONIBCYNI9")</f>
        <v>ONIBCYNI9</v>
      </c>
      <c r="I465" s="5">
        <f>IFERROR(__xludf.DUMMYFUNCTION("""COMPUTED_VALUE"""),19.0)</f>
        <v>19</v>
      </c>
      <c r="J465" s="4" t="str">
        <f>IFERROR(__xludf.DUMMYFUNCTION("""COMPUTED_VALUE"""),"Tier 4")</f>
        <v>Tier 4</v>
      </c>
      <c r="K465" s="4" t="str">
        <f>IFERROR(__xludf.DUMMYFUNCTION("""COMPUTED_VALUE"""),"Active")</f>
        <v>Active</v>
      </c>
      <c r="L465" s="4" t="str">
        <f>IFERROR(__xludf.DUMMYFUNCTION("""COMPUTED_VALUE"""),"BigQuery")</f>
        <v>BigQuery</v>
      </c>
    </row>
    <row r="466">
      <c r="A466" s="4" t="str">
        <f>IFERROR(__xludf.DUMMYFUNCTION("""COMPUTED_VALUE"""),"DME2393")</f>
        <v>DME2393</v>
      </c>
      <c r="B466" s="4" t="str">
        <f>IFERROR(__xludf.DUMMYFUNCTION("""COMPUTED_VALUE"""),"Omkar Ganesh Sonawane")</f>
        <v>Omkar Ganesh Sonawane</v>
      </c>
      <c r="C466" s="4" t="str">
        <f>IFERROR(__xludf.DUMMYFUNCTION("""COMPUTED_VALUE"""),"omkar.sonawane@onixnet.com")</f>
        <v>omkar.sonawane@onixnet.com</v>
      </c>
      <c r="D466" s="4" t="str">
        <f>IFERROR(__xludf.DUMMYFUNCTION("""COMPUTED_VALUE"""),"Active")</f>
        <v>Active</v>
      </c>
      <c r="E466" s="4" t="str">
        <f>IFERROR(__xludf.DUMMYFUNCTION("""COMPUTED_VALUE"""),"Delivery Services")</f>
        <v>Delivery Services</v>
      </c>
      <c r="F466" s="4" t="str">
        <f>IFERROR(__xludf.DUMMYFUNCTION("""COMPUTED_VALUE"""),"Rahul Chandak")</f>
        <v>Rahul Chandak</v>
      </c>
      <c r="G466" s="4" t="str">
        <f>IFERROR(__xludf.DUMMYFUNCTION("""COMPUTED_VALUE"""),"Cluster - Sagar")</f>
        <v>Cluster - Sagar</v>
      </c>
      <c r="H466" s="4" t="str">
        <f>IFERROR(__xludf.DUMMYFUNCTION("""COMPUTED_VALUE"""),"ONIOSOBB2")</f>
        <v>ONIOSOBB2</v>
      </c>
      <c r="I466" s="5">
        <f>IFERROR(__xludf.DUMMYFUNCTION("""COMPUTED_VALUE"""),9.0)</f>
        <v>9</v>
      </c>
      <c r="J466" s="4" t="str">
        <f>IFERROR(__xludf.DUMMYFUNCTION("""COMPUTED_VALUE"""),"Tier 4")</f>
        <v>Tier 4</v>
      </c>
      <c r="K466" s="4" t="str">
        <f>IFERROR(__xludf.DUMMYFUNCTION("""COMPUTED_VALUE"""),"Active")</f>
        <v>Active</v>
      </c>
      <c r="L466" s="4" t="str">
        <f>IFERROR(__xludf.DUMMYFUNCTION("""COMPUTED_VALUE"""),"Gemini Enterprise Agent Platform")</f>
        <v>Gemini Enterprise Agent Platform</v>
      </c>
    </row>
    <row r="467">
      <c r="A467" s="4" t="str">
        <f>IFERROR(__xludf.DUMMYFUNCTION("""COMPUTED_VALUE"""),"DME2399")</f>
        <v>DME2399</v>
      </c>
      <c r="B467" s="4" t="str">
        <f>IFERROR(__xludf.DUMMYFUNCTION("""COMPUTED_VALUE"""),"Jignesh Jayendra Dhandhukia")</f>
        <v>Jignesh Jayendra Dhandhukia</v>
      </c>
      <c r="C467" s="4" t="str">
        <f>IFERROR(__xludf.DUMMYFUNCTION("""COMPUTED_VALUE"""),"jignesh.d@onixnet.com")</f>
        <v>jignesh.d@onixnet.com</v>
      </c>
      <c r="D467" s="4" t="str">
        <f>IFERROR(__xludf.DUMMYFUNCTION("""COMPUTED_VALUE"""),"Active")</f>
        <v>Active</v>
      </c>
      <c r="E467" s="4" t="str">
        <f>IFERROR(__xludf.DUMMYFUNCTION("""COMPUTED_VALUE"""),"Delivery Services")</f>
        <v>Delivery Services</v>
      </c>
      <c r="F467" s="4" t="str">
        <f>IFERROR(__xludf.DUMMYFUNCTION("""COMPUTED_VALUE"""),"Shreepad Dhok")</f>
        <v>Shreepad Dhok</v>
      </c>
      <c r="G467" s="4" t="str">
        <f>IFERROR(__xludf.DUMMYFUNCTION("""COMPUTED_VALUE"""),"Cluster - Shreepad")</f>
        <v>Cluster - Shreepad</v>
      </c>
      <c r="H467" s="4" t="str">
        <f>IFERROR(__xludf.DUMMYFUNCTION("""COMPUTED_VALUE"""),"ONIJDAUT9")</f>
        <v>ONIJDAUT9</v>
      </c>
      <c r="I467" s="5">
        <f>IFERROR(__xludf.DUMMYFUNCTION("""COMPUTED_VALUE"""),19.0)</f>
        <v>19</v>
      </c>
      <c r="J467" s="4" t="str">
        <f>IFERROR(__xludf.DUMMYFUNCTION("""COMPUTED_VALUE"""),"Tier 4")</f>
        <v>Tier 4</v>
      </c>
      <c r="K467" s="4" t="str">
        <f>IFERROR(__xludf.DUMMYFUNCTION("""COMPUTED_VALUE"""),"Active")</f>
        <v>Active</v>
      </c>
      <c r="L467" s="4" t="str">
        <f>IFERROR(__xludf.DUMMYFUNCTION("""COMPUTED_VALUE"""),"BigQuery")</f>
        <v>BigQuery</v>
      </c>
    </row>
    <row r="468">
      <c r="A468" s="4" t="str">
        <f>IFERROR(__xludf.DUMMYFUNCTION("""COMPUTED_VALUE"""),"DME2400")</f>
        <v>DME2400</v>
      </c>
      <c r="B468" s="4" t="str">
        <f>IFERROR(__xludf.DUMMYFUNCTION("""COMPUTED_VALUE"""),"Sanjay Kumar Pradhan")</f>
        <v>Sanjay Kumar Pradhan</v>
      </c>
      <c r="C468" s="4" t="str">
        <f>IFERROR(__xludf.DUMMYFUNCTION("""COMPUTED_VALUE"""),"sanjay.pradhan@onixnet.com")</f>
        <v>sanjay.pradhan@onixnet.com</v>
      </c>
      <c r="D468" s="4" t="str">
        <f>IFERROR(__xludf.DUMMYFUNCTION("""COMPUTED_VALUE"""),"Active")</f>
        <v>Active</v>
      </c>
      <c r="E468" s="4" t="str">
        <f>IFERROR(__xludf.DUMMYFUNCTION("""COMPUTED_VALUE"""),"Delivery Services")</f>
        <v>Delivery Services</v>
      </c>
      <c r="F468" s="4" t="str">
        <f>IFERROR(__xludf.DUMMYFUNCTION("""COMPUTED_VALUE"""),"Jitender Singh")</f>
        <v>Jitender Singh</v>
      </c>
      <c r="G468" s="4" t="str">
        <f>IFERROR(__xludf.DUMMYFUNCTION("""COMPUTED_VALUE"""),"Cluster - Gaurav")</f>
        <v>Cluster - Gaurav</v>
      </c>
      <c r="H468" s="4" t="str">
        <f>IFERROR(__xludf.DUMMYFUNCTION("""COMPUTED_VALUE"""),"ONISPLCJ2")</f>
        <v>ONISPLCJ2</v>
      </c>
      <c r="I468" s="5">
        <f>IFERROR(__xludf.DUMMYFUNCTION("""COMPUTED_VALUE"""),13.0)</f>
        <v>13</v>
      </c>
      <c r="J468" s="4" t="str">
        <f>IFERROR(__xludf.DUMMYFUNCTION("""COMPUTED_VALUE"""),"Tier 4")</f>
        <v>Tier 4</v>
      </c>
      <c r="K468" s="4" t="str">
        <f>IFERROR(__xludf.DUMMYFUNCTION("""COMPUTED_VALUE"""),"Active")</f>
        <v>Active</v>
      </c>
      <c r="L468" s="4" t="str">
        <f>IFERROR(__xludf.DUMMYFUNCTION("""COMPUTED_VALUE"""),"BigQuery")</f>
        <v>BigQuery</v>
      </c>
    </row>
    <row r="469">
      <c r="A469" s="4" t="str">
        <f>IFERROR(__xludf.DUMMYFUNCTION("""COMPUTED_VALUE"""),"DME2401")</f>
        <v>DME2401</v>
      </c>
      <c r="B469" s="4" t="str">
        <f>IFERROR(__xludf.DUMMYFUNCTION("""COMPUTED_VALUE"""),"Koyyagura Raja Manikanta")</f>
        <v>Koyyagura Raja Manikanta</v>
      </c>
      <c r="C469" s="4" t="str">
        <f>IFERROR(__xludf.DUMMYFUNCTION("""COMPUTED_VALUE"""),"manikanta.raja@onixnet.com")</f>
        <v>manikanta.raja@onixnet.com</v>
      </c>
      <c r="D469" s="4" t="str">
        <f>IFERROR(__xludf.DUMMYFUNCTION("""COMPUTED_VALUE"""),"Active")</f>
        <v>Active</v>
      </c>
      <c r="E469" s="4" t="str">
        <f>IFERROR(__xludf.DUMMYFUNCTION("""COMPUTED_VALUE"""),"Delivery Services")</f>
        <v>Delivery Services</v>
      </c>
      <c r="F469" s="4" t="str">
        <f>IFERROR(__xludf.DUMMYFUNCTION("""COMPUTED_VALUE"""),"Sheela Sawant")</f>
        <v>Sheela Sawant</v>
      </c>
      <c r="G469" s="4" t="str">
        <f>IFERROR(__xludf.DUMMYFUNCTION("""COMPUTED_VALUE"""),"Cluster - Sagar")</f>
        <v>Cluster - Sagar</v>
      </c>
      <c r="H469" s="4" t="str">
        <f>IFERROR(__xludf.DUMMYFUNCTION("""COMPUTED_VALUE"""),"ONIMRMRS4")</f>
        <v>ONIMRMRS4</v>
      </c>
      <c r="I469" s="5">
        <f>IFERROR(__xludf.DUMMYFUNCTION("""COMPUTED_VALUE"""),5.0)</f>
        <v>5</v>
      </c>
      <c r="J469" s="4" t="str">
        <f>IFERROR(__xludf.DUMMYFUNCTION("""COMPUTED_VALUE"""),"Tier 4")</f>
        <v>Tier 4</v>
      </c>
      <c r="K469" s="4" t="str">
        <f>IFERROR(__xludf.DUMMYFUNCTION("""COMPUTED_VALUE"""),"Active")</f>
        <v>Active</v>
      </c>
      <c r="L469" s="4" t="str">
        <f>IFERROR(__xludf.DUMMYFUNCTION("""COMPUTED_VALUE"""),"Looker")</f>
        <v>Looker</v>
      </c>
    </row>
    <row r="470">
      <c r="A470" s="4" t="str">
        <f>IFERROR(__xludf.DUMMYFUNCTION("""COMPUTED_VALUE"""),"DME2405")</f>
        <v>DME2405</v>
      </c>
      <c r="B470" s="4" t="str">
        <f>IFERROR(__xludf.DUMMYFUNCTION("""COMPUTED_VALUE"""),"Shaik Baji Shaheed")</f>
        <v>Shaik Baji Shaheed</v>
      </c>
      <c r="C470" s="4" t="str">
        <f>IFERROR(__xludf.DUMMYFUNCTION("""COMPUTED_VALUE"""),"shaheed.shaik@onixnet.com")</f>
        <v>shaheed.shaik@onixnet.com</v>
      </c>
      <c r="D470" s="4" t="str">
        <f>IFERROR(__xludf.DUMMYFUNCTION("""COMPUTED_VALUE"""),"Active")</f>
        <v>Active</v>
      </c>
      <c r="E470" s="4" t="str">
        <f>IFERROR(__xludf.DUMMYFUNCTION("""COMPUTED_VALUE"""),"Product Engineering")</f>
        <v>Product Engineering</v>
      </c>
      <c r="F470" s="4" t="str">
        <f>IFERROR(__xludf.DUMMYFUNCTION("""COMPUTED_VALUE"""),"Venkat Shivkumar")</f>
        <v>Venkat Shivkumar</v>
      </c>
      <c r="G470" s="4" t="str">
        <f>IFERROR(__xludf.DUMMYFUNCTION("""COMPUTED_VALUE"""),"Cluster - Mayur")</f>
        <v>Cluster - Mayur</v>
      </c>
      <c r="H470" s="4" t="str">
        <f>IFERROR(__xludf.DUMMYFUNCTION("""COMPUTED_VALUE"""),"ONISSGJH8")</f>
        <v>ONISSGJH8</v>
      </c>
      <c r="I470" s="5">
        <f>IFERROR(__xludf.DUMMYFUNCTION("""COMPUTED_VALUE"""),12.0)</f>
        <v>12</v>
      </c>
      <c r="J470" s="4" t="str">
        <f>IFERROR(__xludf.DUMMYFUNCTION("""COMPUTED_VALUE"""),"Tier 4")</f>
        <v>Tier 4</v>
      </c>
      <c r="K470" s="4" t="str">
        <f>IFERROR(__xludf.DUMMYFUNCTION("""COMPUTED_VALUE"""),"Active")</f>
        <v>Active</v>
      </c>
      <c r="L470" s="4" t="str">
        <f>IFERROR(__xludf.DUMMYFUNCTION("""COMPUTED_VALUE"""),"BigQuery")</f>
        <v>BigQuery</v>
      </c>
    </row>
    <row r="471">
      <c r="A471" s="4" t="str">
        <f>IFERROR(__xludf.DUMMYFUNCTION("""COMPUTED_VALUE"""),"DME2407")</f>
        <v>DME2407</v>
      </c>
      <c r="B471" s="4" t="str">
        <f>IFERROR(__xludf.DUMMYFUNCTION("""COMPUTED_VALUE"""),"Nikhil Kiran Bhavsar")</f>
        <v>Nikhil Kiran Bhavsar</v>
      </c>
      <c r="C471" s="4" t="str">
        <f>IFERROR(__xludf.DUMMYFUNCTION("""COMPUTED_VALUE"""),"nikhil.bhavsar@onixnet.com")</f>
        <v>nikhil.bhavsar@onixnet.com</v>
      </c>
      <c r="D471" s="4" t="str">
        <f>IFERROR(__xludf.DUMMYFUNCTION("""COMPUTED_VALUE"""),"Active")</f>
        <v>Active</v>
      </c>
      <c r="E471" s="4" t="str">
        <f>IFERROR(__xludf.DUMMYFUNCTION("""COMPUTED_VALUE"""),"Delivery Services")</f>
        <v>Delivery Services</v>
      </c>
      <c r="F471" s="4" t="str">
        <f>IFERROR(__xludf.DUMMYFUNCTION("""COMPUTED_VALUE"""),"Manoj Patil")</f>
        <v>Manoj Patil</v>
      </c>
      <c r="G471" s="4" t="str">
        <f>IFERROR(__xludf.DUMMYFUNCTION("""COMPUTED_VALUE"""),"Cluster - Shreepad")</f>
        <v>Cluster - Shreepad</v>
      </c>
      <c r="H471" s="4" t="str">
        <f>IFERROR(__xludf.DUMMYFUNCTION("""COMPUTED_VALUE"""),"ONINBEEL8")</f>
        <v>ONINBEEL8</v>
      </c>
      <c r="I471" s="5">
        <f>IFERROR(__xludf.DUMMYFUNCTION("""COMPUTED_VALUE"""),10.0)</f>
        <v>10</v>
      </c>
      <c r="J471" s="4" t="str">
        <f>IFERROR(__xludf.DUMMYFUNCTION("""COMPUTED_VALUE"""),"Tier 4")</f>
        <v>Tier 4</v>
      </c>
      <c r="K471" s="4" t="str">
        <f>IFERROR(__xludf.DUMMYFUNCTION("""COMPUTED_VALUE"""),"Active")</f>
        <v>Active</v>
      </c>
      <c r="L471" s="4" t="str">
        <f>IFERROR(__xludf.DUMMYFUNCTION("""COMPUTED_VALUE"""),"Cloud SQL")</f>
        <v>Cloud SQL</v>
      </c>
    </row>
    <row r="472">
      <c r="A472" s="4" t="str">
        <f>IFERROR(__xludf.DUMMYFUNCTION("""COMPUTED_VALUE"""),"DME2408")</f>
        <v>DME2408</v>
      </c>
      <c r="B472" s="4" t="str">
        <f>IFERROR(__xludf.DUMMYFUNCTION("""COMPUTED_VALUE"""),"Bhairavnath Abhiman Pujari")</f>
        <v>Bhairavnath Abhiman Pujari</v>
      </c>
      <c r="C472" s="4" t="str">
        <f>IFERROR(__xludf.DUMMYFUNCTION("""COMPUTED_VALUE"""),"bhairavnath.p@onixnet.com")</f>
        <v>bhairavnath.p@onixnet.com</v>
      </c>
      <c r="D472" s="4" t="str">
        <f>IFERROR(__xludf.DUMMYFUNCTION("""COMPUTED_VALUE"""),"Active")</f>
        <v>Active</v>
      </c>
      <c r="E472" s="4" t="str">
        <f>IFERROR(__xludf.DUMMYFUNCTION("""COMPUTED_VALUE"""),"Product Engineering")</f>
        <v>Product Engineering</v>
      </c>
      <c r="F472" s="4" t="str">
        <f>IFERROR(__xludf.DUMMYFUNCTION("""COMPUTED_VALUE"""),"Aayush Sahu")</f>
        <v>Aayush Sahu</v>
      </c>
      <c r="G472" s="4" t="str">
        <f>IFERROR(__xludf.DUMMYFUNCTION("""COMPUTED_VALUE"""),"Cluster - Mayur")</f>
        <v>Cluster - Mayur</v>
      </c>
      <c r="H472" s="4" t="str">
        <f>IFERROR(__xludf.DUMMYFUNCTION("""COMPUTED_VALUE"""),"ONIBPCSA3")</f>
        <v>ONIBPCSA3</v>
      </c>
      <c r="I472" s="5">
        <f>IFERROR(__xludf.DUMMYFUNCTION("""COMPUTED_VALUE"""),5.0)</f>
        <v>5</v>
      </c>
      <c r="J472" s="4" t="str">
        <f>IFERROR(__xludf.DUMMYFUNCTION("""COMPUTED_VALUE"""),"Tier 4")</f>
        <v>Tier 4</v>
      </c>
      <c r="K472" s="4" t="str">
        <f>IFERROR(__xludf.DUMMYFUNCTION("""COMPUTED_VALUE"""),"Active")</f>
        <v>Active</v>
      </c>
      <c r="L472" s="4" t="str">
        <f>IFERROR(__xludf.DUMMYFUNCTION("""COMPUTED_VALUE"""),"AI Applications")</f>
        <v>AI Applications</v>
      </c>
    </row>
    <row r="473">
      <c r="A473" s="4" t="str">
        <f>IFERROR(__xludf.DUMMYFUNCTION("""COMPUTED_VALUE"""),"DME2411")</f>
        <v>DME2411</v>
      </c>
      <c r="B473" s="4" t="str">
        <f>IFERROR(__xludf.DUMMYFUNCTION("""COMPUTED_VALUE"""),"Prakash Govardhan Pote")</f>
        <v>Prakash Govardhan Pote</v>
      </c>
      <c r="C473" s="4" t="str">
        <f>IFERROR(__xludf.DUMMYFUNCTION("""COMPUTED_VALUE"""),"prakash.pote@onixnet.com")</f>
        <v>prakash.pote@onixnet.com</v>
      </c>
      <c r="D473" s="4" t="str">
        <f>IFERROR(__xludf.DUMMYFUNCTION("""COMPUTED_VALUE"""),"Active")</f>
        <v>Active</v>
      </c>
      <c r="E473" s="4" t="str">
        <f>IFERROR(__xludf.DUMMYFUNCTION("""COMPUTED_VALUE"""),"Delivery Services")</f>
        <v>Delivery Services</v>
      </c>
      <c r="F473" s="4" t="str">
        <f>IFERROR(__xludf.DUMMYFUNCTION("""COMPUTED_VALUE"""),"Suresh Shankar Rasal")</f>
        <v>Suresh Shankar Rasal</v>
      </c>
      <c r="G473" s="4" t="str">
        <f>IFERROR(__xludf.DUMMYFUNCTION("""COMPUTED_VALUE"""),"Cluster - Gaurav")</f>
        <v>Cluster - Gaurav</v>
      </c>
      <c r="H473" s="4" t="str">
        <f>IFERROR(__xludf.DUMMYFUNCTION("""COMPUTED_VALUE"""),"ONIPPSSA7")</f>
        <v>ONIPPSSA7</v>
      </c>
      <c r="I473" s="5">
        <f>IFERROR(__xludf.DUMMYFUNCTION("""COMPUTED_VALUE"""),27.0)</f>
        <v>27</v>
      </c>
      <c r="J473" s="4" t="str">
        <f>IFERROR(__xludf.DUMMYFUNCTION("""COMPUTED_VALUE"""),"Tier 3")</f>
        <v>Tier 3</v>
      </c>
      <c r="K473" s="4" t="str">
        <f>IFERROR(__xludf.DUMMYFUNCTION("""COMPUTED_VALUE"""),"Active")</f>
        <v>Active</v>
      </c>
      <c r="L473" s="4" t="str">
        <f>IFERROR(__xludf.DUMMYFUNCTION("""COMPUTED_VALUE"""),"Gemini Enterprise Agent Platform")</f>
        <v>Gemini Enterprise Agent Platform</v>
      </c>
    </row>
    <row r="474">
      <c r="A474" s="4" t="str">
        <f>IFERROR(__xludf.DUMMYFUNCTION("""COMPUTED_VALUE"""),"DME2412")</f>
        <v>DME2412</v>
      </c>
      <c r="B474" s="4" t="str">
        <f>IFERROR(__xludf.DUMMYFUNCTION("""COMPUTED_VALUE"""),"Akash Rajanna Pattipaka")</f>
        <v>Akash Rajanna Pattipaka</v>
      </c>
      <c r="C474" s="4" t="str">
        <f>IFERROR(__xludf.DUMMYFUNCTION("""COMPUTED_VALUE"""),"akash.pattipaka@onixnet.com")</f>
        <v>akash.pattipaka@onixnet.com</v>
      </c>
      <c r="D474" s="4" t="str">
        <f>IFERROR(__xludf.DUMMYFUNCTION("""COMPUTED_VALUE"""),"Active")</f>
        <v>Active</v>
      </c>
      <c r="E474" s="4" t="str">
        <f>IFERROR(__xludf.DUMMYFUNCTION("""COMPUTED_VALUE"""),"Delivery Services")</f>
        <v>Delivery Services</v>
      </c>
      <c r="F474" s="4" t="str">
        <f>IFERROR(__xludf.DUMMYFUNCTION("""COMPUTED_VALUE"""),"Sushant Patil")</f>
        <v>Sushant Patil</v>
      </c>
      <c r="G474" s="4" t="str">
        <f>IFERROR(__xludf.DUMMYFUNCTION("""COMPUTED_VALUE"""),"Cluster - Gaurav")</f>
        <v>Cluster - Gaurav</v>
      </c>
      <c r="H474" s="4" t="str">
        <f>IFERROR(__xludf.DUMMYFUNCTION("""COMPUTED_VALUE"""),"ONIAPJGF3")</f>
        <v>ONIAPJGF3</v>
      </c>
      <c r="I474" s="5">
        <f>IFERROR(__xludf.DUMMYFUNCTION("""COMPUTED_VALUE"""),10.0)</f>
        <v>10</v>
      </c>
      <c r="J474" s="4" t="str">
        <f>IFERROR(__xludf.DUMMYFUNCTION("""COMPUTED_VALUE"""),"Tier 4")</f>
        <v>Tier 4</v>
      </c>
      <c r="K474" s="4" t="str">
        <f>IFERROR(__xludf.DUMMYFUNCTION("""COMPUTED_VALUE"""),"Active")</f>
        <v>Active</v>
      </c>
      <c r="L474" s="4" t="str">
        <f>IFERROR(__xludf.DUMMYFUNCTION("""COMPUTED_VALUE"""),"BigQuery")</f>
        <v>BigQuery</v>
      </c>
    </row>
    <row r="475">
      <c r="A475" s="4" t="str">
        <f>IFERROR(__xludf.DUMMYFUNCTION("""COMPUTED_VALUE"""),"DME2414")</f>
        <v>DME2414</v>
      </c>
      <c r="B475" s="4" t="str">
        <f>IFERROR(__xludf.DUMMYFUNCTION("""COMPUTED_VALUE"""),"Akshay Shriram Karale")</f>
        <v>Akshay Shriram Karale</v>
      </c>
      <c r="C475" s="4" t="str">
        <f>IFERROR(__xludf.DUMMYFUNCTION("""COMPUTED_VALUE"""),"akshay.karale@onixnet.com")</f>
        <v>akshay.karale@onixnet.com</v>
      </c>
      <c r="D475" s="4" t="str">
        <f>IFERROR(__xludf.DUMMYFUNCTION("""COMPUTED_VALUE"""),"Active")</f>
        <v>Active</v>
      </c>
      <c r="E475" s="4" t="str">
        <f>IFERROR(__xludf.DUMMYFUNCTION("""COMPUTED_VALUE"""),"Product Engineering")</f>
        <v>Product Engineering</v>
      </c>
      <c r="F475" s="4" t="str">
        <f>IFERROR(__xludf.DUMMYFUNCTION("""COMPUTED_VALUE"""),"Savan Tak")</f>
        <v>Savan Tak</v>
      </c>
      <c r="G475" s="4" t="str">
        <f>IFERROR(__xludf.DUMMYFUNCTION("""COMPUTED_VALUE"""),"Cluster - Mayur")</f>
        <v>Cluster - Mayur</v>
      </c>
      <c r="H475" s="4" t="str">
        <f>IFERROR(__xludf.DUMMYFUNCTION("""COMPUTED_VALUE"""),"ONIAKPPD2")</f>
        <v>ONIAKPPD2</v>
      </c>
      <c r="I475" s="5">
        <f>IFERROR(__xludf.DUMMYFUNCTION("""COMPUTED_VALUE"""),10.0)</f>
        <v>10</v>
      </c>
      <c r="J475" s="4" t="str">
        <f>IFERROR(__xludf.DUMMYFUNCTION("""COMPUTED_VALUE"""),"Tier 4")</f>
        <v>Tier 4</v>
      </c>
      <c r="K475" s="4" t="str">
        <f>IFERROR(__xludf.DUMMYFUNCTION("""COMPUTED_VALUE"""),"Active")</f>
        <v>Active</v>
      </c>
      <c r="L475" s="4" t="str">
        <f>IFERROR(__xludf.DUMMYFUNCTION("""COMPUTED_VALUE"""),"AI Applications")</f>
        <v>AI Applications</v>
      </c>
    </row>
    <row r="476">
      <c r="A476" s="4" t="str">
        <f>IFERROR(__xludf.DUMMYFUNCTION("""COMPUTED_VALUE"""),"DME2416")</f>
        <v>DME2416</v>
      </c>
      <c r="B476" s="4" t="str">
        <f>IFERROR(__xludf.DUMMYFUNCTION("""COMPUTED_VALUE"""),"Qamarunnisa Abdulhakim Kadechur")</f>
        <v>Qamarunnisa Abdulhakim Kadechur</v>
      </c>
      <c r="C476" s="4" t="str">
        <f>IFERROR(__xludf.DUMMYFUNCTION("""COMPUTED_VALUE"""),"qamarunnisa.k@onixnet.com")</f>
        <v>qamarunnisa.k@onixnet.com</v>
      </c>
      <c r="D476" s="4" t="str">
        <f>IFERROR(__xludf.DUMMYFUNCTION("""COMPUTED_VALUE"""),"Active")</f>
        <v>Active</v>
      </c>
      <c r="E476" s="4" t="str">
        <f>IFERROR(__xludf.DUMMYFUNCTION("""COMPUTED_VALUE"""),"Delivery Services")</f>
        <v>Delivery Services</v>
      </c>
      <c r="F476" s="4" t="str">
        <f>IFERROR(__xludf.DUMMYFUNCTION("""COMPUTED_VALUE"""),"Aarti Borhade")</f>
        <v>Aarti Borhade</v>
      </c>
      <c r="G476" s="4" t="str">
        <f>IFERROR(__xludf.DUMMYFUNCTION("""COMPUTED_VALUE"""),"Cluster - Sagar")</f>
        <v>Cluster - Sagar</v>
      </c>
      <c r="H476" s="4" t="str">
        <f>IFERROR(__xludf.DUMMYFUNCTION("""COMPUTED_VALUE"""),"ONIQKBGU6")</f>
        <v>ONIQKBGU6</v>
      </c>
      <c r="I476" s="5">
        <f>IFERROR(__xludf.DUMMYFUNCTION("""COMPUTED_VALUE"""),27.0)</f>
        <v>27</v>
      </c>
      <c r="J476" s="4" t="str">
        <f>IFERROR(__xludf.DUMMYFUNCTION("""COMPUTED_VALUE"""),"Tier 3")</f>
        <v>Tier 3</v>
      </c>
      <c r="K476" s="4" t="str">
        <f>IFERROR(__xludf.DUMMYFUNCTION("""COMPUTED_VALUE"""),"Active")</f>
        <v>Active</v>
      </c>
      <c r="L476" s="4" t="str">
        <f>IFERROR(__xludf.DUMMYFUNCTION("""COMPUTED_VALUE"""),"BigQuery")</f>
        <v>BigQuery</v>
      </c>
    </row>
    <row r="477">
      <c r="A477" s="4" t="str">
        <f>IFERROR(__xludf.DUMMYFUNCTION("""COMPUTED_VALUE"""),"DME2417")</f>
        <v>DME2417</v>
      </c>
      <c r="B477" s="4" t="str">
        <f>IFERROR(__xludf.DUMMYFUNCTION("""COMPUTED_VALUE"""),"Onkar Chandrakant Nikam")</f>
        <v>Onkar Chandrakant Nikam</v>
      </c>
      <c r="C477" s="4" t="str">
        <f>IFERROR(__xludf.DUMMYFUNCTION("""COMPUTED_VALUE"""),"onkar.nikam@onixnet.com")</f>
        <v>onkar.nikam@onixnet.com</v>
      </c>
      <c r="D477" s="4" t="str">
        <f>IFERROR(__xludf.DUMMYFUNCTION("""COMPUTED_VALUE"""),"Active")</f>
        <v>Active</v>
      </c>
      <c r="E477" s="4" t="str">
        <f>IFERROR(__xludf.DUMMYFUNCTION("""COMPUTED_VALUE"""),"Delivery Services")</f>
        <v>Delivery Services</v>
      </c>
      <c r="F477" s="4" t="str">
        <f>IFERROR(__xludf.DUMMYFUNCTION("""COMPUTED_VALUE"""),"Varun Katyal")</f>
        <v>Varun Katyal</v>
      </c>
      <c r="G477" s="4" t="str">
        <f>IFERROR(__xludf.DUMMYFUNCTION("""COMPUTED_VALUE"""),"Cluster - Varun")</f>
        <v>Cluster - Varun</v>
      </c>
      <c r="H477" s="4" t="str">
        <f>IFERROR(__xludf.DUMMYFUNCTION("""COMPUTED_VALUE"""),"ONIONYZG6")</f>
        <v>ONIONYZG6</v>
      </c>
      <c r="I477" s="5">
        <f>IFERROR(__xludf.DUMMYFUNCTION("""COMPUTED_VALUE"""),19.0)</f>
        <v>19</v>
      </c>
      <c r="J477" s="4" t="str">
        <f>IFERROR(__xludf.DUMMYFUNCTION("""COMPUTED_VALUE"""),"Tier 4")</f>
        <v>Tier 4</v>
      </c>
      <c r="K477" s="4" t="str">
        <f>IFERROR(__xludf.DUMMYFUNCTION("""COMPUTED_VALUE"""),"Active")</f>
        <v>Active</v>
      </c>
      <c r="L477" s="4" t="str">
        <f>IFERROR(__xludf.DUMMYFUNCTION("""COMPUTED_VALUE"""),"Google Kubernetes Engine")</f>
        <v>Google Kubernetes Engine</v>
      </c>
    </row>
    <row r="478">
      <c r="A478" s="4" t="str">
        <f>IFERROR(__xludf.DUMMYFUNCTION("""COMPUTED_VALUE"""),"DME2423")</f>
        <v>DME2423</v>
      </c>
      <c r="B478" s="4" t="str">
        <f>IFERROR(__xludf.DUMMYFUNCTION("""COMPUTED_VALUE"""),"Bimbisar Damodhar Kamble")</f>
        <v>Bimbisar Damodhar Kamble</v>
      </c>
      <c r="C478" s="4" t="str">
        <f>IFERROR(__xludf.DUMMYFUNCTION("""COMPUTED_VALUE"""),"bimbisar.k@onixnet.com")</f>
        <v>bimbisar.k@onixnet.com</v>
      </c>
      <c r="D478" s="4" t="str">
        <f>IFERROR(__xludf.DUMMYFUNCTION("""COMPUTED_VALUE"""),"Active")</f>
        <v>Active</v>
      </c>
      <c r="E478" s="4" t="str">
        <f>IFERROR(__xludf.DUMMYFUNCTION("""COMPUTED_VALUE"""),"Delivery Services")</f>
        <v>Delivery Services</v>
      </c>
      <c r="F478" s="4" t="str">
        <f>IFERROR(__xludf.DUMMYFUNCTION("""COMPUTED_VALUE"""),"Shubhendu Shubhendu")</f>
        <v>Shubhendu Shubhendu</v>
      </c>
      <c r="G478" s="4" t="str">
        <f>IFERROR(__xludf.DUMMYFUNCTION("""COMPUTED_VALUE"""),"Cluster - Kanhaiya")</f>
        <v>Cluster - Kanhaiya</v>
      </c>
      <c r="H478" s="4" t="str">
        <f>IFERROR(__xludf.DUMMYFUNCTION("""COMPUTED_VALUE"""),"ONIBKSIY6")</f>
        <v>ONIBKSIY6</v>
      </c>
      <c r="I478" s="5">
        <f>IFERROR(__xludf.DUMMYFUNCTION("""COMPUTED_VALUE"""),11.0)</f>
        <v>11</v>
      </c>
      <c r="J478" s="4" t="str">
        <f>IFERROR(__xludf.DUMMYFUNCTION("""COMPUTED_VALUE"""),"Tier 4")</f>
        <v>Tier 4</v>
      </c>
      <c r="K478" s="4" t="str">
        <f>IFERROR(__xludf.DUMMYFUNCTION("""COMPUTED_VALUE"""),"Active")</f>
        <v>Active</v>
      </c>
      <c r="L478" s="4" t="str">
        <f>IFERROR(__xludf.DUMMYFUNCTION("""COMPUTED_VALUE"""),"Gemini Enterprise Agent Platform")</f>
        <v>Gemini Enterprise Agent Platform</v>
      </c>
    </row>
    <row r="479">
      <c r="A479" s="4" t="str">
        <f>IFERROR(__xludf.DUMMYFUNCTION("""COMPUTED_VALUE"""),"DME2425")</f>
        <v>DME2425</v>
      </c>
      <c r="B479" s="4" t="str">
        <f>IFERROR(__xludf.DUMMYFUNCTION("""COMPUTED_VALUE"""),"Vaibhav Mittal")</f>
        <v>Vaibhav Mittal</v>
      </c>
      <c r="C479" s="4" t="str">
        <f>IFERROR(__xludf.DUMMYFUNCTION("""COMPUTED_VALUE"""),"vaibhav.mittal@onixnet.com")</f>
        <v>vaibhav.mittal@onixnet.com</v>
      </c>
      <c r="D479" s="4" t="str">
        <f>IFERROR(__xludf.DUMMYFUNCTION("""COMPUTED_VALUE"""),"Active")</f>
        <v>Active</v>
      </c>
      <c r="E479" s="4" t="str">
        <f>IFERROR(__xludf.DUMMYFUNCTION("""COMPUTED_VALUE"""),"Delivery Services")</f>
        <v>Delivery Services</v>
      </c>
      <c r="F479" s="4" t="str">
        <f>IFERROR(__xludf.DUMMYFUNCTION("""COMPUTED_VALUE"""),"Varunesh Khandelwal")</f>
        <v>Varunesh Khandelwal</v>
      </c>
      <c r="G479" s="4" t="str">
        <f>IFERROR(__xludf.DUMMYFUNCTION("""COMPUTED_VALUE"""),"Cluster - Gaurav")</f>
        <v>Cluster - Gaurav</v>
      </c>
      <c r="H479" s="4" t="str">
        <f>IFERROR(__xludf.DUMMYFUNCTION("""COMPUTED_VALUE"""),"ONIVMOHW7")</f>
        <v>ONIVMOHW7</v>
      </c>
      <c r="I479" s="5">
        <f>IFERROR(__xludf.DUMMYFUNCTION("""COMPUTED_VALUE"""),0.0)</f>
        <v>0</v>
      </c>
      <c r="J479" s="4" t="str">
        <f>IFERROR(__xludf.DUMMYFUNCTION("""COMPUTED_VALUE"""),"Tier 4")</f>
        <v>Tier 4</v>
      </c>
      <c r="K479" s="4" t="str">
        <f>IFERROR(__xludf.DUMMYFUNCTION("""COMPUTED_VALUE"""),"ID Created DRP score 0")</f>
        <v>ID Created DRP score 0</v>
      </c>
      <c r="L479" s="4"/>
    </row>
    <row r="480">
      <c r="A480" s="4" t="str">
        <f>IFERROR(__xludf.DUMMYFUNCTION("""COMPUTED_VALUE"""),"DME2428")</f>
        <v>DME2428</v>
      </c>
      <c r="B480" s="4" t="str">
        <f>IFERROR(__xludf.DUMMYFUNCTION("""COMPUTED_VALUE"""),"Chaitrali Uddhav Ugale")</f>
        <v>Chaitrali Uddhav Ugale</v>
      </c>
      <c r="C480" s="4" t="str">
        <f>IFERROR(__xludf.DUMMYFUNCTION("""COMPUTED_VALUE"""),"chaitrali.ugale@onixnet.com")</f>
        <v>chaitrali.ugale@onixnet.com</v>
      </c>
      <c r="D480" s="4" t="str">
        <f>IFERROR(__xludf.DUMMYFUNCTION("""COMPUTED_VALUE"""),"Active")</f>
        <v>Active</v>
      </c>
      <c r="E480" s="4" t="str">
        <f>IFERROR(__xludf.DUMMYFUNCTION("""COMPUTED_VALUE"""),"Product Engineering")</f>
        <v>Product Engineering</v>
      </c>
      <c r="F480" s="4" t="str">
        <f>IFERROR(__xludf.DUMMYFUNCTION("""COMPUTED_VALUE"""),"Deepak Kadam")</f>
        <v>Deepak Kadam</v>
      </c>
      <c r="G480" s="4" t="str">
        <f>IFERROR(__xludf.DUMMYFUNCTION("""COMPUTED_VALUE"""),"Cluster - Mayur")</f>
        <v>Cluster - Mayur</v>
      </c>
      <c r="H480" s="4" t="str">
        <f>IFERROR(__xludf.DUMMYFUNCTION("""COMPUTED_VALUE"""),"ONICUUMF6")</f>
        <v>ONICUUMF6</v>
      </c>
      <c r="I480" s="5">
        <f>IFERROR(__xludf.DUMMYFUNCTION("""COMPUTED_VALUE"""),0.0)</f>
        <v>0</v>
      </c>
      <c r="J480" s="4" t="str">
        <f>IFERROR(__xludf.DUMMYFUNCTION("""COMPUTED_VALUE"""),"Tier 4")</f>
        <v>Tier 4</v>
      </c>
      <c r="K480" s="4" t="str">
        <f>IFERROR(__xludf.DUMMYFUNCTION("""COMPUTED_VALUE"""),"ID Created DRP score 0")</f>
        <v>ID Created DRP score 0</v>
      </c>
      <c r="L480" s="4"/>
    </row>
    <row r="481">
      <c r="A481" s="4" t="str">
        <f>IFERROR(__xludf.DUMMYFUNCTION("""COMPUTED_VALUE"""),"DME2430")</f>
        <v>DME2430</v>
      </c>
      <c r="B481" s="4" t="str">
        <f>IFERROR(__xludf.DUMMYFUNCTION("""COMPUTED_VALUE"""),"Anuj Nandkishor Mehere")</f>
        <v>Anuj Nandkishor Mehere</v>
      </c>
      <c r="C481" s="4" t="str">
        <f>IFERROR(__xludf.DUMMYFUNCTION("""COMPUTED_VALUE"""),"anuj.mehere@onixnet.com")</f>
        <v>anuj.mehere@onixnet.com</v>
      </c>
      <c r="D481" s="4" t="str">
        <f>IFERROR(__xludf.DUMMYFUNCTION("""COMPUTED_VALUE"""),"Active")</f>
        <v>Active</v>
      </c>
      <c r="E481" s="4" t="str">
        <f>IFERROR(__xludf.DUMMYFUNCTION("""COMPUTED_VALUE"""),"Product Engineering")</f>
        <v>Product Engineering</v>
      </c>
      <c r="F481" s="4" t="str">
        <f>IFERROR(__xludf.DUMMYFUNCTION("""COMPUTED_VALUE"""),"Vivek Dhagat")</f>
        <v>Vivek Dhagat</v>
      </c>
      <c r="G481" s="4" t="str">
        <f>IFERROR(__xludf.DUMMYFUNCTION("""COMPUTED_VALUE"""),"Cluster - Mayur")</f>
        <v>Cluster - Mayur</v>
      </c>
      <c r="H481" s="4" t="str">
        <f>IFERROR(__xludf.DUMMYFUNCTION("""COMPUTED_VALUE"""),"ONIAMQTG4")</f>
        <v>ONIAMQTG4</v>
      </c>
      <c r="I481" s="5">
        <f>IFERROR(__xludf.DUMMYFUNCTION("""COMPUTED_VALUE"""),10.0)</f>
        <v>10</v>
      </c>
      <c r="J481" s="4" t="str">
        <f>IFERROR(__xludf.DUMMYFUNCTION("""COMPUTED_VALUE"""),"Tier 4")</f>
        <v>Tier 4</v>
      </c>
      <c r="K481" s="4" t="str">
        <f>IFERROR(__xludf.DUMMYFUNCTION("""COMPUTED_VALUE"""),"Active")</f>
        <v>Active</v>
      </c>
      <c r="L481" s="4" t="str">
        <f>IFERROR(__xludf.DUMMYFUNCTION("""COMPUTED_VALUE"""),"AI Applications")</f>
        <v>AI Applications</v>
      </c>
    </row>
    <row r="482">
      <c r="A482" s="4" t="str">
        <f>IFERROR(__xludf.DUMMYFUNCTION("""COMPUTED_VALUE"""),"DME2433")</f>
        <v>DME2433</v>
      </c>
      <c r="B482" s="4" t="str">
        <f>IFERROR(__xludf.DUMMYFUNCTION("""COMPUTED_VALUE"""),"Bhushan Ramdas Dharamkar")</f>
        <v>Bhushan Ramdas Dharamkar</v>
      </c>
      <c r="C482" s="4" t="str">
        <f>IFERROR(__xludf.DUMMYFUNCTION("""COMPUTED_VALUE"""),"bhushan.d@onixnet.com")</f>
        <v>bhushan.d@onixnet.com</v>
      </c>
      <c r="D482" s="4" t="str">
        <f>IFERROR(__xludf.DUMMYFUNCTION("""COMPUTED_VALUE"""),"Active")</f>
        <v>Active</v>
      </c>
      <c r="E482" s="4" t="str">
        <f>IFERROR(__xludf.DUMMYFUNCTION("""COMPUTED_VALUE"""),"Delivery Services")</f>
        <v>Delivery Services</v>
      </c>
      <c r="F482" s="4" t="str">
        <f>IFERROR(__xludf.DUMMYFUNCTION("""COMPUTED_VALUE"""),"Shubham Agnihotri")</f>
        <v>Shubham Agnihotri</v>
      </c>
      <c r="G482" s="4" t="str">
        <f>IFERROR(__xludf.DUMMYFUNCTION("""COMPUTED_VALUE"""),"Cluster - Gaurav")</f>
        <v>Cluster - Gaurav</v>
      </c>
      <c r="H482" s="4"/>
      <c r="I482" s="5"/>
      <c r="J482" s="4"/>
      <c r="K482" s="4" t="str">
        <f>IFERROR(__xludf.DUMMYFUNCTION("""COMPUTED_VALUE"""),"ID Not Created")</f>
        <v>ID Not Created</v>
      </c>
      <c r="L482" s="4"/>
    </row>
    <row r="483">
      <c r="A483" s="4" t="str">
        <f>IFERROR(__xludf.DUMMYFUNCTION("""COMPUTED_VALUE"""),"DME2434")</f>
        <v>DME2434</v>
      </c>
      <c r="B483" s="4" t="str">
        <f>IFERROR(__xludf.DUMMYFUNCTION("""COMPUTED_VALUE"""),"Priyanka Daulatrao Ethape")</f>
        <v>Priyanka Daulatrao Ethape</v>
      </c>
      <c r="C483" s="4" t="str">
        <f>IFERROR(__xludf.DUMMYFUNCTION("""COMPUTED_VALUE"""),"priyanka.ethape@onixnet.com")</f>
        <v>priyanka.ethape@onixnet.com</v>
      </c>
      <c r="D483" s="4" t="str">
        <f>IFERROR(__xludf.DUMMYFUNCTION("""COMPUTED_VALUE"""),"Active")</f>
        <v>Active</v>
      </c>
      <c r="E483" s="4" t="str">
        <f>IFERROR(__xludf.DUMMYFUNCTION("""COMPUTED_VALUE"""),"Delivery Services")</f>
        <v>Delivery Services</v>
      </c>
      <c r="F483" s="4" t="str">
        <f>IFERROR(__xludf.DUMMYFUNCTION("""COMPUTED_VALUE"""),"Priyanka Jain")</f>
        <v>Priyanka Jain</v>
      </c>
      <c r="G483" s="4" t="str">
        <f>IFERROR(__xludf.DUMMYFUNCTION("""COMPUTED_VALUE"""),"Cluster - Sagar")</f>
        <v>Cluster - Sagar</v>
      </c>
      <c r="H483" s="4" t="str">
        <f>IFERROR(__xludf.DUMMYFUNCTION("""COMPUTED_VALUE"""),"ONIPENVU4")</f>
        <v>ONIPENVU4</v>
      </c>
      <c r="I483" s="5">
        <f>IFERROR(__xludf.DUMMYFUNCTION("""COMPUTED_VALUE"""),12.0)</f>
        <v>12</v>
      </c>
      <c r="J483" s="4" t="str">
        <f>IFERROR(__xludf.DUMMYFUNCTION("""COMPUTED_VALUE"""),"Tier 4")</f>
        <v>Tier 4</v>
      </c>
      <c r="K483" s="4" t="str">
        <f>IFERROR(__xludf.DUMMYFUNCTION("""COMPUTED_VALUE"""),"Active")</f>
        <v>Active</v>
      </c>
      <c r="L483" s="4" t="str">
        <f>IFERROR(__xludf.DUMMYFUNCTION("""COMPUTED_VALUE"""),"Gemini Enterprise Agent Platform")</f>
        <v>Gemini Enterprise Agent Platform</v>
      </c>
    </row>
    <row r="484">
      <c r="A484" s="4" t="str">
        <f>IFERROR(__xludf.DUMMYFUNCTION("""COMPUTED_VALUE"""),"DME2435")</f>
        <v>DME2435</v>
      </c>
      <c r="B484" s="4" t="str">
        <f>IFERROR(__xludf.DUMMYFUNCTION("""COMPUTED_VALUE"""),"Vaibhav Vinod Kame")</f>
        <v>Vaibhav Vinod Kame</v>
      </c>
      <c r="C484" s="4" t="str">
        <f>IFERROR(__xludf.DUMMYFUNCTION("""COMPUTED_VALUE"""),"Vaibhav.Kame@onixnet.com")</f>
        <v>Vaibhav.Kame@onixnet.com</v>
      </c>
      <c r="D484" s="4" t="str">
        <f>IFERROR(__xludf.DUMMYFUNCTION("""COMPUTED_VALUE"""),"Active")</f>
        <v>Active</v>
      </c>
      <c r="E484" s="4" t="str">
        <f>IFERROR(__xludf.DUMMYFUNCTION("""COMPUTED_VALUE"""),"Delivery Services")</f>
        <v>Delivery Services</v>
      </c>
      <c r="F484" s="4" t="str">
        <f>IFERROR(__xludf.DUMMYFUNCTION("""COMPUTED_VALUE"""),"Chinmay Deshpande")</f>
        <v>Chinmay Deshpande</v>
      </c>
      <c r="G484" s="4" t="str">
        <f>IFERROR(__xludf.DUMMYFUNCTION("""COMPUTED_VALUE"""),"Cluster - Sagar")</f>
        <v>Cluster - Sagar</v>
      </c>
      <c r="H484" s="4" t="str">
        <f>IFERROR(__xludf.DUMMYFUNCTION("""COMPUTED_VALUE"""),"ONIVKVLR2")</f>
        <v>ONIVKVLR2</v>
      </c>
      <c r="I484" s="5">
        <f>IFERROR(__xludf.DUMMYFUNCTION("""COMPUTED_VALUE"""),0.0)</f>
        <v>0</v>
      </c>
      <c r="J484" s="4" t="str">
        <f>IFERROR(__xludf.DUMMYFUNCTION("""COMPUTED_VALUE"""),"Tier 4")</f>
        <v>Tier 4</v>
      </c>
      <c r="K484" s="4" t="str">
        <f>IFERROR(__xludf.DUMMYFUNCTION("""COMPUTED_VALUE"""),"ID Created DRP score 0")</f>
        <v>ID Created DRP score 0</v>
      </c>
      <c r="L484" s="4"/>
    </row>
    <row r="485">
      <c r="A485" s="4" t="str">
        <f>IFERROR(__xludf.DUMMYFUNCTION("""COMPUTED_VALUE"""),"DME2439")</f>
        <v>DME2439</v>
      </c>
      <c r="B485" s="4" t="str">
        <f>IFERROR(__xludf.DUMMYFUNCTION("""COMPUTED_VALUE"""),"Mayur Kasar")</f>
        <v>Mayur Kasar</v>
      </c>
      <c r="C485" s="4" t="str">
        <f>IFERROR(__xludf.DUMMYFUNCTION("""COMPUTED_VALUE"""),"mayur.kasar@onixnet.com")</f>
        <v>mayur.kasar@onixnet.com</v>
      </c>
      <c r="D485" s="4" t="str">
        <f>IFERROR(__xludf.DUMMYFUNCTION("""COMPUTED_VALUE"""),"Active")</f>
        <v>Active</v>
      </c>
      <c r="E485" s="4" t="str">
        <f>IFERROR(__xludf.DUMMYFUNCTION("""COMPUTED_VALUE"""),"Solutions and Pre-Sales")</f>
        <v>Solutions and Pre-Sales</v>
      </c>
      <c r="F485" s="4" t="str">
        <f>IFERROR(__xludf.DUMMYFUNCTION("""COMPUTED_VALUE"""),"Varun Katyal")</f>
        <v>Varun Katyal</v>
      </c>
      <c r="G485" s="4" t="str">
        <f>IFERROR(__xludf.DUMMYFUNCTION("""COMPUTED_VALUE"""),"Cluster - Varun")</f>
        <v>Cluster - Varun</v>
      </c>
      <c r="H485" s="4" t="str">
        <f>IFERROR(__xludf.DUMMYFUNCTION("""COMPUTED_VALUE"""),"ONIMKHAI2")</f>
        <v>ONIMKHAI2</v>
      </c>
      <c r="I485" s="5">
        <f>IFERROR(__xludf.DUMMYFUNCTION("""COMPUTED_VALUE"""),15.0)</f>
        <v>15</v>
      </c>
      <c r="J485" s="4" t="str">
        <f>IFERROR(__xludf.DUMMYFUNCTION("""COMPUTED_VALUE"""),"Tier 4")</f>
        <v>Tier 4</v>
      </c>
      <c r="K485" s="4" t="str">
        <f>IFERROR(__xludf.DUMMYFUNCTION("""COMPUTED_VALUE"""),"Active")</f>
        <v>Active</v>
      </c>
      <c r="L485" s="4" t="str">
        <f>IFERROR(__xludf.DUMMYFUNCTION("""COMPUTED_VALUE"""),"Gemini Enterprise")</f>
        <v>Gemini Enterprise</v>
      </c>
    </row>
    <row r="486">
      <c r="A486" s="4" t="str">
        <f>IFERROR(__xludf.DUMMYFUNCTION("""COMPUTED_VALUE"""),"DME2440")</f>
        <v>DME2440</v>
      </c>
      <c r="B486" s="4" t="str">
        <f>IFERROR(__xludf.DUMMYFUNCTION("""COMPUTED_VALUE"""),"Chetana Shriram Hande")</f>
        <v>Chetana Shriram Hande</v>
      </c>
      <c r="C486" s="4" t="str">
        <f>IFERROR(__xludf.DUMMYFUNCTION("""COMPUTED_VALUE"""),"chetana.hande@onixnet.com")</f>
        <v>chetana.hande@onixnet.com</v>
      </c>
      <c r="D486" s="4" t="str">
        <f>IFERROR(__xludf.DUMMYFUNCTION("""COMPUTED_VALUE"""),"Active")</f>
        <v>Active</v>
      </c>
      <c r="E486" s="4" t="str">
        <f>IFERROR(__xludf.DUMMYFUNCTION("""COMPUTED_VALUE"""),"Delivery Services")</f>
        <v>Delivery Services</v>
      </c>
      <c r="F486" s="4" t="str">
        <f>IFERROR(__xludf.DUMMYFUNCTION("""COMPUTED_VALUE"""),"Sheela Sawant")</f>
        <v>Sheela Sawant</v>
      </c>
      <c r="G486" s="4" t="str">
        <f>IFERROR(__xludf.DUMMYFUNCTION("""COMPUTED_VALUE"""),"Cluster - Sagar")</f>
        <v>Cluster - Sagar</v>
      </c>
      <c r="H486" s="4" t="str">
        <f>IFERROR(__xludf.DUMMYFUNCTION("""COMPUTED_VALUE"""),"ONICHJHO8")</f>
        <v>ONICHJHO8</v>
      </c>
      <c r="I486" s="5">
        <f>IFERROR(__xludf.DUMMYFUNCTION("""COMPUTED_VALUE"""),18.0)</f>
        <v>18</v>
      </c>
      <c r="J486" s="4" t="str">
        <f>IFERROR(__xludf.DUMMYFUNCTION("""COMPUTED_VALUE"""),"Tier 4")</f>
        <v>Tier 4</v>
      </c>
      <c r="K486" s="4" t="str">
        <f>IFERROR(__xludf.DUMMYFUNCTION("""COMPUTED_VALUE"""),"Active")</f>
        <v>Active</v>
      </c>
      <c r="L486" s="4" t="str">
        <f>IFERROR(__xludf.DUMMYFUNCTION("""COMPUTED_VALUE"""),"BigQuery")</f>
        <v>BigQuery</v>
      </c>
    </row>
    <row r="487">
      <c r="A487" s="4" t="str">
        <f>IFERROR(__xludf.DUMMYFUNCTION("""COMPUTED_VALUE"""),"DME2442")</f>
        <v>DME2442</v>
      </c>
      <c r="B487" s="4" t="str">
        <f>IFERROR(__xludf.DUMMYFUNCTION("""COMPUTED_VALUE"""),"V Upendra Rangisetti")</f>
        <v>V Upendra Rangisetti</v>
      </c>
      <c r="C487" s="4" t="str">
        <f>IFERROR(__xludf.DUMMYFUNCTION("""COMPUTED_VALUE"""),"upendra.r@onixnet.com")</f>
        <v>upendra.r@onixnet.com</v>
      </c>
      <c r="D487" s="4" t="str">
        <f>IFERROR(__xludf.DUMMYFUNCTION("""COMPUTED_VALUE"""),"Active")</f>
        <v>Active</v>
      </c>
      <c r="E487" s="4" t="str">
        <f>IFERROR(__xludf.DUMMYFUNCTION("""COMPUTED_VALUE"""),"Delivery Services")</f>
        <v>Delivery Services</v>
      </c>
      <c r="F487" s="4" t="str">
        <f>IFERROR(__xludf.DUMMYFUNCTION("""COMPUTED_VALUE"""),"Dinesh Bhamare")</f>
        <v>Dinesh Bhamare</v>
      </c>
      <c r="G487" s="4" t="str">
        <f>IFERROR(__xludf.DUMMYFUNCTION("""COMPUTED_VALUE"""),"Cluster - Shreepad")</f>
        <v>Cluster - Shreepad</v>
      </c>
      <c r="H487" s="4" t="str">
        <f>IFERROR(__xludf.DUMMYFUNCTION("""COMPUTED_VALUE"""),"ONIURMNI7")</f>
        <v>ONIURMNI7</v>
      </c>
      <c r="I487" s="5">
        <f>IFERROR(__xludf.DUMMYFUNCTION("""COMPUTED_VALUE"""),18.0)</f>
        <v>18</v>
      </c>
      <c r="J487" s="4" t="str">
        <f>IFERROR(__xludf.DUMMYFUNCTION("""COMPUTED_VALUE"""),"Tier 4")</f>
        <v>Tier 4</v>
      </c>
      <c r="K487" s="4" t="str">
        <f>IFERROR(__xludf.DUMMYFUNCTION("""COMPUTED_VALUE"""),"Active")</f>
        <v>Active</v>
      </c>
      <c r="L487" s="4" t="str">
        <f>IFERROR(__xludf.DUMMYFUNCTION("""COMPUTED_VALUE"""),"BigQuery")</f>
        <v>BigQuery</v>
      </c>
    </row>
    <row r="488">
      <c r="A488" s="4" t="str">
        <f>IFERROR(__xludf.DUMMYFUNCTION("""COMPUTED_VALUE"""),"DME2443")</f>
        <v>DME2443</v>
      </c>
      <c r="B488" s="4" t="str">
        <f>IFERROR(__xludf.DUMMYFUNCTION("""COMPUTED_VALUE"""),"Nikhil Duryodhan Chavan")</f>
        <v>Nikhil Duryodhan Chavan</v>
      </c>
      <c r="C488" s="4" t="str">
        <f>IFERROR(__xludf.DUMMYFUNCTION("""COMPUTED_VALUE"""),"nikhil.chavan@onixnet.com")</f>
        <v>nikhil.chavan@onixnet.com</v>
      </c>
      <c r="D488" s="4" t="str">
        <f>IFERROR(__xludf.DUMMYFUNCTION("""COMPUTED_VALUE"""),"Active")</f>
        <v>Active</v>
      </c>
      <c r="E488" s="4" t="str">
        <f>IFERROR(__xludf.DUMMYFUNCTION("""COMPUTED_VALUE"""),"Delivery Services")</f>
        <v>Delivery Services</v>
      </c>
      <c r="F488" s="4" t="str">
        <f>IFERROR(__xludf.DUMMYFUNCTION("""COMPUTED_VALUE"""),"Chinmay Deshpande")</f>
        <v>Chinmay Deshpande</v>
      </c>
      <c r="G488" s="4" t="str">
        <f>IFERROR(__xludf.DUMMYFUNCTION("""COMPUTED_VALUE"""),"Cluster - Sagar")</f>
        <v>Cluster - Sagar</v>
      </c>
      <c r="H488" s="4" t="str">
        <f>IFERROR(__xludf.DUMMYFUNCTION("""COMPUTED_VALUE"""),"ONINCFTM2")</f>
        <v>ONINCFTM2</v>
      </c>
      <c r="I488" s="5">
        <f>IFERROR(__xludf.DUMMYFUNCTION("""COMPUTED_VALUE"""),5.0)</f>
        <v>5</v>
      </c>
      <c r="J488" s="4" t="str">
        <f>IFERROR(__xludf.DUMMYFUNCTION("""COMPUTED_VALUE"""),"Tier 4")</f>
        <v>Tier 4</v>
      </c>
      <c r="K488" s="4" t="str">
        <f>IFERROR(__xludf.DUMMYFUNCTION("""COMPUTED_VALUE"""),"Active")</f>
        <v>Active</v>
      </c>
      <c r="L488" s="4" t="str">
        <f>IFERROR(__xludf.DUMMYFUNCTION("""COMPUTED_VALUE"""),"BigQuery")</f>
        <v>BigQuery</v>
      </c>
    </row>
    <row r="489">
      <c r="A489" s="4" t="str">
        <f>IFERROR(__xludf.DUMMYFUNCTION("""COMPUTED_VALUE"""),"DME2448")</f>
        <v>DME2448</v>
      </c>
      <c r="B489" s="4" t="str">
        <f>IFERROR(__xludf.DUMMYFUNCTION("""COMPUTED_VALUE"""),"Prajktaraje Mukund Deshmukh")</f>
        <v>Prajktaraje Mukund Deshmukh</v>
      </c>
      <c r="C489" s="4" t="str">
        <f>IFERROR(__xludf.DUMMYFUNCTION("""COMPUTED_VALUE"""),"prajktaraje.d@onixnet.com")</f>
        <v>prajktaraje.d@onixnet.com</v>
      </c>
      <c r="D489" s="4" t="str">
        <f>IFERROR(__xludf.DUMMYFUNCTION("""COMPUTED_VALUE"""),"Active")</f>
        <v>Active</v>
      </c>
      <c r="E489" s="4" t="str">
        <f>IFERROR(__xludf.DUMMYFUNCTION("""COMPUTED_VALUE"""),"Product Engineering")</f>
        <v>Product Engineering</v>
      </c>
      <c r="F489" s="4" t="str">
        <f>IFERROR(__xludf.DUMMYFUNCTION("""COMPUTED_VALUE"""),"Vivek Dhagat")</f>
        <v>Vivek Dhagat</v>
      </c>
      <c r="G489" s="4" t="str">
        <f>IFERROR(__xludf.DUMMYFUNCTION("""COMPUTED_VALUE"""),"Cluster - Mayur")</f>
        <v>Cluster - Mayur</v>
      </c>
      <c r="H489" s="4"/>
      <c r="I489" s="5"/>
      <c r="J489" s="4"/>
      <c r="K489" s="4" t="str">
        <f>IFERROR(__xludf.DUMMYFUNCTION("""COMPUTED_VALUE"""),"ID Not Created")</f>
        <v>ID Not Created</v>
      </c>
      <c r="L489" s="4"/>
    </row>
    <row r="490">
      <c r="A490" s="4" t="str">
        <f>IFERROR(__xludf.DUMMYFUNCTION("""COMPUTED_VALUE"""),"DME2451")</f>
        <v>DME2451</v>
      </c>
      <c r="B490" s="4" t="str">
        <f>IFERROR(__xludf.DUMMYFUNCTION("""COMPUTED_VALUE"""),"Omkar Sanjay Shivarkar")</f>
        <v>Omkar Sanjay Shivarkar</v>
      </c>
      <c r="C490" s="4" t="str">
        <f>IFERROR(__xludf.DUMMYFUNCTION("""COMPUTED_VALUE"""),"omkar.shivarkar@onixnet.com")</f>
        <v>omkar.shivarkar@onixnet.com</v>
      </c>
      <c r="D490" s="4" t="str">
        <f>IFERROR(__xludf.DUMMYFUNCTION("""COMPUTED_VALUE"""),"Active")</f>
        <v>Active</v>
      </c>
      <c r="E490" s="4" t="str">
        <f>IFERROR(__xludf.DUMMYFUNCTION("""COMPUTED_VALUE"""),"Delivery Services")</f>
        <v>Delivery Services</v>
      </c>
      <c r="F490" s="4" t="str">
        <f>IFERROR(__xludf.DUMMYFUNCTION("""COMPUTED_VALUE"""),"Shreyas Meshram")</f>
        <v>Shreyas Meshram</v>
      </c>
      <c r="G490" s="4" t="str">
        <f>IFERROR(__xludf.DUMMYFUNCTION("""COMPUTED_VALUE"""),"Cluster - Gaurav")</f>
        <v>Cluster - Gaurav</v>
      </c>
      <c r="H490" s="4" t="str">
        <f>IFERROR(__xludf.DUMMYFUNCTION("""COMPUTED_VALUE"""),"ONIOSHKR0")</f>
        <v>ONIOSHKR0</v>
      </c>
      <c r="I490" s="5">
        <f>IFERROR(__xludf.DUMMYFUNCTION("""COMPUTED_VALUE"""),7.0)</f>
        <v>7</v>
      </c>
      <c r="J490" s="4" t="str">
        <f>IFERROR(__xludf.DUMMYFUNCTION("""COMPUTED_VALUE"""),"Tier 4")</f>
        <v>Tier 4</v>
      </c>
      <c r="K490" s="4" t="str">
        <f>IFERROR(__xludf.DUMMYFUNCTION("""COMPUTED_VALUE"""),"Active")</f>
        <v>Active</v>
      </c>
      <c r="L490" s="4" t="str">
        <f>IFERROR(__xludf.DUMMYFUNCTION("""COMPUTED_VALUE"""),"BigQuery")</f>
        <v>BigQuery</v>
      </c>
    </row>
    <row r="491">
      <c r="A491" s="4" t="str">
        <f>IFERROR(__xludf.DUMMYFUNCTION("""COMPUTED_VALUE"""),"DME2452")</f>
        <v>DME2452</v>
      </c>
      <c r="B491" s="4" t="str">
        <f>IFERROR(__xludf.DUMMYFUNCTION("""COMPUTED_VALUE"""),"Sawase Krishna Rohidas")</f>
        <v>Sawase Krishna Rohidas</v>
      </c>
      <c r="C491" s="4" t="str">
        <f>IFERROR(__xludf.DUMMYFUNCTION("""COMPUTED_VALUE"""),"krishna.sawase@onixnet.com")</f>
        <v>krishna.sawase@onixnet.com</v>
      </c>
      <c r="D491" s="4" t="str">
        <f>IFERROR(__xludf.DUMMYFUNCTION("""COMPUTED_VALUE"""),"Active")</f>
        <v>Active</v>
      </c>
      <c r="E491" s="4" t="str">
        <f>IFERROR(__xludf.DUMMYFUNCTION("""COMPUTED_VALUE"""),"Delivery Services")</f>
        <v>Delivery Services</v>
      </c>
      <c r="F491" s="4" t="str">
        <f>IFERROR(__xludf.DUMMYFUNCTION("""COMPUTED_VALUE"""),"Shreyas Meshram")</f>
        <v>Shreyas Meshram</v>
      </c>
      <c r="G491" s="4" t="str">
        <f>IFERROR(__xludf.DUMMYFUNCTION("""COMPUTED_VALUE"""),"Cluster - Gaurav")</f>
        <v>Cluster - Gaurav</v>
      </c>
      <c r="H491" s="4" t="str">
        <f>IFERROR(__xludf.DUMMYFUNCTION("""COMPUTED_VALUE"""),"ONIKSXKD8")</f>
        <v>ONIKSXKD8</v>
      </c>
      <c r="I491" s="5">
        <f>IFERROR(__xludf.DUMMYFUNCTION("""COMPUTED_VALUE"""),32.0)</f>
        <v>32</v>
      </c>
      <c r="J491" s="4" t="str">
        <f>IFERROR(__xludf.DUMMYFUNCTION("""COMPUTED_VALUE"""),"Tier 3")</f>
        <v>Tier 3</v>
      </c>
      <c r="K491" s="4" t="str">
        <f>IFERROR(__xludf.DUMMYFUNCTION("""COMPUTED_VALUE"""),"Active")</f>
        <v>Active</v>
      </c>
      <c r="L491" s="4" t="str">
        <f>IFERROR(__xludf.DUMMYFUNCTION("""COMPUTED_VALUE"""),"BigQuery")</f>
        <v>BigQuery</v>
      </c>
    </row>
    <row r="492">
      <c r="A492" s="4" t="str">
        <f>IFERROR(__xludf.DUMMYFUNCTION("""COMPUTED_VALUE"""),"DME2454")</f>
        <v>DME2454</v>
      </c>
      <c r="B492" s="4" t="str">
        <f>IFERROR(__xludf.DUMMYFUNCTION("""COMPUTED_VALUE"""),"Swati Manoharrao Raut")</f>
        <v>Swati Manoharrao Raut</v>
      </c>
      <c r="C492" s="4" t="str">
        <f>IFERROR(__xludf.DUMMYFUNCTION("""COMPUTED_VALUE"""),"swati.raut@onixnet.com")</f>
        <v>swati.raut@onixnet.com</v>
      </c>
      <c r="D492" s="4" t="str">
        <f>IFERROR(__xludf.DUMMYFUNCTION("""COMPUTED_VALUE"""),"Active")</f>
        <v>Active</v>
      </c>
      <c r="E492" s="4" t="str">
        <f>IFERROR(__xludf.DUMMYFUNCTION("""COMPUTED_VALUE"""),"Delivery Services")</f>
        <v>Delivery Services</v>
      </c>
      <c r="F492" s="4" t="str">
        <f>IFERROR(__xludf.DUMMYFUNCTION("""COMPUTED_VALUE"""),"Jitender Singh")</f>
        <v>Jitender Singh</v>
      </c>
      <c r="G492" s="4" t="str">
        <f>IFERROR(__xludf.DUMMYFUNCTION("""COMPUTED_VALUE"""),"Cluster - Gaurav")</f>
        <v>Cluster - Gaurav</v>
      </c>
      <c r="H492" s="4" t="str">
        <f>IFERROR(__xludf.DUMMYFUNCTION("""COMPUTED_VALUE"""),"ONISRHRC6")</f>
        <v>ONISRHRC6</v>
      </c>
      <c r="I492" s="5">
        <f>IFERROR(__xludf.DUMMYFUNCTION("""COMPUTED_VALUE"""),24.0)</f>
        <v>24</v>
      </c>
      <c r="J492" s="4" t="str">
        <f>IFERROR(__xludf.DUMMYFUNCTION("""COMPUTED_VALUE"""),"Tier 3")</f>
        <v>Tier 3</v>
      </c>
      <c r="K492" s="4" t="str">
        <f>IFERROR(__xludf.DUMMYFUNCTION("""COMPUTED_VALUE"""),"Active")</f>
        <v>Active</v>
      </c>
      <c r="L492" s="4" t="str">
        <f>IFERROR(__xludf.DUMMYFUNCTION("""COMPUTED_VALUE"""),"BigQuery")</f>
        <v>BigQuery</v>
      </c>
    </row>
    <row r="493">
      <c r="A493" s="4" t="str">
        <f>IFERROR(__xludf.DUMMYFUNCTION("""COMPUTED_VALUE"""),"DME2456")</f>
        <v>DME2456</v>
      </c>
      <c r="B493" s="4" t="str">
        <f>IFERROR(__xludf.DUMMYFUNCTION("""COMPUTED_VALUE"""),"Chandrika Maheshwari")</f>
        <v>Chandrika Maheshwari</v>
      </c>
      <c r="C493" s="4" t="str">
        <f>IFERROR(__xludf.DUMMYFUNCTION("""COMPUTED_VALUE"""),"chandrika.m@onixnet.com")</f>
        <v>chandrika.m@onixnet.com</v>
      </c>
      <c r="D493" s="4" t="str">
        <f>IFERROR(__xludf.DUMMYFUNCTION("""COMPUTED_VALUE"""),"Active")</f>
        <v>Active</v>
      </c>
      <c r="E493" s="4" t="str">
        <f>IFERROR(__xludf.DUMMYFUNCTION("""COMPUTED_VALUE"""),"Delivery Services")</f>
        <v>Delivery Services</v>
      </c>
      <c r="F493" s="4" t="str">
        <f>IFERROR(__xludf.DUMMYFUNCTION("""COMPUTED_VALUE"""),"Kanhaiya Jha")</f>
        <v>Kanhaiya Jha</v>
      </c>
      <c r="G493" s="4" t="str">
        <f>IFERROR(__xludf.DUMMYFUNCTION("""COMPUTED_VALUE"""),"Cluster - Kanhaiya")</f>
        <v>Cluster - Kanhaiya</v>
      </c>
      <c r="H493" s="4" t="str">
        <f>IFERROR(__xludf.DUMMYFUNCTION("""COMPUTED_VALUE"""),"ONICMJFR5")</f>
        <v>ONICMJFR5</v>
      </c>
      <c r="I493" s="5">
        <f>IFERROR(__xludf.DUMMYFUNCTION("""COMPUTED_VALUE"""),0.0)</f>
        <v>0</v>
      </c>
      <c r="J493" s="4" t="str">
        <f>IFERROR(__xludf.DUMMYFUNCTION("""COMPUTED_VALUE"""),"Tier 4")</f>
        <v>Tier 4</v>
      </c>
      <c r="K493" s="4" t="str">
        <f>IFERROR(__xludf.DUMMYFUNCTION("""COMPUTED_VALUE"""),"ID Created DRP score 0")</f>
        <v>ID Created DRP score 0</v>
      </c>
      <c r="L493" s="4"/>
    </row>
    <row r="494">
      <c r="A494" s="4" t="str">
        <f>IFERROR(__xludf.DUMMYFUNCTION("""COMPUTED_VALUE"""),"DME2462")</f>
        <v>DME2462</v>
      </c>
      <c r="B494" s="4" t="str">
        <f>IFERROR(__xludf.DUMMYFUNCTION("""COMPUTED_VALUE"""),"Veerabathiran Thottaiyan")</f>
        <v>Veerabathiran Thottaiyan</v>
      </c>
      <c r="C494" s="4" t="str">
        <f>IFERROR(__xludf.DUMMYFUNCTION("""COMPUTED_VALUE"""),"veerabathiran.t@onixnet.com")</f>
        <v>veerabathiran.t@onixnet.com</v>
      </c>
      <c r="D494" s="4" t="str">
        <f>IFERROR(__xludf.DUMMYFUNCTION("""COMPUTED_VALUE"""),"Active")</f>
        <v>Active</v>
      </c>
      <c r="E494" s="4" t="str">
        <f>IFERROR(__xludf.DUMMYFUNCTION("""COMPUTED_VALUE"""),"Delivery Services")</f>
        <v>Delivery Services</v>
      </c>
      <c r="F494" s="4" t="str">
        <f>IFERROR(__xludf.DUMMYFUNCTION("""COMPUTED_VALUE"""),"Vedant Bhogawade")</f>
        <v>Vedant Bhogawade</v>
      </c>
      <c r="G494" s="4" t="str">
        <f>IFERROR(__xludf.DUMMYFUNCTION("""COMPUTED_VALUE"""),"Cluster - Varun")</f>
        <v>Cluster - Varun</v>
      </c>
      <c r="H494" s="4" t="str">
        <f>IFERROR(__xludf.DUMMYFUNCTION("""COMPUTED_VALUE"""),"DATVTUUG6")</f>
        <v>DATVTUUG6</v>
      </c>
      <c r="I494" s="5">
        <f>IFERROR(__xludf.DUMMYFUNCTION("""COMPUTED_VALUE"""),13.0)</f>
        <v>13</v>
      </c>
      <c r="J494" s="4" t="str">
        <f>IFERROR(__xludf.DUMMYFUNCTION("""COMPUTED_VALUE"""),"Tier 4")</f>
        <v>Tier 4</v>
      </c>
      <c r="K494" s="4" t="str">
        <f>IFERROR(__xludf.DUMMYFUNCTION("""COMPUTED_VALUE"""),"Active")</f>
        <v>Active</v>
      </c>
      <c r="L494" s="4" t="str">
        <f>IFERROR(__xludf.DUMMYFUNCTION("""COMPUTED_VALUE"""),"Google Kubernetes Engine")</f>
        <v>Google Kubernetes Engine</v>
      </c>
    </row>
    <row r="495">
      <c r="A495" s="4" t="str">
        <f>IFERROR(__xludf.DUMMYFUNCTION("""COMPUTED_VALUE"""),"DME2463")</f>
        <v>DME2463</v>
      </c>
      <c r="B495" s="4" t="str">
        <f>IFERROR(__xludf.DUMMYFUNCTION("""COMPUTED_VALUE"""),"Suraj Shivaji Ghotkar")</f>
        <v>Suraj Shivaji Ghotkar</v>
      </c>
      <c r="C495" s="4" t="str">
        <f>IFERROR(__xludf.DUMMYFUNCTION("""COMPUTED_VALUE"""),"suraj.ghotkar@onixnet.com")</f>
        <v>suraj.ghotkar@onixnet.com</v>
      </c>
      <c r="D495" s="4" t="str">
        <f>IFERROR(__xludf.DUMMYFUNCTION("""COMPUTED_VALUE"""),"Active")</f>
        <v>Active</v>
      </c>
      <c r="E495" s="4" t="str">
        <f>IFERROR(__xludf.DUMMYFUNCTION("""COMPUTED_VALUE"""),"Delivery Services")</f>
        <v>Delivery Services</v>
      </c>
      <c r="F495" s="4" t="str">
        <f>IFERROR(__xludf.DUMMYFUNCTION("""COMPUTED_VALUE"""),"Sushant Patil")</f>
        <v>Sushant Patil</v>
      </c>
      <c r="G495" s="4" t="str">
        <f>IFERROR(__xludf.DUMMYFUNCTION("""COMPUTED_VALUE"""),"Cluster - Gaurav")</f>
        <v>Cluster - Gaurav</v>
      </c>
      <c r="H495" s="4" t="str">
        <f>IFERROR(__xludf.DUMMYFUNCTION("""COMPUTED_VALUE"""),"ONISGZCB6")</f>
        <v>ONISGZCB6</v>
      </c>
      <c r="I495" s="5">
        <f>IFERROR(__xludf.DUMMYFUNCTION("""COMPUTED_VALUE"""),21.0)</f>
        <v>21</v>
      </c>
      <c r="J495" s="4" t="str">
        <f>IFERROR(__xludf.DUMMYFUNCTION("""COMPUTED_VALUE"""),"Tier 3")</f>
        <v>Tier 3</v>
      </c>
      <c r="K495" s="4" t="str">
        <f>IFERROR(__xludf.DUMMYFUNCTION("""COMPUTED_VALUE"""),"Active")</f>
        <v>Active</v>
      </c>
      <c r="L495" s="4" t="str">
        <f>IFERROR(__xludf.DUMMYFUNCTION("""COMPUTED_VALUE"""),"BigQuery")</f>
        <v>BigQuery</v>
      </c>
    </row>
    <row r="496">
      <c r="A496" s="4" t="str">
        <f>IFERROR(__xludf.DUMMYFUNCTION("""COMPUTED_VALUE"""),"DME2465")</f>
        <v>DME2465</v>
      </c>
      <c r="B496" s="4" t="str">
        <f>IFERROR(__xludf.DUMMYFUNCTION("""COMPUTED_VALUE"""),"Mohit Pramod Vinchurkar")</f>
        <v>Mohit Pramod Vinchurkar</v>
      </c>
      <c r="C496" s="4" t="str">
        <f>IFERROR(__xludf.DUMMYFUNCTION("""COMPUTED_VALUE"""),"mohit.vinchurkar@onixnet.com")</f>
        <v>mohit.vinchurkar@onixnet.com</v>
      </c>
      <c r="D496" s="4" t="str">
        <f>IFERROR(__xludf.DUMMYFUNCTION("""COMPUTED_VALUE"""),"Active")</f>
        <v>Active</v>
      </c>
      <c r="E496" s="4" t="str">
        <f>IFERROR(__xludf.DUMMYFUNCTION("""COMPUTED_VALUE"""),"Delivery Services")</f>
        <v>Delivery Services</v>
      </c>
      <c r="F496" s="4" t="str">
        <f>IFERROR(__xludf.DUMMYFUNCTION("""COMPUTED_VALUE"""),"Vipul Nilapwar")</f>
        <v>Vipul Nilapwar</v>
      </c>
      <c r="G496" s="4" t="str">
        <f>IFERROR(__xludf.DUMMYFUNCTION("""COMPUTED_VALUE"""),"Cluster - Sachin")</f>
        <v>Cluster - Sachin</v>
      </c>
      <c r="H496" s="4" t="str">
        <f>IFERROR(__xludf.DUMMYFUNCTION("""COMPUTED_VALUE"""),"ONIMVTZL6")</f>
        <v>ONIMVTZL6</v>
      </c>
      <c r="I496" s="5">
        <f>IFERROR(__xludf.DUMMYFUNCTION("""COMPUTED_VALUE"""),20.0)</f>
        <v>20</v>
      </c>
      <c r="J496" s="4" t="str">
        <f>IFERROR(__xludf.DUMMYFUNCTION("""COMPUTED_VALUE"""),"Tier 3")</f>
        <v>Tier 3</v>
      </c>
      <c r="K496" s="4" t="str">
        <f>IFERROR(__xludf.DUMMYFUNCTION("""COMPUTED_VALUE"""),"Active")</f>
        <v>Active</v>
      </c>
      <c r="L496" s="4" t="str">
        <f>IFERROR(__xludf.DUMMYFUNCTION("""COMPUTED_VALUE"""),"Dataproc")</f>
        <v>Dataproc</v>
      </c>
    </row>
    <row r="497">
      <c r="A497" s="4" t="str">
        <f>IFERROR(__xludf.DUMMYFUNCTION("""COMPUTED_VALUE"""),"DME2466")</f>
        <v>DME2466</v>
      </c>
      <c r="B497" s="4" t="str">
        <f>IFERROR(__xludf.DUMMYFUNCTION("""COMPUTED_VALUE"""),"Jahnavi Saparam")</f>
        <v>Jahnavi Saparam</v>
      </c>
      <c r="C497" s="4" t="str">
        <f>IFERROR(__xludf.DUMMYFUNCTION("""COMPUTED_VALUE"""),"Jahnavi.Saparam@onixnet.com")</f>
        <v>Jahnavi.Saparam@onixnet.com</v>
      </c>
      <c r="D497" s="4" t="str">
        <f>IFERROR(__xludf.DUMMYFUNCTION("""COMPUTED_VALUE"""),"Active")</f>
        <v>Active</v>
      </c>
      <c r="E497" s="4" t="str">
        <f>IFERROR(__xludf.DUMMYFUNCTION("""COMPUTED_VALUE"""),"Delivery Services")</f>
        <v>Delivery Services</v>
      </c>
      <c r="F497" s="4" t="str">
        <f>IFERROR(__xludf.DUMMYFUNCTION("""COMPUTED_VALUE"""),"Kishore Kotagiri")</f>
        <v>Kishore Kotagiri</v>
      </c>
      <c r="G497" s="4" t="str">
        <f>IFERROR(__xludf.DUMMYFUNCTION("""COMPUTED_VALUE"""),"Cluster - Kanhaiya")</f>
        <v>Cluster - Kanhaiya</v>
      </c>
      <c r="H497" s="4" t="str">
        <f>IFERROR(__xludf.DUMMYFUNCTION("""COMPUTED_VALUE"""),"ONIJSJWT4")</f>
        <v>ONIJSJWT4</v>
      </c>
      <c r="I497" s="5">
        <f>IFERROR(__xludf.DUMMYFUNCTION("""COMPUTED_VALUE"""),25.0)</f>
        <v>25</v>
      </c>
      <c r="J497" s="4" t="str">
        <f>IFERROR(__xludf.DUMMYFUNCTION("""COMPUTED_VALUE"""),"Tier 3")</f>
        <v>Tier 3</v>
      </c>
      <c r="K497" s="4" t="str">
        <f>IFERROR(__xludf.DUMMYFUNCTION("""COMPUTED_VALUE"""),"Active")</f>
        <v>Active</v>
      </c>
      <c r="L497" s="4" t="str">
        <f>IFERROR(__xludf.DUMMYFUNCTION("""COMPUTED_VALUE"""),"Gemini Enterprise Agent Platform")</f>
        <v>Gemini Enterprise Agent Platform</v>
      </c>
    </row>
    <row r="498">
      <c r="A498" s="4" t="str">
        <f>IFERROR(__xludf.DUMMYFUNCTION("""COMPUTED_VALUE"""),"DME2468")</f>
        <v>DME2468</v>
      </c>
      <c r="B498" s="4" t="str">
        <f>IFERROR(__xludf.DUMMYFUNCTION("""COMPUTED_VALUE"""),"Sachin Jakhar")</f>
        <v>Sachin Jakhar</v>
      </c>
      <c r="C498" s="4" t="str">
        <f>IFERROR(__xludf.DUMMYFUNCTION("""COMPUTED_VALUE"""),"sachin.jakhar@onixnet.com")</f>
        <v>sachin.jakhar@onixnet.com</v>
      </c>
      <c r="D498" s="4" t="str">
        <f>IFERROR(__xludf.DUMMYFUNCTION("""COMPUTED_VALUE"""),"Active")</f>
        <v>Active</v>
      </c>
      <c r="E498" s="4" t="str">
        <f>IFERROR(__xludf.DUMMYFUNCTION("""COMPUTED_VALUE"""),"Delivery Services")</f>
        <v>Delivery Services</v>
      </c>
      <c r="F498" s="4" t="str">
        <f>IFERROR(__xludf.DUMMYFUNCTION("""COMPUTED_VALUE"""),"Gaurav Bharara")</f>
        <v>Gaurav Bharara</v>
      </c>
      <c r="G498" s="4" t="str">
        <f>IFERROR(__xludf.DUMMYFUNCTION("""COMPUTED_VALUE"""),"Cluster - Sachin")</f>
        <v>Cluster - Sachin</v>
      </c>
      <c r="H498" s="4"/>
      <c r="I498" s="5"/>
      <c r="J498" s="4"/>
      <c r="K498" s="4" t="str">
        <f>IFERROR(__xludf.DUMMYFUNCTION("""COMPUTED_VALUE"""),"ID Not Created")</f>
        <v>ID Not Created</v>
      </c>
      <c r="L498" s="4"/>
    </row>
    <row r="499">
      <c r="A499" s="4" t="str">
        <f>IFERROR(__xludf.DUMMYFUNCTION("""COMPUTED_VALUE"""),"DME2469")</f>
        <v>DME2469</v>
      </c>
      <c r="B499" s="4" t="str">
        <f>IFERROR(__xludf.DUMMYFUNCTION("""COMPUTED_VALUE"""),"Gaurav Bharara")</f>
        <v>Gaurav Bharara</v>
      </c>
      <c r="C499" s="4" t="str">
        <f>IFERROR(__xludf.DUMMYFUNCTION("""COMPUTED_VALUE"""),"gaurav.bharara@onixnet.com")</f>
        <v>gaurav.bharara@onixnet.com</v>
      </c>
      <c r="D499" s="4" t="str">
        <f>IFERROR(__xludf.DUMMYFUNCTION("""COMPUTED_VALUE"""),"Active")</f>
        <v>Active</v>
      </c>
      <c r="E499" s="4" t="str">
        <f>IFERROR(__xludf.DUMMYFUNCTION("""COMPUTED_VALUE"""),"Delivery Services")</f>
        <v>Delivery Services</v>
      </c>
      <c r="F499" s="4" t="str">
        <f>IFERROR(__xludf.DUMMYFUNCTION("""COMPUTED_VALUE"""),"Patrick Schablitzki")</f>
        <v>Patrick Schablitzki</v>
      </c>
      <c r="G499" s="4" t="str">
        <f>IFERROR(__xludf.DUMMYFUNCTION("""COMPUTED_VALUE"""),"Portfolio - Patrick")</f>
        <v>Portfolio - Patrick</v>
      </c>
      <c r="H499" s="4" t="str">
        <f>IFERROR(__xludf.DUMMYFUNCTION("""COMPUTED_VALUE"""),"ONIGBIEW3")</f>
        <v>ONIGBIEW3</v>
      </c>
      <c r="I499" s="5">
        <f>IFERROR(__xludf.DUMMYFUNCTION("""COMPUTED_VALUE"""),0.0)</f>
        <v>0</v>
      </c>
      <c r="J499" s="4" t="str">
        <f>IFERROR(__xludf.DUMMYFUNCTION("""COMPUTED_VALUE"""),"Tier 4")</f>
        <v>Tier 4</v>
      </c>
      <c r="K499" s="4" t="str">
        <f>IFERROR(__xludf.DUMMYFUNCTION("""COMPUTED_VALUE"""),"ID Created DRP score 0")</f>
        <v>ID Created DRP score 0</v>
      </c>
      <c r="L499" s="4"/>
    </row>
    <row r="500">
      <c r="A500" s="4" t="str">
        <f>IFERROR(__xludf.DUMMYFUNCTION("""COMPUTED_VALUE"""),"DME2470")</f>
        <v>DME2470</v>
      </c>
      <c r="B500" s="4" t="str">
        <f>IFERROR(__xludf.DUMMYFUNCTION("""COMPUTED_VALUE"""),"Gaurav Namdev Pingale")</f>
        <v>Gaurav Namdev Pingale</v>
      </c>
      <c r="C500" s="4" t="str">
        <f>IFERROR(__xludf.DUMMYFUNCTION("""COMPUTED_VALUE"""),"gaurav.pingale@onixnet.com")</f>
        <v>gaurav.pingale@onixnet.com</v>
      </c>
      <c r="D500" s="4" t="str">
        <f>IFERROR(__xludf.DUMMYFUNCTION("""COMPUTED_VALUE"""),"Active")</f>
        <v>Active</v>
      </c>
      <c r="E500" s="4" t="str">
        <f>IFERROR(__xludf.DUMMYFUNCTION("""COMPUTED_VALUE"""),"Product Engineering")</f>
        <v>Product Engineering</v>
      </c>
      <c r="F500" s="4" t="str">
        <f>IFERROR(__xludf.DUMMYFUNCTION("""COMPUTED_VALUE"""),"Imtiyaz Pathan")</f>
        <v>Imtiyaz Pathan</v>
      </c>
      <c r="G500" s="4" t="str">
        <f>IFERROR(__xludf.DUMMYFUNCTION("""COMPUTED_VALUE"""),"Cluster - Mayur")</f>
        <v>Cluster - Mayur</v>
      </c>
      <c r="H500" s="4" t="str">
        <f>IFERROR(__xludf.DUMMYFUNCTION("""COMPUTED_VALUE"""),"ONIGPTUX5")</f>
        <v>ONIGPTUX5</v>
      </c>
      <c r="I500" s="5">
        <f>IFERROR(__xludf.DUMMYFUNCTION("""COMPUTED_VALUE"""),27.0)</f>
        <v>27</v>
      </c>
      <c r="J500" s="4" t="str">
        <f>IFERROR(__xludf.DUMMYFUNCTION("""COMPUTED_VALUE"""),"Tier 3")</f>
        <v>Tier 3</v>
      </c>
      <c r="K500" s="4" t="str">
        <f>IFERROR(__xludf.DUMMYFUNCTION("""COMPUTED_VALUE"""),"Active")</f>
        <v>Active</v>
      </c>
      <c r="L500" s="4" t="str">
        <f>IFERROR(__xludf.DUMMYFUNCTION("""COMPUTED_VALUE"""),"Gemini Enterprise Agent Platform")</f>
        <v>Gemini Enterprise Agent Platform</v>
      </c>
    </row>
    <row r="501">
      <c r="A501" s="4" t="str">
        <f>IFERROR(__xludf.DUMMYFUNCTION("""COMPUTED_VALUE"""),"DME2471")</f>
        <v>DME2471</v>
      </c>
      <c r="B501" s="4" t="str">
        <f>IFERROR(__xludf.DUMMYFUNCTION("""COMPUTED_VALUE"""),"Tushar Appaso Shitole")</f>
        <v>Tushar Appaso Shitole</v>
      </c>
      <c r="C501" s="4" t="str">
        <f>IFERROR(__xludf.DUMMYFUNCTION("""COMPUTED_VALUE"""),"tushar.shitole@onixnet.com")</f>
        <v>tushar.shitole@onixnet.com</v>
      </c>
      <c r="D501" s="4" t="str">
        <f>IFERROR(__xludf.DUMMYFUNCTION("""COMPUTED_VALUE"""),"Active")</f>
        <v>Active</v>
      </c>
      <c r="E501" s="4" t="str">
        <f>IFERROR(__xludf.DUMMYFUNCTION("""COMPUTED_VALUE"""),"Delivery Services")</f>
        <v>Delivery Services</v>
      </c>
      <c r="F501" s="4" t="str">
        <f>IFERROR(__xludf.DUMMYFUNCTION("""COMPUTED_VALUE"""),"Rabindra Nayak")</f>
        <v>Rabindra Nayak</v>
      </c>
      <c r="G501" s="4" t="str">
        <f>IFERROR(__xludf.DUMMYFUNCTION("""COMPUTED_VALUE"""),"Cluster - Sagar")</f>
        <v>Cluster - Sagar</v>
      </c>
      <c r="H501" s="4" t="str">
        <f>IFERROR(__xludf.DUMMYFUNCTION("""COMPUTED_VALUE"""),"ONITSNBX4")</f>
        <v>ONITSNBX4</v>
      </c>
      <c r="I501" s="5">
        <f>IFERROR(__xludf.DUMMYFUNCTION("""COMPUTED_VALUE"""),49.0)</f>
        <v>49</v>
      </c>
      <c r="J501" s="4" t="str">
        <f>IFERROR(__xludf.DUMMYFUNCTION("""COMPUTED_VALUE"""),"Tier 2")</f>
        <v>Tier 2</v>
      </c>
      <c r="K501" s="4" t="str">
        <f>IFERROR(__xludf.DUMMYFUNCTION("""COMPUTED_VALUE"""),"Active")</f>
        <v>Active</v>
      </c>
      <c r="L501" s="4" t="str">
        <f>IFERROR(__xludf.DUMMYFUNCTION("""COMPUTED_VALUE"""),"Gemini Enterprise Agent Platform")</f>
        <v>Gemini Enterprise Agent Platform</v>
      </c>
    </row>
    <row r="502">
      <c r="A502" s="4" t="str">
        <f>IFERROR(__xludf.DUMMYFUNCTION("""COMPUTED_VALUE"""),"DME2473")</f>
        <v>DME2473</v>
      </c>
      <c r="B502" s="4" t="str">
        <f>IFERROR(__xludf.DUMMYFUNCTION("""COMPUTED_VALUE"""),"Rushikesh Ashokrao Jadhav")</f>
        <v>Rushikesh Ashokrao Jadhav</v>
      </c>
      <c r="C502" s="4" t="str">
        <f>IFERROR(__xludf.DUMMYFUNCTION("""COMPUTED_VALUE"""),"rushikesh.jadhav@onixnet.com")</f>
        <v>rushikesh.jadhav@onixnet.com</v>
      </c>
      <c r="D502" s="4" t="str">
        <f>IFERROR(__xludf.DUMMYFUNCTION("""COMPUTED_VALUE"""),"Active")</f>
        <v>Active</v>
      </c>
      <c r="E502" s="4" t="str">
        <f>IFERROR(__xludf.DUMMYFUNCTION("""COMPUTED_VALUE"""),"Delivery Services")</f>
        <v>Delivery Services</v>
      </c>
      <c r="F502" s="4" t="str">
        <f>IFERROR(__xludf.DUMMYFUNCTION("""COMPUTED_VALUE"""),"Aakash Vinod Tolani")</f>
        <v>Aakash Vinod Tolani</v>
      </c>
      <c r="G502" s="4" t="str">
        <f>IFERROR(__xludf.DUMMYFUNCTION("""COMPUTED_VALUE"""),"Cluster - Shreepad")</f>
        <v>Cluster - Shreepad</v>
      </c>
      <c r="H502" s="4" t="str">
        <f>IFERROR(__xludf.DUMMYFUNCTION("""COMPUTED_VALUE"""),"ONIRJKXK5")</f>
        <v>ONIRJKXK5</v>
      </c>
      <c r="I502" s="5">
        <f>IFERROR(__xludf.DUMMYFUNCTION("""COMPUTED_VALUE"""),37.0)</f>
        <v>37</v>
      </c>
      <c r="J502" s="4" t="str">
        <f>IFERROR(__xludf.DUMMYFUNCTION("""COMPUTED_VALUE"""),"Tier 2")</f>
        <v>Tier 2</v>
      </c>
      <c r="K502" s="4" t="str">
        <f>IFERROR(__xludf.DUMMYFUNCTION("""COMPUTED_VALUE"""),"Active")</f>
        <v>Active</v>
      </c>
      <c r="L502" s="4" t="str">
        <f>IFERROR(__xludf.DUMMYFUNCTION("""COMPUTED_VALUE"""),"BigQuery")</f>
        <v>BigQuery</v>
      </c>
    </row>
    <row r="503">
      <c r="A503" s="4" t="str">
        <f>IFERROR(__xludf.DUMMYFUNCTION("""COMPUTED_VALUE"""),"DME2474")</f>
        <v>DME2474</v>
      </c>
      <c r="B503" s="4" t="str">
        <f>IFERROR(__xludf.DUMMYFUNCTION("""COMPUTED_VALUE"""),"Prabhat Jain")</f>
        <v>Prabhat Jain</v>
      </c>
      <c r="C503" s="4" t="str">
        <f>IFERROR(__xludf.DUMMYFUNCTION("""COMPUTED_VALUE"""),"prabhat.jain@onixnet.com")</f>
        <v>prabhat.jain@onixnet.com</v>
      </c>
      <c r="D503" s="4" t="str">
        <f>IFERROR(__xludf.DUMMYFUNCTION("""COMPUTED_VALUE"""),"Active")</f>
        <v>Active</v>
      </c>
      <c r="E503" s="4" t="str">
        <f>IFERROR(__xludf.DUMMYFUNCTION("""COMPUTED_VALUE"""),"Delivery Services")</f>
        <v>Delivery Services</v>
      </c>
      <c r="F503" s="4" t="str">
        <f>IFERROR(__xludf.DUMMYFUNCTION("""COMPUTED_VALUE"""),"Amish Ojha")</f>
        <v>Amish Ojha</v>
      </c>
      <c r="G503" s="4" t="str">
        <f>IFERROR(__xludf.DUMMYFUNCTION("""COMPUTED_VALUE"""),"Cluster - Gaurav")</f>
        <v>Cluster - Gaurav</v>
      </c>
      <c r="H503" s="4" t="str">
        <f>IFERROR(__xludf.DUMMYFUNCTION("""COMPUTED_VALUE"""),"ONIPJGUS4")</f>
        <v>ONIPJGUS4</v>
      </c>
      <c r="I503" s="5">
        <f>IFERROR(__xludf.DUMMYFUNCTION("""COMPUTED_VALUE"""),5.0)</f>
        <v>5</v>
      </c>
      <c r="J503" s="4" t="str">
        <f>IFERROR(__xludf.DUMMYFUNCTION("""COMPUTED_VALUE"""),"Tier 4")</f>
        <v>Tier 4</v>
      </c>
      <c r="K503" s="4" t="str">
        <f>IFERROR(__xludf.DUMMYFUNCTION("""COMPUTED_VALUE"""),"Active")</f>
        <v>Active</v>
      </c>
      <c r="L503" s="4" t="str">
        <f>IFERROR(__xludf.DUMMYFUNCTION("""COMPUTED_VALUE"""),"BigQuery")</f>
        <v>BigQuery</v>
      </c>
    </row>
    <row r="504">
      <c r="A504" s="4" t="str">
        <f>IFERROR(__xludf.DUMMYFUNCTION("""COMPUTED_VALUE"""),"DME2475")</f>
        <v>DME2475</v>
      </c>
      <c r="B504" s="4" t="str">
        <f>IFERROR(__xludf.DUMMYFUNCTION("""COMPUTED_VALUE"""),"Kiran Vijay Tengle")</f>
        <v>Kiran Vijay Tengle</v>
      </c>
      <c r="C504" s="4" t="str">
        <f>IFERROR(__xludf.DUMMYFUNCTION("""COMPUTED_VALUE"""),"kiran.tengle@onixnet.com")</f>
        <v>kiran.tengle@onixnet.com</v>
      </c>
      <c r="D504" s="4" t="str">
        <f>IFERROR(__xludf.DUMMYFUNCTION("""COMPUTED_VALUE"""),"Active")</f>
        <v>Active</v>
      </c>
      <c r="E504" s="4" t="str">
        <f>IFERROR(__xludf.DUMMYFUNCTION("""COMPUTED_VALUE"""),"Delivery Services")</f>
        <v>Delivery Services</v>
      </c>
      <c r="F504" s="4" t="str">
        <f>IFERROR(__xludf.DUMMYFUNCTION("""COMPUTED_VALUE"""),"Sushant Patil")</f>
        <v>Sushant Patil</v>
      </c>
      <c r="G504" s="4" t="str">
        <f>IFERROR(__xludf.DUMMYFUNCTION("""COMPUTED_VALUE"""),"Cluster - Gaurav")</f>
        <v>Cluster - Gaurav</v>
      </c>
      <c r="H504" s="4" t="str">
        <f>IFERROR(__xludf.DUMMYFUNCTION("""COMPUTED_VALUE"""),"ONIKTZUZ7")</f>
        <v>ONIKTZUZ7</v>
      </c>
      <c r="I504" s="5">
        <f>IFERROR(__xludf.DUMMYFUNCTION("""COMPUTED_VALUE"""),17.0)</f>
        <v>17</v>
      </c>
      <c r="J504" s="4" t="str">
        <f>IFERROR(__xludf.DUMMYFUNCTION("""COMPUTED_VALUE"""),"Tier 4")</f>
        <v>Tier 4</v>
      </c>
      <c r="K504" s="4" t="str">
        <f>IFERROR(__xludf.DUMMYFUNCTION("""COMPUTED_VALUE"""),"Active")</f>
        <v>Active</v>
      </c>
      <c r="L504" s="4" t="str">
        <f>IFERROR(__xludf.DUMMYFUNCTION("""COMPUTED_VALUE"""),"Apigee API Management")</f>
        <v>Apigee API Management</v>
      </c>
    </row>
    <row r="505">
      <c r="A505" s="4" t="str">
        <f>IFERROR(__xludf.DUMMYFUNCTION("""COMPUTED_VALUE"""),"DME2479")</f>
        <v>DME2479</v>
      </c>
      <c r="B505" s="4" t="str">
        <f>IFERROR(__xludf.DUMMYFUNCTION("""COMPUTED_VALUE"""),"Shreya Soni")</f>
        <v>Shreya Soni</v>
      </c>
      <c r="C505" s="4" t="str">
        <f>IFERROR(__xludf.DUMMYFUNCTION("""COMPUTED_VALUE"""),"shreya.soni@onixnet.com")</f>
        <v>shreya.soni@onixnet.com</v>
      </c>
      <c r="D505" s="4" t="str">
        <f>IFERROR(__xludf.DUMMYFUNCTION("""COMPUTED_VALUE"""),"Active")</f>
        <v>Active</v>
      </c>
      <c r="E505" s="4" t="str">
        <f>IFERROR(__xludf.DUMMYFUNCTION("""COMPUTED_VALUE"""),"Eagle Assessment")</f>
        <v>Eagle Assessment</v>
      </c>
      <c r="F505" s="4" t="str">
        <f>IFERROR(__xludf.DUMMYFUNCTION("""COMPUTED_VALUE"""),"Swapnil Salunke")</f>
        <v>Swapnil Salunke</v>
      </c>
      <c r="G505" s="4" t="str">
        <f>IFERROR(__xludf.DUMMYFUNCTION("""COMPUTED_VALUE"""),"Cluster - Kalpa")</f>
        <v>Cluster - Kalpa</v>
      </c>
      <c r="H505" s="4"/>
      <c r="I505" s="5"/>
      <c r="J505" s="4"/>
      <c r="K505" s="4" t="str">
        <f>IFERROR(__xludf.DUMMYFUNCTION("""COMPUTED_VALUE"""),"ID Not Created")</f>
        <v>ID Not Created</v>
      </c>
      <c r="L505" s="4"/>
    </row>
    <row r="506">
      <c r="A506" s="4" t="str">
        <f>IFERROR(__xludf.DUMMYFUNCTION("""COMPUTED_VALUE"""),"DME2480")</f>
        <v>DME2480</v>
      </c>
      <c r="B506" s="4" t="str">
        <f>IFERROR(__xludf.DUMMYFUNCTION("""COMPUTED_VALUE"""),"Pathan Sameer Khan")</f>
        <v>Pathan Sameer Khan</v>
      </c>
      <c r="C506" s="4" t="str">
        <f>IFERROR(__xludf.DUMMYFUNCTION("""COMPUTED_VALUE"""),"sameer.pathan@onixnet.com")</f>
        <v>sameer.pathan@onixnet.com</v>
      </c>
      <c r="D506" s="4" t="str">
        <f>IFERROR(__xludf.DUMMYFUNCTION("""COMPUTED_VALUE"""),"Active")</f>
        <v>Active</v>
      </c>
      <c r="E506" s="4" t="str">
        <f>IFERROR(__xludf.DUMMYFUNCTION("""COMPUTED_VALUE"""),"Delivery Services")</f>
        <v>Delivery Services</v>
      </c>
      <c r="F506" s="4" t="str">
        <f>IFERROR(__xludf.DUMMYFUNCTION("""COMPUTED_VALUE"""),"Gayatri Nachiket Bondale")</f>
        <v>Gayatri Nachiket Bondale</v>
      </c>
      <c r="G506" s="4" t="str">
        <f>IFERROR(__xludf.DUMMYFUNCTION("""COMPUTED_VALUE"""),"Cluster - Gaurav")</f>
        <v>Cluster - Gaurav</v>
      </c>
      <c r="H506" s="4" t="str">
        <f>IFERROR(__xludf.DUMMYFUNCTION("""COMPUTED_VALUE"""),"ONISPKGC6")</f>
        <v>ONISPKGC6</v>
      </c>
      <c r="I506" s="5">
        <f>IFERROR(__xludf.DUMMYFUNCTION("""COMPUTED_VALUE"""),0.0)</f>
        <v>0</v>
      </c>
      <c r="J506" s="4" t="str">
        <f>IFERROR(__xludf.DUMMYFUNCTION("""COMPUTED_VALUE"""),"Tier 4")</f>
        <v>Tier 4</v>
      </c>
      <c r="K506" s="4" t="str">
        <f>IFERROR(__xludf.DUMMYFUNCTION("""COMPUTED_VALUE"""),"ID Created DRP score 0")</f>
        <v>ID Created DRP score 0</v>
      </c>
      <c r="L506" s="4"/>
    </row>
    <row r="507">
      <c r="A507" s="4" t="str">
        <f>IFERROR(__xludf.DUMMYFUNCTION("""COMPUTED_VALUE"""),"DME2481")</f>
        <v>DME2481</v>
      </c>
      <c r="B507" s="4" t="str">
        <f>IFERROR(__xludf.DUMMYFUNCTION("""COMPUTED_VALUE"""),"Mitali Dhananjay Girwalkar")</f>
        <v>Mitali Dhananjay Girwalkar</v>
      </c>
      <c r="C507" s="4" t="str">
        <f>IFERROR(__xludf.DUMMYFUNCTION("""COMPUTED_VALUE"""),"mitali.girwalkar@onixnet.com")</f>
        <v>mitali.girwalkar@onixnet.com</v>
      </c>
      <c r="D507" s="4" t="str">
        <f>IFERROR(__xludf.DUMMYFUNCTION("""COMPUTED_VALUE"""),"Active")</f>
        <v>Active</v>
      </c>
      <c r="E507" s="4" t="str">
        <f>IFERROR(__xludf.DUMMYFUNCTION("""COMPUTED_VALUE"""),"Eagle Assessment")</f>
        <v>Eagle Assessment</v>
      </c>
      <c r="F507" s="4" t="str">
        <f>IFERROR(__xludf.DUMMYFUNCTION("""COMPUTED_VALUE"""),"Amruta Shreerang Urane")</f>
        <v>Amruta Shreerang Urane</v>
      </c>
      <c r="G507" s="4" t="str">
        <f>IFERROR(__xludf.DUMMYFUNCTION("""COMPUTED_VALUE"""),"Cluster - Kalpa")</f>
        <v>Cluster - Kalpa</v>
      </c>
      <c r="H507" s="4" t="str">
        <f>IFERROR(__xludf.DUMMYFUNCTION("""COMPUTED_VALUE"""),"ONIMGHCI2")</f>
        <v>ONIMGHCI2</v>
      </c>
      <c r="I507" s="5">
        <f>IFERROR(__xludf.DUMMYFUNCTION("""COMPUTED_VALUE"""),27.0)</f>
        <v>27</v>
      </c>
      <c r="J507" s="4" t="str">
        <f>IFERROR(__xludf.DUMMYFUNCTION("""COMPUTED_VALUE"""),"Tier 3")</f>
        <v>Tier 3</v>
      </c>
      <c r="K507" s="4" t="str">
        <f>IFERROR(__xludf.DUMMYFUNCTION("""COMPUTED_VALUE"""),"Active")</f>
        <v>Active</v>
      </c>
      <c r="L507" s="4" t="str">
        <f>IFERROR(__xludf.DUMMYFUNCTION("""COMPUTED_VALUE"""),"GECX - CX Agent Studio")</f>
        <v>GECX - CX Agent Studio</v>
      </c>
    </row>
    <row r="508">
      <c r="A508" s="4" t="str">
        <f>IFERROR(__xludf.DUMMYFUNCTION("""COMPUTED_VALUE"""),"DME2485")</f>
        <v>DME2485</v>
      </c>
      <c r="B508" s="4" t="str">
        <f>IFERROR(__xludf.DUMMYFUNCTION("""COMPUTED_VALUE"""),"Ajay Jamsing Patil")</f>
        <v>Ajay Jamsing Patil</v>
      </c>
      <c r="C508" s="4" t="str">
        <f>IFERROR(__xludf.DUMMYFUNCTION("""COMPUTED_VALUE"""),"ajay.patil@onixnet.com")</f>
        <v>ajay.patil@onixnet.com</v>
      </c>
      <c r="D508" s="4" t="str">
        <f>IFERROR(__xludf.DUMMYFUNCTION("""COMPUTED_VALUE"""),"Active")</f>
        <v>Active</v>
      </c>
      <c r="E508" s="4" t="str">
        <f>IFERROR(__xludf.DUMMYFUNCTION("""COMPUTED_VALUE"""),"Delivery Services")</f>
        <v>Delivery Services</v>
      </c>
      <c r="F508" s="4" t="str">
        <f>IFERROR(__xludf.DUMMYFUNCTION("""COMPUTED_VALUE"""),"Naman Jain")</f>
        <v>Naman Jain</v>
      </c>
      <c r="G508" s="4" t="str">
        <f>IFERROR(__xludf.DUMMYFUNCTION("""COMPUTED_VALUE"""),"Cluster - Sagar")</f>
        <v>Cluster - Sagar</v>
      </c>
      <c r="H508" s="4" t="str">
        <f>IFERROR(__xludf.DUMMYFUNCTION("""COMPUTED_VALUE"""),"ONIAPZOV9")</f>
        <v>ONIAPZOV9</v>
      </c>
      <c r="I508" s="5">
        <f>IFERROR(__xludf.DUMMYFUNCTION("""COMPUTED_VALUE"""),58.0)</f>
        <v>58</v>
      </c>
      <c r="J508" s="4" t="str">
        <f>IFERROR(__xludf.DUMMYFUNCTION("""COMPUTED_VALUE"""),"Tier 1")</f>
        <v>Tier 1</v>
      </c>
      <c r="K508" s="4" t="str">
        <f>IFERROR(__xludf.DUMMYFUNCTION("""COMPUTED_VALUE"""),"Active")</f>
        <v>Active</v>
      </c>
      <c r="L508" s="4" t="str">
        <f>IFERROR(__xludf.DUMMYFUNCTION("""COMPUTED_VALUE"""),"BigQuery")</f>
        <v>BigQuery</v>
      </c>
    </row>
    <row r="509">
      <c r="A509" s="4" t="str">
        <f>IFERROR(__xludf.DUMMYFUNCTION("""COMPUTED_VALUE"""),"DME2489")</f>
        <v>DME2489</v>
      </c>
      <c r="B509" s="4" t="str">
        <f>IFERROR(__xludf.DUMMYFUNCTION("""COMPUTED_VALUE"""),"Rushikesh Rajendra Shinde")</f>
        <v>Rushikesh Rajendra Shinde</v>
      </c>
      <c r="C509" s="4" t="str">
        <f>IFERROR(__xludf.DUMMYFUNCTION("""COMPUTED_VALUE"""),"rushikesh.shinde@onixnet.com")</f>
        <v>rushikesh.shinde@onixnet.com</v>
      </c>
      <c r="D509" s="4" t="str">
        <f>IFERROR(__xludf.DUMMYFUNCTION("""COMPUTED_VALUE"""),"Active")</f>
        <v>Active</v>
      </c>
      <c r="E509" s="4" t="str">
        <f>IFERROR(__xludf.DUMMYFUNCTION("""COMPUTED_VALUE"""),"Delivery Services")</f>
        <v>Delivery Services</v>
      </c>
      <c r="F509" s="4" t="str">
        <f>IFERROR(__xludf.DUMMYFUNCTION("""COMPUTED_VALUE"""),"Manoj Patil")</f>
        <v>Manoj Patil</v>
      </c>
      <c r="G509" s="4" t="str">
        <f>IFERROR(__xludf.DUMMYFUNCTION("""COMPUTED_VALUE"""),"Cluster - Shreepad")</f>
        <v>Cluster - Shreepad</v>
      </c>
      <c r="H509" s="4" t="str">
        <f>IFERROR(__xludf.DUMMYFUNCTION("""COMPUTED_VALUE"""),"ONIRSOPZ8")</f>
        <v>ONIRSOPZ8</v>
      </c>
      <c r="I509" s="5">
        <f>IFERROR(__xludf.DUMMYFUNCTION("""COMPUTED_VALUE"""),27.0)</f>
        <v>27</v>
      </c>
      <c r="J509" s="4" t="str">
        <f>IFERROR(__xludf.DUMMYFUNCTION("""COMPUTED_VALUE"""),"Tier 3")</f>
        <v>Tier 3</v>
      </c>
      <c r="K509" s="4" t="str">
        <f>IFERROR(__xludf.DUMMYFUNCTION("""COMPUTED_VALUE"""),"Active")</f>
        <v>Active</v>
      </c>
      <c r="L509" s="4" t="str">
        <f>IFERROR(__xludf.DUMMYFUNCTION("""COMPUTED_VALUE"""),"BigQuery")</f>
        <v>BigQuery</v>
      </c>
    </row>
    <row r="510">
      <c r="A510" s="4" t="str">
        <f>IFERROR(__xludf.DUMMYFUNCTION("""COMPUTED_VALUE"""),"DME2490")</f>
        <v>DME2490</v>
      </c>
      <c r="B510" s="4" t="str">
        <f>IFERROR(__xludf.DUMMYFUNCTION("""COMPUTED_VALUE"""),"Aditya Jaiswal")</f>
        <v>Aditya Jaiswal</v>
      </c>
      <c r="C510" s="4" t="str">
        <f>IFERROR(__xludf.DUMMYFUNCTION("""COMPUTED_VALUE"""),"aditya.jaiswal@onixnet.com")</f>
        <v>aditya.jaiswal@onixnet.com</v>
      </c>
      <c r="D510" s="4" t="str">
        <f>IFERROR(__xludf.DUMMYFUNCTION("""COMPUTED_VALUE"""),"Active")</f>
        <v>Active</v>
      </c>
      <c r="E510" s="4" t="str">
        <f>IFERROR(__xludf.DUMMYFUNCTION("""COMPUTED_VALUE"""),"Delivery Services")</f>
        <v>Delivery Services</v>
      </c>
      <c r="F510" s="4" t="str">
        <f>IFERROR(__xludf.DUMMYFUNCTION("""COMPUTED_VALUE"""),"Shreyas Meshram")</f>
        <v>Shreyas Meshram</v>
      </c>
      <c r="G510" s="4" t="str">
        <f>IFERROR(__xludf.DUMMYFUNCTION("""COMPUTED_VALUE"""),"Cluster - Gaurav")</f>
        <v>Cluster - Gaurav</v>
      </c>
      <c r="H510" s="4" t="str">
        <f>IFERROR(__xludf.DUMMYFUNCTION("""COMPUTED_VALUE"""),"ONIAJISW2")</f>
        <v>ONIAJISW2</v>
      </c>
      <c r="I510" s="5">
        <f>IFERROR(__xludf.DUMMYFUNCTION("""COMPUTED_VALUE"""),10.0)</f>
        <v>10</v>
      </c>
      <c r="J510" s="4" t="str">
        <f>IFERROR(__xludf.DUMMYFUNCTION("""COMPUTED_VALUE"""),"Tier 4")</f>
        <v>Tier 4</v>
      </c>
      <c r="K510" s="4" t="str">
        <f>IFERROR(__xludf.DUMMYFUNCTION("""COMPUTED_VALUE"""),"Active")</f>
        <v>Active</v>
      </c>
      <c r="L510" s="4" t="str">
        <f>IFERROR(__xludf.DUMMYFUNCTION("""COMPUTED_VALUE"""),"BigQuery")</f>
        <v>BigQuery</v>
      </c>
    </row>
    <row r="511">
      <c r="A511" s="4" t="str">
        <f>IFERROR(__xludf.DUMMYFUNCTION("""COMPUTED_VALUE"""),"DME2491")</f>
        <v>DME2491</v>
      </c>
      <c r="B511" s="4" t="str">
        <f>IFERROR(__xludf.DUMMYFUNCTION("""COMPUTED_VALUE"""),"Pratik Pralhad Bhalerao")</f>
        <v>Pratik Pralhad Bhalerao</v>
      </c>
      <c r="C511" s="4" t="str">
        <f>IFERROR(__xludf.DUMMYFUNCTION("""COMPUTED_VALUE"""),"pratik.bhalerao@onixnet.com")</f>
        <v>pratik.bhalerao@onixnet.com</v>
      </c>
      <c r="D511" s="4" t="str">
        <f>IFERROR(__xludf.DUMMYFUNCTION("""COMPUTED_VALUE"""),"Active")</f>
        <v>Active</v>
      </c>
      <c r="E511" s="4" t="str">
        <f>IFERROR(__xludf.DUMMYFUNCTION("""COMPUTED_VALUE"""),"Product Engineering")</f>
        <v>Product Engineering</v>
      </c>
      <c r="F511" s="4" t="str">
        <f>IFERROR(__xludf.DUMMYFUNCTION("""COMPUTED_VALUE"""),"Harshit Soni")</f>
        <v>Harshit Soni</v>
      </c>
      <c r="G511" s="4" t="str">
        <f>IFERROR(__xludf.DUMMYFUNCTION("""COMPUTED_VALUE"""),"Cluster - Mayur")</f>
        <v>Cluster - Mayur</v>
      </c>
      <c r="H511" s="4" t="str">
        <f>IFERROR(__xludf.DUMMYFUNCTION("""COMPUTED_VALUE"""),"ONIPBBQA9")</f>
        <v>ONIPBBQA9</v>
      </c>
      <c r="I511" s="5">
        <f>IFERROR(__xludf.DUMMYFUNCTION("""COMPUTED_VALUE"""),13.0)</f>
        <v>13</v>
      </c>
      <c r="J511" s="4" t="str">
        <f>IFERROR(__xludf.DUMMYFUNCTION("""COMPUTED_VALUE"""),"Tier 4")</f>
        <v>Tier 4</v>
      </c>
      <c r="K511" s="4" t="str">
        <f>IFERROR(__xludf.DUMMYFUNCTION("""COMPUTED_VALUE"""),"Active")</f>
        <v>Active</v>
      </c>
      <c r="L511" s="4" t="str">
        <f>IFERROR(__xludf.DUMMYFUNCTION("""COMPUTED_VALUE"""),"Google Kubernetes Engine")</f>
        <v>Google Kubernetes Engine</v>
      </c>
    </row>
    <row r="512">
      <c r="A512" s="4" t="str">
        <f>IFERROR(__xludf.DUMMYFUNCTION("""COMPUTED_VALUE"""),"DME2494")</f>
        <v>DME2494</v>
      </c>
      <c r="B512" s="4" t="str">
        <f>IFERROR(__xludf.DUMMYFUNCTION("""COMPUTED_VALUE"""),"Shrutika Goenka")</f>
        <v>Shrutika Goenka</v>
      </c>
      <c r="C512" s="4" t="str">
        <f>IFERROR(__xludf.DUMMYFUNCTION("""COMPUTED_VALUE"""),"shrutika.goenka@onixnet.com")</f>
        <v>shrutika.goenka@onixnet.com</v>
      </c>
      <c r="D512" s="4" t="str">
        <f>IFERROR(__xludf.DUMMYFUNCTION("""COMPUTED_VALUE"""),"Active")</f>
        <v>Active</v>
      </c>
      <c r="E512" s="4" t="str">
        <f>IFERROR(__xludf.DUMMYFUNCTION("""COMPUTED_VALUE"""),"Product Engineering")</f>
        <v>Product Engineering</v>
      </c>
      <c r="F512" s="4" t="str">
        <f>IFERROR(__xludf.DUMMYFUNCTION("""COMPUTED_VALUE"""),"Jayesh Shukla")</f>
        <v>Jayesh Shukla</v>
      </c>
      <c r="G512" s="4" t="str">
        <f>IFERROR(__xludf.DUMMYFUNCTION("""COMPUTED_VALUE"""),"Cluster - Mayur")</f>
        <v>Cluster - Mayur</v>
      </c>
      <c r="H512" s="4" t="str">
        <f>IFERROR(__xludf.DUMMYFUNCTION("""COMPUTED_VALUE"""),"ONISGKAZ9")</f>
        <v>ONISGKAZ9</v>
      </c>
      <c r="I512" s="5">
        <f>IFERROR(__xludf.DUMMYFUNCTION("""COMPUTED_VALUE"""),5.0)</f>
        <v>5</v>
      </c>
      <c r="J512" s="4" t="str">
        <f>IFERROR(__xludf.DUMMYFUNCTION("""COMPUTED_VALUE"""),"Tier 4")</f>
        <v>Tier 4</v>
      </c>
      <c r="K512" s="4" t="str">
        <f>IFERROR(__xludf.DUMMYFUNCTION("""COMPUTED_VALUE"""),"Active")</f>
        <v>Active</v>
      </c>
      <c r="L512" s="4" t="str">
        <f>IFERROR(__xludf.DUMMYFUNCTION("""COMPUTED_VALUE"""),"Gemini Enterprise Agent Platform")</f>
        <v>Gemini Enterprise Agent Platform</v>
      </c>
    </row>
    <row r="513">
      <c r="A513" s="4" t="str">
        <f>IFERROR(__xludf.DUMMYFUNCTION("""COMPUTED_VALUE"""),"DME2496")</f>
        <v>DME2496</v>
      </c>
      <c r="B513" s="4" t="str">
        <f>IFERROR(__xludf.DUMMYFUNCTION("""COMPUTED_VALUE"""),"Chandrashekhar Subhash Sable")</f>
        <v>Chandrashekhar Subhash Sable</v>
      </c>
      <c r="C513" s="4" t="str">
        <f>IFERROR(__xludf.DUMMYFUNCTION("""COMPUTED_VALUE"""),"chandrashekhar.s@onixnet.com")</f>
        <v>chandrashekhar.s@onixnet.com</v>
      </c>
      <c r="D513" s="4" t="str">
        <f>IFERROR(__xludf.DUMMYFUNCTION("""COMPUTED_VALUE"""),"Active")</f>
        <v>Active</v>
      </c>
      <c r="E513" s="4" t="str">
        <f>IFERROR(__xludf.DUMMYFUNCTION("""COMPUTED_VALUE"""),"Delivery Services")</f>
        <v>Delivery Services</v>
      </c>
      <c r="F513" s="4" t="str">
        <f>IFERROR(__xludf.DUMMYFUNCTION("""COMPUTED_VALUE"""),"Aakash Vinod Tolani")</f>
        <v>Aakash Vinod Tolani</v>
      </c>
      <c r="G513" s="4" t="str">
        <f>IFERROR(__xludf.DUMMYFUNCTION("""COMPUTED_VALUE"""),"Cluster - Shreepad")</f>
        <v>Cluster - Shreepad</v>
      </c>
      <c r="H513" s="4" t="str">
        <f>IFERROR(__xludf.DUMMYFUNCTION("""COMPUTED_VALUE"""),"ONICSTWS7")</f>
        <v>ONICSTWS7</v>
      </c>
      <c r="I513" s="5">
        <f>IFERROR(__xludf.DUMMYFUNCTION("""COMPUTED_VALUE"""),25.0)</f>
        <v>25</v>
      </c>
      <c r="J513" s="4" t="str">
        <f>IFERROR(__xludf.DUMMYFUNCTION("""COMPUTED_VALUE"""),"Tier 3")</f>
        <v>Tier 3</v>
      </c>
      <c r="K513" s="4" t="str">
        <f>IFERROR(__xludf.DUMMYFUNCTION("""COMPUTED_VALUE"""),"Active")</f>
        <v>Active</v>
      </c>
      <c r="L513" s="4" t="str">
        <f>IFERROR(__xludf.DUMMYFUNCTION("""COMPUTED_VALUE"""),"BigQuery")</f>
        <v>BigQuery</v>
      </c>
    </row>
    <row r="514">
      <c r="A514" s="4" t="str">
        <f>IFERROR(__xludf.DUMMYFUNCTION("""COMPUTED_VALUE"""),"DME2498")</f>
        <v>DME2498</v>
      </c>
      <c r="B514" s="4" t="str">
        <f>IFERROR(__xludf.DUMMYFUNCTION("""COMPUTED_VALUE"""),"Venkat Shivkumar")</f>
        <v>Venkat Shivkumar</v>
      </c>
      <c r="C514" s="4" t="str">
        <f>IFERROR(__xludf.DUMMYFUNCTION("""COMPUTED_VALUE"""),"venkat.shivkumar@onixnet.com")</f>
        <v>venkat.shivkumar@onixnet.com</v>
      </c>
      <c r="D514" s="4" t="str">
        <f>IFERROR(__xludf.DUMMYFUNCTION("""COMPUTED_VALUE"""),"Active")</f>
        <v>Active</v>
      </c>
      <c r="E514" s="4" t="str">
        <f>IFERROR(__xludf.DUMMYFUNCTION("""COMPUTED_VALUE"""),"Product Engineering")</f>
        <v>Product Engineering</v>
      </c>
      <c r="F514" s="4" t="str">
        <f>IFERROR(__xludf.DUMMYFUNCTION("""COMPUTED_VALUE"""),"Mayur Jain")</f>
        <v>Mayur Jain</v>
      </c>
      <c r="G514" s="4" t="str">
        <f>IFERROR(__xludf.DUMMYFUNCTION("""COMPUTED_VALUE"""),"Cluster - Mayur")</f>
        <v>Cluster - Mayur</v>
      </c>
      <c r="H514" s="4" t="str">
        <f>IFERROR(__xludf.DUMMYFUNCTION("""COMPUTED_VALUE"""),"ONIVSLKE9")</f>
        <v>ONIVSLKE9</v>
      </c>
      <c r="I514" s="5">
        <f>IFERROR(__xludf.DUMMYFUNCTION("""COMPUTED_VALUE"""),49.0)</f>
        <v>49</v>
      </c>
      <c r="J514" s="4" t="str">
        <f>IFERROR(__xludf.DUMMYFUNCTION("""COMPUTED_VALUE"""),"Tier 2")</f>
        <v>Tier 2</v>
      </c>
      <c r="K514" s="4" t="str">
        <f>IFERROR(__xludf.DUMMYFUNCTION("""COMPUTED_VALUE"""),"Active")</f>
        <v>Active</v>
      </c>
      <c r="L514" s="4" t="str">
        <f>IFERROR(__xludf.DUMMYFUNCTION("""COMPUTED_VALUE"""),"Gemini Enterprise Agent Platform")</f>
        <v>Gemini Enterprise Agent Platform</v>
      </c>
    </row>
    <row r="515">
      <c r="A515" s="4" t="str">
        <f>IFERROR(__xludf.DUMMYFUNCTION("""COMPUTED_VALUE"""),"DME2499")</f>
        <v>DME2499</v>
      </c>
      <c r="B515" s="4" t="str">
        <f>IFERROR(__xludf.DUMMYFUNCTION("""COMPUTED_VALUE"""),"Imran Ashraf")</f>
        <v>Imran Ashraf</v>
      </c>
      <c r="C515" s="4" t="str">
        <f>IFERROR(__xludf.DUMMYFUNCTION("""COMPUTED_VALUE"""),"imran.ashraf@onixnet.com")</f>
        <v>imran.ashraf@onixnet.com</v>
      </c>
      <c r="D515" s="4" t="str">
        <f>IFERROR(__xludf.DUMMYFUNCTION("""COMPUTED_VALUE"""),"Active")</f>
        <v>Active</v>
      </c>
      <c r="E515" s="4" t="str">
        <f>IFERROR(__xludf.DUMMYFUNCTION("""COMPUTED_VALUE"""),"Delivery Services")</f>
        <v>Delivery Services</v>
      </c>
      <c r="F515" s="4" t="str">
        <f>IFERROR(__xludf.DUMMYFUNCTION("""COMPUTED_VALUE"""),"Kiran Shinde")</f>
        <v>Kiran Shinde</v>
      </c>
      <c r="G515" s="4" t="str">
        <f>IFERROR(__xludf.DUMMYFUNCTION("""COMPUTED_VALUE"""),"Cluster - Gaurav")</f>
        <v>Cluster - Gaurav</v>
      </c>
      <c r="H515" s="4"/>
      <c r="I515" s="5"/>
      <c r="J515" s="4"/>
      <c r="K515" s="4" t="str">
        <f>IFERROR(__xludf.DUMMYFUNCTION("""COMPUTED_VALUE"""),"ID Not Created")</f>
        <v>ID Not Created</v>
      </c>
      <c r="L515" s="4"/>
    </row>
    <row r="516">
      <c r="A516" s="4" t="str">
        <f>IFERROR(__xludf.DUMMYFUNCTION("""COMPUTED_VALUE"""),"DME2500")</f>
        <v>DME2500</v>
      </c>
      <c r="B516" s="4" t="str">
        <f>IFERROR(__xludf.DUMMYFUNCTION("""COMPUTED_VALUE"""),"Rajkumar Sarvanand Mishra")</f>
        <v>Rajkumar Sarvanand Mishra</v>
      </c>
      <c r="C516" s="4" t="str">
        <f>IFERROR(__xludf.DUMMYFUNCTION("""COMPUTED_VALUE"""),"rajkumar.mishra@onixnet.com")</f>
        <v>rajkumar.mishra@onixnet.com</v>
      </c>
      <c r="D516" s="4" t="str">
        <f>IFERROR(__xludf.DUMMYFUNCTION("""COMPUTED_VALUE"""),"Active")</f>
        <v>Active</v>
      </c>
      <c r="E516" s="4" t="str">
        <f>IFERROR(__xludf.DUMMYFUNCTION("""COMPUTED_VALUE"""),"Delivery Services")</f>
        <v>Delivery Services</v>
      </c>
      <c r="F516" s="4" t="str">
        <f>IFERROR(__xludf.DUMMYFUNCTION("""COMPUTED_VALUE"""),"Akash Morey")</f>
        <v>Akash Morey</v>
      </c>
      <c r="G516" s="4" t="str">
        <f>IFERROR(__xludf.DUMMYFUNCTION("""COMPUTED_VALUE"""),"Cluster - Sandeep")</f>
        <v>Cluster - Sandeep</v>
      </c>
      <c r="H516" s="4" t="str">
        <f>IFERROR(__xludf.DUMMYFUNCTION("""COMPUTED_VALUE"""),"ONIRMKXJ1")</f>
        <v>ONIRMKXJ1</v>
      </c>
      <c r="I516" s="5">
        <f>IFERROR(__xludf.DUMMYFUNCTION("""COMPUTED_VALUE"""),17.0)</f>
        <v>17</v>
      </c>
      <c r="J516" s="4" t="str">
        <f>IFERROR(__xludf.DUMMYFUNCTION("""COMPUTED_VALUE"""),"Tier 4")</f>
        <v>Tier 4</v>
      </c>
      <c r="K516" s="4" t="str">
        <f>IFERROR(__xludf.DUMMYFUNCTION("""COMPUTED_VALUE"""),"Active")</f>
        <v>Active</v>
      </c>
      <c r="L516" s="4" t="str">
        <f>IFERROR(__xludf.DUMMYFUNCTION("""COMPUTED_VALUE"""),"AI Applications")</f>
        <v>AI Applications</v>
      </c>
    </row>
    <row r="517">
      <c r="A517" s="4" t="str">
        <f>IFERROR(__xludf.DUMMYFUNCTION("""COMPUTED_VALUE"""),"DME2501")</f>
        <v>DME2501</v>
      </c>
      <c r="B517" s="4" t="str">
        <f>IFERROR(__xludf.DUMMYFUNCTION("""COMPUTED_VALUE"""),"Bhushan Bhaurao Rayate")</f>
        <v>Bhushan Bhaurao Rayate</v>
      </c>
      <c r="C517" s="4" t="str">
        <f>IFERROR(__xludf.DUMMYFUNCTION("""COMPUTED_VALUE"""),"bhushan.rayate@onixnet.com")</f>
        <v>bhushan.rayate@onixnet.com</v>
      </c>
      <c r="D517" s="4" t="str">
        <f>IFERROR(__xludf.DUMMYFUNCTION("""COMPUTED_VALUE"""),"Active")</f>
        <v>Active</v>
      </c>
      <c r="E517" s="4" t="str">
        <f>IFERROR(__xludf.DUMMYFUNCTION("""COMPUTED_VALUE"""),"Delivery Services")</f>
        <v>Delivery Services</v>
      </c>
      <c r="F517" s="4" t="str">
        <f>IFERROR(__xludf.DUMMYFUNCTION("""COMPUTED_VALUE"""),"Sanyam Jain")</f>
        <v>Sanyam Jain</v>
      </c>
      <c r="G517" s="4" t="str">
        <f>IFERROR(__xludf.DUMMYFUNCTION("""COMPUTED_VALUE"""),"Cluster - Sandeep")</f>
        <v>Cluster - Sandeep</v>
      </c>
      <c r="H517" s="4" t="str">
        <f>IFERROR(__xludf.DUMMYFUNCTION("""COMPUTED_VALUE"""),"ONIBRMYU2")</f>
        <v>ONIBRMYU2</v>
      </c>
      <c r="I517" s="5">
        <f>IFERROR(__xludf.DUMMYFUNCTION("""COMPUTED_VALUE"""),8.0)</f>
        <v>8</v>
      </c>
      <c r="J517" s="4" t="str">
        <f>IFERROR(__xludf.DUMMYFUNCTION("""COMPUTED_VALUE"""),"Tier 4")</f>
        <v>Tier 4</v>
      </c>
      <c r="K517" s="4" t="str">
        <f>IFERROR(__xludf.DUMMYFUNCTION("""COMPUTED_VALUE"""),"Active")</f>
        <v>Active</v>
      </c>
      <c r="L517" s="4" t="str">
        <f>IFERROR(__xludf.DUMMYFUNCTION("""COMPUTED_VALUE"""),"BigQuery")</f>
        <v>BigQuery</v>
      </c>
    </row>
    <row r="518">
      <c r="A518" s="4" t="str">
        <f>IFERROR(__xludf.DUMMYFUNCTION("""COMPUTED_VALUE"""),"DME2503")</f>
        <v>DME2503</v>
      </c>
      <c r="B518" s="4" t="str">
        <f>IFERROR(__xludf.DUMMYFUNCTION("""COMPUTED_VALUE"""),"Arabi Mohammed")</f>
        <v>Arabi Mohammed</v>
      </c>
      <c r="C518" s="4" t="str">
        <f>IFERROR(__xludf.DUMMYFUNCTION("""COMPUTED_VALUE"""),"arabi.mohammed@onixnet.com")</f>
        <v>arabi.mohammed@onixnet.com</v>
      </c>
      <c r="D518" s="4" t="str">
        <f>IFERROR(__xludf.DUMMYFUNCTION("""COMPUTED_VALUE"""),"Active")</f>
        <v>Active</v>
      </c>
      <c r="E518" s="4" t="str">
        <f>IFERROR(__xludf.DUMMYFUNCTION("""COMPUTED_VALUE"""),"Delivery Services")</f>
        <v>Delivery Services</v>
      </c>
      <c r="F518" s="4" t="str">
        <f>IFERROR(__xludf.DUMMYFUNCTION("""COMPUTED_VALUE"""),"Sandeep Kumar")</f>
        <v>Sandeep Kumar</v>
      </c>
      <c r="G518" s="4" t="str">
        <f>IFERROR(__xludf.DUMMYFUNCTION("""COMPUTED_VALUE"""),"Cluster - Sandeep")</f>
        <v>Cluster - Sandeep</v>
      </c>
      <c r="H518" s="4" t="str">
        <f>IFERROR(__xludf.DUMMYFUNCTION("""COMPUTED_VALUE"""),"ONIAMCKE4")</f>
        <v>ONIAMCKE4</v>
      </c>
      <c r="I518" s="5">
        <f>IFERROR(__xludf.DUMMYFUNCTION("""COMPUTED_VALUE"""),19.0)</f>
        <v>19</v>
      </c>
      <c r="J518" s="4" t="str">
        <f>IFERROR(__xludf.DUMMYFUNCTION("""COMPUTED_VALUE"""),"Tier 4")</f>
        <v>Tier 4</v>
      </c>
      <c r="K518" s="4" t="str">
        <f>IFERROR(__xludf.DUMMYFUNCTION("""COMPUTED_VALUE"""),"Active")</f>
        <v>Active</v>
      </c>
      <c r="L518" s="4" t="str">
        <f>IFERROR(__xludf.DUMMYFUNCTION("""COMPUTED_VALUE"""),"AI Applications")</f>
        <v>AI Applications</v>
      </c>
    </row>
    <row r="519">
      <c r="A519" s="4" t="str">
        <f>IFERROR(__xludf.DUMMYFUNCTION("""COMPUTED_VALUE"""),"DME2506")</f>
        <v>DME2506</v>
      </c>
      <c r="B519" s="4" t="str">
        <f>IFERROR(__xludf.DUMMYFUNCTION("""COMPUTED_VALUE"""),"Yogendra Singh")</f>
        <v>Yogendra Singh</v>
      </c>
      <c r="C519" s="4" t="str">
        <f>IFERROR(__xludf.DUMMYFUNCTION("""COMPUTED_VALUE"""),"yogendra.singh@onixnet.com")</f>
        <v>yogendra.singh@onixnet.com</v>
      </c>
      <c r="D519" s="4" t="str">
        <f>IFERROR(__xludf.DUMMYFUNCTION("""COMPUTED_VALUE"""),"Active")</f>
        <v>Active</v>
      </c>
      <c r="E519" s="4" t="str">
        <f>IFERROR(__xludf.DUMMYFUNCTION("""COMPUTED_VALUE"""),"Product Engineering")</f>
        <v>Product Engineering</v>
      </c>
      <c r="F519" s="4" t="str">
        <f>IFERROR(__xludf.DUMMYFUNCTION("""COMPUTED_VALUE"""),"Binoy Samuel")</f>
        <v>Binoy Samuel</v>
      </c>
      <c r="G519" s="4" t="str">
        <f>IFERROR(__xludf.DUMMYFUNCTION("""COMPUTED_VALUE"""),"Cluster - Mayur")</f>
        <v>Cluster - Mayur</v>
      </c>
      <c r="H519" s="4"/>
      <c r="I519" s="5"/>
      <c r="J519" s="4"/>
      <c r="K519" s="4" t="str">
        <f>IFERROR(__xludf.DUMMYFUNCTION("""COMPUTED_VALUE"""),"ID Not Created")</f>
        <v>ID Not Created</v>
      </c>
      <c r="L519" s="4"/>
    </row>
    <row r="520">
      <c r="A520" s="4" t="str">
        <f>IFERROR(__xludf.DUMMYFUNCTION("""COMPUTED_VALUE"""),"DME2513")</f>
        <v>DME2513</v>
      </c>
      <c r="B520" s="4" t="str">
        <f>IFERROR(__xludf.DUMMYFUNCTION("""COMPUTED_VALUE"""),"Shreyas Meshram")</f>
        <v>Shreyas Meshram</v>
      </c>
      <c r="C520" s="4" t="str">
        <f>IFERROR(__xludf.DUMMYFUNCTION("""COMPUTED_VALUE"""),"shreyas.meshram@onixnet.com")</f>
        <v>shreyas.meshram@onixnet.com</v>
      </c>
      <c r="D520" s="4" t="str">
        <f>IFERROR(__xludf.DUMMYFUNCTION("""COMPUTED_VALUE"""),"Active")</f>
        <v>Active</v>
      </c>
      <c r="E520" s="4" t="str">
        <f>IFERROR(__xludf.DUMMYFUNCTION("""COMPUTED_VALUE"""),"Delivery Services")</f>
        <v>Delivery Services</v>
      </c>
      <c r="F520" s="4" t="str">
        <f>IFERROR(__xludf.DUMMYFUNCTION("""COMPUTED_VALUE"""),"Nitesh Verma")</f>
        <v>Nitesh Verma</v>
      </c>
      <c r="G520" s="4" t="str">
        <f>IFERROR(__xludf.DUMMYFUNCTION("""COMPUTED_VALUE"""),"Cluster - Gaurav")</f>
        <v>Cluster - Gaurav</v>
      </c>
      <c r="H520" s="4" t="str">
        <f>IFERROR(__xludf.DUMMYFUNCTION("""COMPUTED_VALUE"""),"ONISMILT3")</f>
        <v>ONISMILT3</v>
      </c>
      <c r="I520" s="5">
        <f>IFERROR(__xludf.DUMMYFUNCTION("""COMPUTED_VALUE"""),10.0)</f>
        <v>10</v>
      </c>
      <c r="J520" s="4" t="str">
        <f>IFERROR(__xludf.DUMMYFUNCTION("""COMPUTED_VALUE"""),"Tier 4")</f>
        <v>Tier 4</v>
      </c>
      <c r="K520" s="4" t="str">
        <f>IFERROR(__xludf.DUMMYFUNCTION("""COMPUTED_VALUE"""),"Active")</f>
        <v>Active</v>
      </c>
      <c r="L520" s="4" t="str">
        <f>IFERROR(__xludf.DUMMYFUNCTION("""COMPUTED_VALUE"""),"BigQuery")</f>
        <v>BigQuery</v>
      </c>
    </row>
    <row r="521">
      <c r="A521" s="4" t="str">
        <f>IFERROR(__xludf.DUMMYFUNCTION("""COMPUTED_VALUE"""),"DMUK0006")</f>
        <v>DMUK0006</v>
      </c>
      <c r="B521" s="4" t="str">
        <f>IFERROR(__xludf.DUMMYFUNCTION("""COMPUTED_VALUE"""),"Sivaprasad Mandapati")</f>
        <v>Sivaprasad Mandapati</v>
      </c>
      <c r="C521" s="4" t="str">
        <f>IFERROR(__xludf.DUMMYFUNCTION("""COMPUTED_VALUE"""),"sivaprasad.m@onixnet.com")</f>
        <v>sivaprasad.m@onixnet.com</v>
      </c>
      <c r="D521" s="4" t="str">
        <f>IFERROR(__xludf.DUMMYFUNCTION("""COMPUTED_VALUE"""),"Active")</f>
        <v>Active</v>
      </c>
      <c r="E521" s="4" t="str">
        <f>IFERROR(__xludf.DUMMYFUNCTION("""COMPUTED_VALUE"""),"Delivery Services")</f>
        <v>Delivery Services</v>
      </c>
      <c r="F521" s="4" t="str">
        <f>IFERROR(__xludf.DUMMYFUNCTION("""COMPUTED_VALUE"""),"Vrushali Srivastava")</f>
        <v>Vrushali Srivastava</v>
      </c>
      <c r="G521" s="4" t="str">
        <f>IFERROR(__xludf.DUMMYFUNCTION("""COMPUTED_VALUE"""),"Portfolio - Rajesh")</f>
        <v>Portfolio - Rajesh</v>
      </c>
      <c r="H521" s="4" t="str">
        <f>IFERROR(__xludf.DUMMYFUNCTION("""COMPUTED_VALUE"""),"DATSMEYZ1")</f>
        <v>DATSMEYZ1</v>
      </c>
      <c r="I521" s="5">
        <f>IFERROR(__xludf.DUMMYFUNCTION("""COMPUTED_VALUE"""),24.0)</f>
        <v>24</v>
      </c>
      <c r="J521" s="4" t="str">
        <f>IFERROR(__xludf.DUMMYFUNCTION("""COMPUTED_VALUE"""),"Tier 3")</f>
        <v>Tier 3</v>
      </c>
      <c r="K521" s="4" t="str">
        <f>IFERROR(__xludf.DUMMYFUNCTION("""COMPUTED_VALUE"""),"Active")</f>
        <v>Active</v>
      </c>
      <c r="L521" s="4" t="str">
        <f>IFERROR(__xludf.DUMMYFUNCTION("""COMPUTED_VALUE"""),"Gemini Enterprise Agent Platform")</f>
        <v>Gemini Enterprise Agent Platform</v>
      </c>
    </row>
    <row r="522">
      <c r="A522" s="4" t="str">
        <f>IFERROR(__xludf.DUMMYFUNCTION("""COMPUTED_VALUE"""),"DMUK0007")</f>
        <v>DMUK0007</v>
      </c>
      <c r="B522" s="4" t="str">
        <f>IFERROR(__xludf.DUMMYFUNCTION("""COMPUTED_VALUE"""),"Sean Gilley")</f>
        <v>Sean Gilley</v>
      </c>
      <c r="C522" s="4" t="str">
        <f>IFERROR(__xludf.DUMMYFUNCTION("""COMPUTED_VALUE"""),"sean.gilley@onixnet.com")</f>
        <v>sean.gilley@onixnet.com</v>
      </c>
      <c r="D522" s="4" t="str">
        <f>IFERROR(__xludf.DUMMYFUNCTION("""COMPUTED_VALUE"""),"Active")</f>
        <v>Active</v>
      </c>
      <c r="E522" s="4" t="str">
        <f>IFERROR(__xludf.DUMMYFUNCTION("""COMPUTED_VALUE"""),"Delivery Services")</f>
        <v>Delivery Services</v>
      </c>
      <c r="F522" s="4" t="str">
        <f>IFERROR(__xludf.DUMMYFUNCTION("""COMPUTED_VALUE"""),"Thomas Kraus")</f>
        <v>Thomas Kraus</v>
      </c>
      <c r="G522" s="4" t="str">
        <f>IFERROR(__xludf.DUMMYFUNCTION("""COMPUTED_VALUE"""),"Portfolio - Ankur (Sales)")</f>
        <v>Portfolio - Ankur (Sales)</v>
      </c>
      <c r="H522" s="4" t="str">
        <f>IFERROR(__xludf.DUMMYFUNCTION("""COMPUTED_VALUE"""),"DATSGWYE7")</f>
        <v>DATSGWYE7</v>
      </c>
      <c r="I522" s="5">
        <f>IFERROR(__xludf.DUMMYFUNCTION("""COMPUTED_VALUE"""),74.0)</f>
        <v>74</v>
      </c>
      <c r="J522" s="4" t="str">
        <f>IFERROR(__xludf.DUMMYFUNCTION("""COMPUTED_VALUE"""),"Tier 1")</f>
        <v>Tier 1</v>
      </c>
      <c r="K522" s="4" t="str">
        <f>IFERROR(__xludf.DUMMYFUNCTION("""COMPUTED_VALUE"""),"Active")</f>
        <v>Active</v>
      </c>
      <c r="L522" s="4" t="str">
        <f>IFERROR(__xludf.DUMMYFUNCTION("""COMPUTED_VALUE"""),"AI Applications")</f>
        <v>AI Applications</v>
      </c>
    </row>
    <row r="523">
      <c r="A523" s="4" t="str">
        <f>IFERROR(__xludf.DUMMYFUNCTION("""COMPUTED_VALUE"""),"DME2518")</f>
        <v>DME2518</v>
      </c>
      <c r="B523" s="4" t="str">
        <f>IFERROR(__xludf.DUMMYFUNCTION("""COMPUTED_VALUE"""),"Manish Ahlawat")</f>
        <v>Manish Ahlawat</v>
      </c>
      <c r="C523" s="4" t="str">
        <f>IFERROR(__xludf.DUMMYFUNCTION("""COMPUTED_VALUE"""),"manish.ahlawat@onixnet.com")</f>
        <v>manish.ahlawat@onixnet.com</v>
      </c>
      <c r="D523" s="4" t="str">
        <f>IFERROR(__xludf.DUMMYFUNCTION("""COMPUTED_VALUE"""),"Active")</f>
        <v>Active</v>
      </c>
      <c r="E523" s="4" t="str">
        <f>IFERROR(__xludf.DUMMYFUNCTION("""COMPUTED_VALUE"""),"Delivery Services")</f>
        <v>Delivery Services</v>
      </c>
      <c r="F523" s="4" t="str">
        <f>IFERROR(__xludf.DUMMYFUNCTION("""COMPUTED_VALUE"""),"Varunesh Khandelwal")</f>
        <v>Varunesh Khandelwal</v>
      </c>
      <c r="G523" s="4" t="str">
        <f>IFERROR(__xludf.DUMMYFUNCTION("""COMPUTED_VALUE"""),"Cluster - Gaurav")</f>
        <v>Cluster - Gaurav</v>
      </c>
      <c r="H523" s="4" t="str">
        <f>IFERROR(__xludf.DUMMYFUNCTION("""COMPUTED_VALUE"""),"ONIMAEFL3")</f>
        <v>ONIMAEFL3</v>
      </c>
      <c r="I523" s="5">
        <f>IFERROR(__xludf.DUMMYFUNCTION("""COMPUTED_VALUE"""),19.0)</f>
        <v>19</v>
      </c>
      <c r="J523" s="4" t="str">
        <f>IFERROR(__xludf.DUMMYFUNCTION("""COMPUTED_VALUE"""),"Tier 4")</f>
        <v>Tier 4</v>
      </c>
      <c r="K523" s="4" t="str">
        <f>IFERROR(__xludf.DUMMYFUNCTION("""COMPUTED_VALUE"""),"Active")</f>
        <v>Active</v>
      </c>
      <c r="L523" s="4" t="str">
        <f>IFERROR(__xludf.DUMMYFUNCTION("""COMPUTED_VALUE"""),"Gemini Enterprise Agent Platform")</f>
        <v>Gemini Enterprise Agent Platform</v>
      </c>
    </row>
    <row r="524">
      <c r="A524" s="4" t="str">
        <f>IFERROR(__xludf.DUMMYFUNCTION("""COMPUTED_VALUE"""),"DME2521")</f>
        <v>DME2521</v>
      </c>
      <c r="B524" s="4" t="str">
        <f>IFERROR(__xludf.DUMMYFUNCTION("""COMPUTED_VALUE"""),"Deshabhotla Sravan")</f>
        <v>Deshabhotla Sravan</v>
      </c>
      <c r="C524" s="4" t="str">
        <f>IFERROR(__xludf.DUMMYFUNCTION("""COMPUTED_VALUE"""),"sravan.d@onixnet.com")</f>
        <v>sravan.d@onixnet.com</v>
      </c>
      <c r="D524" s="4" t="str">
        <f>IFERROR(__xludf.DUMMYFUNCTION("""COMPUTED_VALUE"""),"Active")</f>
        <v>Active</v>
      </c>
      <c r="E524" s="4" t="str">
        <f>IFERROR(__xludf.DUMMYFUNCTION("""COMPUTED_VALUE"""),"Delivery Services")</f>
        <v>Delivery Services</v>
      </c>
      <c r="F524" s="4" t="str">
        <f>IFERROR(__xludf.DUMMYFUNCTION("""COMPUTED_VALUE"""),"Shreepad Dhok")</f>
        <v>Shreepad Dhok</v>
      </c>
      <c r="G524" s="4" t="str">
        <f>IFERROR(__xludf.DUMMYFUNCTION("""COMPUTED_VALUE"""),"Cluster - Shreepad")</f>
        <v>Cluster - Shreepad</v>
      </c>
      <c r="H524" s="4" t="str">
        <f>IFERROR(__xludf.DUMMYFUNCTION("""COMPUTED_VALUE"""),"ONISDAZN5")</f>
        <v>ONISDAZN5</v>
      </c>
      <c r="I524" s="5">
        <f>IFERROR(__xludf.DUMMYFUNCTION("""COMPUTED_VALUE"""),5.0)</f>
        <v>5</v>
      </c>
      <c r="J524" s="4" t="str">
        <f>IFERROR(__xludf.DUMMYFUNCTION("""COMPUTED_VALUE"""),"Tier 4")</f>
        <v>Tier 4</v>
      </c>
      <c r="K524" s="4" t="str">
        <f>IFERROR(__xludf.DUMMYFUNCTION("""COMPUTED_VALUE"""),"Active")</f>
        <v>Active</v>
      </c>
      <c r="L524" s="4" t="str">
        <f>IFERROR(__xludf.DUMMYFUNCTION("""COMPUTED_VALUE"""),"BigQuery")</f>
        <v>BigQuery</v>
      </c>
    </row>
    <row r="525">
      <c r="A525" s="4" t="str">
        <f>IFERROR(__xludf.DUMMYFUNCTION("""COMPUTED_VALUE"""),"DME2538")</f>
        <v>DME2538</v>
      </c>
      <c r="B525" s="4" t="str">
        <f>IFERROR(__xludf.DUMMYFUNCTION("""COMPUTED_VALUE"""),"Sanyam Jain")</f>
        <v>Sanyam Jain</v>
      </c>
      <c r="C525" s="4" t="str">
        <f>IFERROR(__xludf.DUMMYFUNCTION("""COMPUTED_VALUE"""),"sanyam.jain@onixnet.com")</f>
        <v>sanyam.jain@onixnet.com</v>
      </c>
      <c r="D525" s="4" t="str">
        <f>IFERROR(__xludf.DUMMYFUNCTION("""COMPUTED_VALUE"""),"Active")</f>
        <v>Active</v>
      </c>
      <c r="E525" s="4" t="str">
        <f>IFERROR(__xludf.DUMMYFUNCTION("""COMPUTED_VALUE"""),"Delivery Services")</f>
        <v>Delivery Services</v>
      </c>
      <c r="F525" s="4" t="str">
        <f>IFERROR(__xludf.DUMMYFUNCTION("""COMPUTED_VALUE"""),"Sneha Bhatambrekar")</f>
        <v>Sneha Bhatambrekar</v>
      </c>
      <c r="G525" s="4" t="str">
        <f>IFERROR(__xludf.DUMMYFUNCTION("""COMPUTED_VALUE"""),"Cluster - Sandeep")</f>
        <v>Cluster - Sandeep</v>
      </c>
      <c r="H525" s="4" t="str">
        <f>IFERROR(__xludf.DUMMYFUNCTION("""COMPUTED_VALUE"""),"ONISJLPP6")</f>
        <v>ONISJLPP6</v>
      </c>
      <c r="I525" s="5">
        <f>IFERROR(__xludf.DUMMYFUNCTION("""COMPUTED_VALUE"""),14.0)</f>
        <v>14</v>
      </c>
      <c r="J525" s="4" t="str">
        <f>IFERROR(__xludf.DUMMYFUNCTION("""COMPUTED_VALUE"""),"Tier 4")</f>
        <v>Tier 4</v>
      </c>
      <c r="K525" s="4" t="str">
        <f>IFERROR(__xludf.DUMMYFUNCTION("""COMPUTED_VALUE"""),"Active")</f>
        <v>Active</v>
      </c>
      <c r="L525" s="4" t="str">
        <f>IFERROR(__xludf.DUMMYFUNCTION("""COMPUTED_VALUE"""),"BigQuery")</f>
        <v>BigQuery</v>
      </c>
    </row>
    <row r="526">
      <c r="A526" s="4" t="str">
        <f>IFERROR(__xludf.DUMMYFUNCTION("""COMPUTED_VALUE"""),"DME2550")</f>
        <v>DME2550</v>
      </c>
      <c r="B526" s="4" t="str">
        <f>IFERROR(__xludf.DUMMYFUNCTION("""COMPUTED_VALUE"""),"Avinash Karad")</f>
        <v>Avinash Karad</v>
      </c>
      <c r="C526" s="4" t="str">
        <f>IFERROR(__xludf.DUMMYFUNCTION("""COMPUTED_VALUE"""),"avinash.karad@onixnet.com")</f>
        <v>avinash.karad@onixnet.com</v>
      </c>
      <c r="D526" s="4" t="str">
        <f>IFERROR(__xludf.DUMMYFUNCTION("""COMPUTED_VALUE"""),"Active")</f>
        <v>Active</v>
      </c>
      <c r="E526" s="4" t="str">
        <f>IFERROR(__xludf.DUMMYFUNCTION("""COMPUTED_VALUE"""),"Eagle Assessment")</f>
        <v>Eagle Assessment</v>
      </c>
      <c r="F526" s="4" t="str">
        <f>IFERROR(__xludf.DUMMYFUNCTION("""COMPUTED_VALUE"""),"Swapnil Salunke")</f>
        <v>Swapnil Salunke</v>
      </c>
      <c r="G526" s="4" t="str">
        <f>IFERROR(__xludf.DUMMYFUNCTION("""COMPUTED_VALUE"""),"Cluster - Kalpa")</f>
        <v>Cluster - Kalpa</v>
      </c>
      <c r="H526" s="4" t="str">
        <f>IFERROR(__xludf.DUMMYFUNCTION("""COMPUTED_VALUE"""),"ONIAKZIH1")</f>
        <v>ONIAKZIH1</v>
      </c>
      <c r="I526" s="5">
        <f>IFERROR(__xludf.DUMMYFUNCTION("""COMPUTED_VALUE"""),10.0)</f>
        <v>10</v>
      </c>
      <c r="J526" s="4" t="str">
        <f>IFERROR(__xludf.DUMMYFUNCTION("""COMPUTED_VALUE"""),"Tier 4")</f>
        <v>Tier 4</v>
      </c>
      <c r="K526" s="4" t="str">
        <f>IFERROR(__xludf.DUMMYFUNCTION("""COMPUTED_VALUE"""),"Active")</f>
        <v>Active</v>
      </c>
      <c r="L526" s="4" t="str">
        <f>IFERROR(__xludf.DUMMYFUNCTION("""COMPUTED_VALUE"""),"AI Applications")</f>
        <v>AI Applications</v>
      </c>
    </row>
    <row r="527">
      <c r="A527" s="4" t="str">
        <f>IFERROR(__xludf.DUMMYFUNCTION("""COMPUTED_VALUE"""),"DME2568")</f>
        <v>DME2568</v>
      </c>
      <c r="B527" s="4" t="str">
        <f>IFERROR(__xludf.DUMMYFUNCTION("""COMPUTED_VALUE"""),"Saksham Mathur")</f>
        <v>Saksham Mathur</v>
      </c>
      <c r="C527" s="4" t="str">
        <f>IFERROR(__xludf.DUMMYFUNCTION("""COMPUTED_VALUE"""),"saksham.mathur@onixnet.com")</f>
        <v>saksham.mathur@onixnet.com</v>
      </c>
      <c r="D527" s="4" t="str">
        <f>IFERROR(__xludf.DUMMYFUNCTION("""COMPUTED_VALUE"""),"Active")</f>
        <v>Active</v>
      </c>
      <c r="E527" s="4" t="str">
        <f>IFERROR(__xludf.DUMMYFUNCTION("""COMPUTED_VALUE"""),"Delivery Services")</f>
        <v>Delivery Services</v>
      </c>
      <c r="F527" s="4" t="str">
        <f>IFERROR(__xludf.DUMMYFUNCTION("""COMPUTED_VALUE"""),"Varun Katyal")</f>
        <v>Varun Katyal</v>
      </c>
      <c r="G527" s="4" t="str">
        <f>IFERROR(__xludf.DUMMYFUNCTION("""COMPUTED_VALUE"""),"Cluster - Varun")</f>
        <v>Cluster - Varun</v>
      </c>
      <c r="H527" s="4" t="str">
        <f>IFERROR(__xludf.DUMMYFUNCTION("""COMPUTED_VALUE"""),"ONISMUZE5")</f>
        <v>ONISMUZE5</v>
      </c>
      <c r="I527" s="5">
        <f>IFERROR(__xludf.DUMMYFUNCTION("""COMPUTED_VALUE"""),19.0)</f>
        <v>19</v>
      </c>
      <c r="J527" s="4" t="str">
        <f>IFERROR(__xludf.DUMMYFUNCTION("""COMPUTED_VALUE"""),"Tier 4")</f>
        <v>Tier 4</v>
      </c>
      <c r="K527" s="4" t="str">
        <f>IFERROR(__xludf.DUMMYFUNCTION("""COMPUTED_VALUE"""),"Active")</f>
        <v>Active</v>
      </c>
      <c r="L527" s="4"/>
    </row>
    <row r="528">
      <c r="A528" s="4" t="str">
        <f>IFERROR(__xludf.DUMMYFUNCTION("""COMPUTED_VALUE"""),"DME2573")</f>
        <v>DME2573</v>
      </c>
      <c r="B528" s="4" t="str">
        <f>IFERROR(__xludf.DUMMYFUNCTION("""COMPUTED_VALUE"""),"Madhav Khandelwal")</f>
        <v>Madhav Khandelwal</v>
      </c>
      <c r="C528" s="4" t="str">
        <f>IFERROR(__xludf.DUMMYFUNCTION("""COMPUTED_VALUE"""),"madhav.khandelwal@onixnet.com")</f>
        <v>madhav.khandelwal@onixnet.com</v>
      </c>
      <c r="D528" s="4" t="str">
        <f>IFERROR(__xludf.DUMMYFUNCTION("""COMPUTED_VALUE"""),"Active")</f>
        <v>Active</v>
      </c>
      <c r="E528" s="4" t="str">
        <f>IFERROR(__xludf.DUMMYFUNCTION("""COMPUTED_VALUE"""),"Delivery Services")</f>
        <v>Delivery Services</v>
      </c>
      <c r="F528" s="4" t="str">
        <f>IFERROR(__xludf.DUMMYFUNCTION("""COMPUTED_VALUE"""),"Anand Saraf")</f>
        <v>Anand Saraf</v>
      </c>
      <c r="G528" s="4" t="str">
        <f>IFERROR(__xludf.DUMMYFUNCTION("""COMPUTED_VALUE"""),"Cluster - Sachin")</f>
        <v>Cluster - Sachin</v>
      </c>
      <c r="H528" s="4" t="str">
        <f>IFERROR(__xludf.DUMMYFUNCTION("""COMPUTED_VALUE"""),"ONIMKIKT8")</f>
        <v>ONIMKIKT8</v>
      </c>
      <c r="I528" s="5">
        <f>IFERROR(__xludf.DUMMYFUNCTION("""COMPUTED_VALUE"""),0.0)</f>
        <v>0</v>
      </c>
      <c r="J528" s="4" t="str">
        <f>IFERROR(__xludf.DUMMYFUNCTION("""COMPUTED_VALUE"""),"Tier 4")</f>
        <v>Tier 4</v>
      </c>
      <c r="K528" s="4" t="str">
        <f>IFERROR(__xludf.DUMMYFUNCTION("""COMPUTED_VALUE"""),"ID Created DRP score 0")</f>
        <v>ID Created DRP score 0</v>
      </c>
      <c r="L528" s="4"/>
    </row>
    <row r="529">
      <c r="A529" s="4" t="str">
        <f>IFERROR(__xludf.DUMMYFUNCTION("""COMPUTED_VALUE"""),"DME2575")</f>
        <v>DME2575</v>
      </c>
      <c r="B529" s="4" t="str">
        <f>IFERROR(__xludf.DUMMYFUNCTION("""COMPUTED_VALUE"""),"Rameez Tamboli")</f>
        <v>Rameez Tamboli</v>
      </c>
      <c r="C529" s="4" t="str">
        <f>IFERROR(__xludf.DUMMYFUNCTION("""COMPUTED_VALUE"""),"rameez.tamboli@onixnet.com")</f>
        <v>rameez.tamboli@onixnet.com</v>
      </c>
      <c r="D529" s="4" t="str">
        <f>IFERROR(__xludf.DUMMYFUNCTION("""COMPUTED_VALUE"""),"Active")</f>
        <v>Active</v>
      </c>
      <c r="E529" s="4" t="str">
        <f>IFERROR(__xludf.DUMMYFUNCTION("""COMPUTED_VALUE"""),"Delivery Services")</f>
        <v>Delivery Services</v>
      </c>
      <c r="F529" s="4" t="str">
        <f>IFERROR(__xludf.DUMMYFUNCTION("""COMPUTED_VALUE"""),"Devayani Girish Pillai")</f>
        <v>Devayani Girish Pillai</v>
      </c>
      <c r="G529" s="4" t="str">
        <f>IFERROR(__xludf.DUMMYFUNCTION("""COMPUTED_VALUE"""),"Cluster - Devayani")</f>
        <v>Cluster - Devayani</v>
      </c>
      <c r="H529" s="4" t="str">
        <f>IFERROR(__xludf.DUMMYFUNCTION("""COMPUTED_VALUE"""),"DATRTQXV8")</f>
        <v>DATRTQXV8</v>
      </c>
      <c r="I529" s="5">
        <f>IFERROR(__xludf.DUMMYFUNCTION("""COMPUTED_VALUE"""),69.0)</f>
        <v>69</v>
      </c>
      <c r="J529" s="4" t="str">
        <f>IFERROR(__xludf.DUMMYFUNCTION("""COMPUTED_VALUE"""),"Tier 1")</f>
        <v>Tier 1</v>
      </c>
      <c r="K529" s="4" t="str">
        <f>IFERROR(__xludf.DUMMYFUNCTION("""COMPUTED_VALUE"""),"Active")</f>
        <v>Active</v>
      </c>
      <c r="L529" s="4" t="str">
        <f>IFERROR(__xludf.DUMMYFUNCTION("""COMPUTED_VALUE"""),"Gemini Enterprise Agent Platform")</f>
        <v>Gemini Enterprise Agent Platform</v>
      </c>
    </row>
    <row r="530">
      <c r="A530" s="4" t="str">
        <f>IFERROR(__xludf.DUMMYFUNCTION("""COMPUTED_VALUE"""),"DME2584")</f>
        <v>DME2584</v>
      </c>
      <c r="B530" s="4" t="str">
        <f>IFERROR(__xludf.DUMMYFUNCTION("""COMPUTED_VALUE"""),"Varun Katyal")</f>
        <v>Varun Katyal</v>
      </c>
      <c r="C530" s="4" t="str">
        <f>IFERROR(__xludf.DUMMYFUNCTION("""COMPUTED_VALUE"""),"varun.katyal@onixnet.com")</f>
        <v>varun.katyal@onixnet.com</v>
      </c>
      <c r="D530" s="4" t="str">
        <f>IFERROR(__xludf.DUMMYFUNCTION("""COMPUTED_VALUE"""),"Active")</f>
        <v>Active</v>
      </c>
      <c r="E530" s="4" t="str">
        <f>IFERROR(__xludf.DUMMYFUNCTION("""COMPUTED_VALUE"""),"Delivery Services")</f>
        <v>Delivery Services</v>
      </c>
      <c r="F530" s="4" t="str">
        <f>IFERROR(__xludf.DUMMYFUNCTION("""COMPUTED_VALUE"""),"Gaurav Bharara")</f>
        <v>Gaurav Bharara</v>
      </c>
      <c r="G530" s="4" t="str">
        <f>IFERROR(__xludf.DUMMYFUNCTION("""COMPUTED_VALUE"""),"Cluster - Varun")</f>
        <v>Cluster - Varun</v>
      </c>
      <c r="H530" s="4" t="str">
        <f>IFERROR(__xludf.DUMMYFUNCTION("""COMPUTED_VALUE"""),"ONIVKMGC0")</f>
        <v>ONIVKMGC0</v>
      </c>
      <c r="I530" s="5">
        <f>IFERROR(__xludf.DUMMYFUNCTION("""COMPUTED_VALUE"""),0.0)</f>
        <v>0</v>
      </c>
      <c r="J530" s="4" t="str">
        <f>IFERROR(__xludf.DUMMYFUNCTION("""COMPUTED_VALUE"""),"Admin")</f>
        <v>Admin</v>
      </c>
      <c r="K530" s="4" t="str">
        <f>IFERROR(__xludf.DUMMYFUNCTION("""COMPUTED_VALUE"""),"Active")</f>
        <v>Active</v>
      </c>
      <c r="L530" s="4"/>
    </row>
    <row r="531">
      <c r="A531" s="4" t="str">
        <f>IFERROR(__xludf.DUMMYFUNCTION("""COMPUTED_VALUE"""),"DME2586")</f>
        <v>DME2586</v>
      </c>
      <c r="B531" s="4" t="str">
        <f>IFERROR(__xludf.DUMMYFUNCTION("""COMPUTED_VALUE"""),"Rishav Modi")</f>
        <v>Rishav Modi</v>
      </c>
      <c r="C531" s="4" t="str">
        <f>IFERROR(__xludf.DUMMYFUNCTION("""COMPUTED_VALUE"""),"rishav.modi@onixnet.com")</f>
        <v>rishav.modi@onixnet.com</v>
      </c>
      <c r="D531" s="4" t="str">
        <f>IFERROR(__xludf.DUMMYFUNCTION("""COMPUTED_VALUE"""),"Active")</f>
        <v>Active</v>
      </c>
      <c r="E531" s="4" t="str">
        <f>IFERROR(__xludf.DUMMYFUNCTION("""COMPUTED_VALUE"""),"Delivery Services")</f>
        <v>Delivery Services</v>
      </c>
      <c r="F531" s="4" t="str">
        <f>IFERROR(__xludf.DUMMYFUNCTION("""COMPUTED_VALUE"""),"Kishore Kotagiri")</f>
        <v>Kishore Kotagiri</v>
      </c>
      <c r="G531" s="4" t="str">
        <f>IFERROR(__xludf.DUMMYFUNCTION("""COMPUTED_VALUE"""),"Cluster - Kanhaiya")</f>
        <v>Cluster - Kanhaiya</v>
      </c>
      <c r="H531" s="4" t="str">
        <f>IFERROR(__xludf.DUMMYFUNCTION("""COMPUTED_VALUE"""),"ONIRMYAE4")</f>
        <v>ONIRMYAE4</v>
      </c>
      <c r="I531" s="5">
        <f>IFERROR(__xludf.DUMMYFUNCTION("""COMPUTED_VALUE"""),25.0)</f>
        <v>25</v>
      </c>
      <c r="J531" s="4" t="str">
        <f>IFERROR(__xludf.DUMMYFUNCTION("""COMPUTED_VALUE"""),"Tier 3")</f>
        <v>Tier 3</v>
      </c>
      <c r="K531" s="4" t="str">
        <f>IFERROR(__xludf.DUMMYFUNCTION("""COMPUTED_VALUE"""),"Active")</f>
        <v>Active</v>
      </c>
      <c r="L531" s="4" t="str">
        <f>IFERROR(__xludf.DUMMYFUNCTION("""COMPUTED_VALUE"""),"AI Applications")</f>
        <v>AI Applications</v>
      </c>
    </row>
    <row r="532">
      <c r="A532" s="4" t="str">
        <f>IFERROR(__xludf.DUMMYFUNCTION("""COMPUTED_VALUE"""),"DME2588")</f>
        <v>DME2588</v>
      </c>
      <c r="B532" s="4" t="str">
        <f>IFERROR(__xludf.DUMMYFUNCTION("""COMPUTED_VALUE"""),"Aman Khandelwal")</f>
        <v>Aman Khandelwal</v>
      </c>
      <c r="C532" s="4" t="str">
        <f>IFERROR(__xludf.DUMMYFUNCTION("""COMPUTED_VALUE"""),"aman.khandelwal@onixnet.com")</f>
        <v>aman.khandelwal@onixnet.com</v>
      </c>
      <c r="D532" s="4" t="str">
        <f>IFERROR(__xludf.DUMMYFUNCTION("""COMPUTED_VALUE"""),"Active")</f>
        <v>Active</v>
      </c>
      <c r="E532" s="4" t="str">
        <f>IFERROR(__xludf.DUMMYFUNCTION("""COMPUTED_VALUE"""),"Delivery Services")</f>
        <v>Delivery Services</v>
      </c>
      <c r="F532" s="4" t="str">
        <f>IFERROR(__xludf.DUMMYFUNCTION("""COMPUTED_VALUE"""),"Rahul Gupta")</f>
        <v>Rahul Gupta</v>
      </c>
      <c r="G532" s="4" t="str">
        <f>IFERROR(__xludf.DUMMYFUNCTION("""COMPUTED_VALUE"""),"Cluster - Sachin")</f>
        <v>Cluster - Sachin</v>
      </c>
      <c r="H532" s="4" t="str">
        <f>IFERROR(__xludf.DUMMYFUNCTION("""COMPUTED_VALUE"""),"ONIAKILJ2")</f>
        <v>ONIAKILJ2</v>
      </c>
      <c r="I532" s="5">
        <f>IFERROR(__xludf.DUMMYFUNCTION("""COMPUTED_VALUE"""),0.0)</f>
        <v>0</v>
      </c>
      <c r="J532" s="4" t="str">
        <f>IFERROR(__xludf.DUMMYFUNCTION("""COMPUTED_VALUE"""),"Tier 4")</f>
        <v>Tier 4</v>
      </c>
      <c r="K532" s="4" t="str">
        <f>IFERROR(__xludf.DUMMYFUNCTION("""COMPUTED_VALUE"""),"ID Created DRP score 0")</f>
        <v>ID Created DRP score 0</v>
      </c>
      <c r="L532" s="4"/>
    </row>
    <row r="533">
      <c r="A533" s="4" t="str">
        <f>IFERROR(__xludf.DUMMYFUNCTION("""COMPUTED_VALUE"""),"DME2589")</f>
        <v>DME2589</v>
      </c>
      <c r="B533" s="4" t="str">
        <f>IFERROR(__xludf.DUMMYFUNCTION("""COMPUTED_VALUE"""),"Garima Singh")</f>
        <v>Garima Singh</v>
      </c>
      <c r="C533" s="4" t="str">
        <f>IFERROR(__xludf.DUMMYFUNCTION("""COMPUTED_VALUE"""),"garima.singh@onixnet.com")</f>
        <v>garima.singh@onixnet.com</v>
      </c>
      <c r="D533" s="4" t="str">
        <f>IFERROR(__xludf.DUMMYFUNCTION("""COMPUTED_VALUE"""),"Active")</f>
        <v>Active</v>
      </c>
      <c r="E533" s="4" t="str">
        <f>IFERROR(__xludf.DUMMYFUNCTION("""COMPUTED_VALUE"""),"Delivery Services")</f>
        <v>Delivery Services</v>
      </c>
      <c r="F533" s="4" t="str">
        <f>IFERROR(__xludf.DUMMYFUNCTION("""COMPUTED_VALUE"""),"Sunny Mathur")</f>
        <v>Sunny Mathur</v>
      </c>
      <c r="G533" s="4" t="str">
        <f>IFERROR(__xludf.DUMMYFUNCTION("""COMPUTED_VALUE"""),"Cluster - Sagar")</f>
        <v>Cluster - Sagar</v>
      </c>
      <c r="H533" s="4" t="str">
        <f>IFERROR(__xludf.DUMMYFUNCTION("""COMPUTED_VALUE"""),"ONIGSMMU1")</f>
        <v>ONIGSMMU1</v>
      </c>
      <c r="I533" s="5">
        <f>IFERROR(__xludf.DUMMYFUNCTION("""COMPUTED_VALUE"""),0.0)</f>
        <v>0</v>
      </c>
      <c r="J533" s="4" t="str">
        <f>IFERROR(__xludf.DUMMYFUNCTION("""COMPUTED_VALUE"""),"Tier 4")</f>
        <v>Tier 4</v>
      </c>
      <c r="K533" s="4" t="str">
        <f>IFERROR(__xludf.DUMMYFUNCTION("""COMPUTED_VALUE"""),"ID Created DRP score 0")</f>
        <v>ID Created DRP score 0</v>
      </c>
      <c r="L533" s="4"/>
    </row>
    <row r="534">
      <c r="A534" s="4" t="str">
        <f>IFERROR(__xludf.DUMMYFUNCTION("""COMPUTED_VALUE"""),"DME2602")</f>
        <v>DME2602</v>
      </c>
      <c r="B534" s="4" t="str">
        <f>IFERROR(__xludf.DUMMYFUNCTION("""COMPUTED_VALUE"""),"Deepanshu Garg")</f>
        <v>Deepanshu Garg</v>
      </c>
      <c r="C534" s="4" t="str">
        <f>IFERROR(__xludf.DUMMYFUNCTION("""COMPUTED_VALUE"""),"deepanshu.garg@onixnet.com")</f>
        <v>deepanshu.garg@onixnet.com</v>
      </c>
      <c r="D534" s="4" t="str">
        <f>IFERROR(__xludf.DUMMYFUNCTION("""COMPUTED_VALUE"""),"Active")</f>
        <v>Active</v>
      </c>
      <c r="E534" s="4" t="str">
        <f>IFERROR(__xludf.DUMMYFUNCTION("""COMPUTED_VALUE"""),"Delivery Services")</f>
        <v>Delivery Services</v>
      </c>
      <c r="F534" s="4" t="str">
        <f>IFERROR(__xludf.DUMMYFUNCTION("""COMPUTED_VALUE"""),"Marut Misra")</f>
        <v>Marut Misra</v>
      </c>
      <c r="G534" s="4" t="str">
        <f>IFERROR(__xludf.DUMMYFUNCTION("""COMPUTED_VALUE"""),"Cluster - Sachin")</f>
        <v>Cluster - Sachin</v>
      </c>
      <c r="H534" s="4" t="str">
        <f>IFERROR(__xludf.DUMMYFUNCTION("""COMPUTED_VALUE"""),"ONIDGRVY5")</f>
        <v>ONIDGRVY5</v>
      </c>
      <c r="I534" s="5">
        <f>IFERROR(__xludf.DUMMYFUNCTION("""COMPUTED_VALUE"""),49.0)</f>
        <v>49</v>
      </c>
      <c r="J534" s="4" t="str">
        <f>IFERROR(__xludf.DUMMYFUNCTION("""COMPUTED_VALUE"""),"Tier 2")</f>
        <v>Tier 2</v>
      </c>
      <c r="K534" s="4" t="str">
        <f>IFERROR(__xludf.DUMMYFUNCTION("""COMPUTED_VALUE"""),"Active")</f>
        <v>Active</v>
      </c>
      <c r="L534" s="4" t="str">
        <f>IFERROR(__xludf.DUMMYFUNCTION("""COMPUTED_VALUE"""),"Gemini Enterprise")</f>
        <v>Gemini Enterprise</v>
      </c>
    </row>
    <row r="535">
      <c r="A535" s="4" t="str">
        <f>IFERROR(__xludf.DUMMYFUNCTION("""COMPUTED_VALUE"""),"DME2606")</f>
        <v>DME2606</v>
      </c>
      <c r="B535" s="4" t="str">
        <f>IFERROR(__xludf.DUMMYFUNCTION("""COMPUTED_VALUE"""),"Vikash Kumar")</f>
        <v>Vikash Kumar</v>
      </c>
      <c r="C535" s="4" t="str">
        <f>IFERROR(__xludf.DUMMYFUNCTION("""COMPUTED_VALUE"""),"vikash.kumar1@onixnet.com")</f>
        <v>vikash.kumar1@onixnet.com</v>
      </c>
      <c r="D535" s="4" t="str">
        <f>IFERROR(__xludf.DUMMYFUNCTION("""COMPUTED_VALUE"""),"Active")</f>
        <v>Active</v>
      </c>
      <c r="E535" s="4" t="str">
        <f>IFERROR(__xludf.DUMMYFUNCTION("""COMPUTED_VALUE"""),"Delivery Services")</f>
        <v>Delivery Services</v>
      </c>
      <c r="F535" s="4" t="str">
        <f>IFERROR(__xludf.DUMMYFUNCTION("""COMPUTED_VALUE"""),"Ravindra Pujari")</f>
        <v>Ravindra Pujari</v>
      </c>
      <c r="G535" s="4" t="str">
        <f>IFERROR(__xludf.DUMMYFUNCTION("""COMPUTED_VALUE"""),"Cluster - Sachin")</f>
        <v>Cluster - Sachin</v>
      </c>
      <c r="H535" s="4" t="str">
        <f>IFERROR(__xludf.DUMMYFUNCTION("""COMPUTED_VALUE"""),"ONIVKVTW2")</f>
        <v>ONIVKVTW2</v>
      </c>
      <c r="I535" s="5">
        <f>IFERROR(__xludf.DUMMYFUNCTION("""COMPUTED_VALUE"""),25.0)</f>
        <v>25</v>
      </c>
      <c r="J535" s="4" t="str">
        <f>IFERROR(__xludf.DUMMYFUNCTION("""COMPUTED_VALUE"""),"Tier 3")</f>
        <v>Tier 3</v>
      </c>
      <c r="K535" s="4" t="str">
        <f>IFERROR(__xludf.DUMMYFUNCTION("""COMPUTED_VALUE"""),"Active")</f>
        <v>Active</v>
      </c>
      <c r="L535" s="4" t="str">
        <f>IFERROR(__xludf.DUMMYFUNCTION("""COMPUTED_VALUE"""),"BigQuery")</f>
        <v>BigQuery</v>
      </c>
    </row>
    <row r="536">
      <c r="A536" s="4" t="str">
        <f>IFERROR(__xludf.DUMMYFUNCTION("""COMPUTED_VALUE"""),"DME2607")</f>
        <v>DME2607</v>
      </c>
      <c r="B536" s="4" t="str">
        <f>IFERROR(__xludf.DUMMYFUNCTION("""COMPUTED_VALUE"""),"Prashanth Adepu")</f>
        <v>Prashanth Adepu</v>
      </c>
      <c r="C536" s="4" t="str">
        <f>IFERROR(__xludf.DUMMYFUNCTION("""COMPUTED_VALUE"""),"prashanth.adepu@onixnet.com")</f>
        <v>prashanth.adepu@onixnet.com</v>
      </c>
      <c r="D536" s="4" t="str">
        <f>IFERROR(__xludf.DUMMYFUNCTION("""COMPUTED_VALUE"""),"Active")</f>
        <v>Active</v>
      </c>
      <c r="E536" s="4" t="str">
        <f>IFERROR(__xludf.DUMMYFUNCTION("""COMPUTED_VALUE"""),"Delivery Services")</f>
        <v>Delivery Services</v>
      </c>
      <c r="F536" s="4" t="str">
        <f>IFERROR(__xludf.DUMMYFUNCTION("""COMPUTED_VALUE"""),"Rahul Gupta")</f>
        <v>Rahul Gupta</v>
      </c>
      <c r="G536" s="4" t="str">
        <f>IFERROR(__xludf.DUMMYFUNCTION("""COMPUTED_VALUE"""),"Cluster - Sachin")</f>
        <v>Cluster - Sachin</v>
      </c>
      <c r="H536" s="4" t="str">
        <f>IFERROR(__xludf.DUMMYFUNCTION("""COMPUTED_VALUE"""),"ONIPALCC9")</f>
        <v>ONIPALCC9</v>
      </c>
      <c r="I536" s="5">
        <f>IFERROR(__xludf.DUMMYFUNCTION("""COMPUTED_VALUE"""),14.0)</f>
        <v>14</v>
      </c>
      <c r="J536" s="4" t="str">
        <f>IFERROR(__xludf.DUMMYFUNCTION("""COMPUTED_VALUE"""),"Tier 4")</f>
        <v>Tier 4</v>
      </c>
      <c r="K536" s="4" t="str">
        <f>IFERROR(__xludf.DUMMYFUNCTION("""COMPUTED_VALUE"""),"Active")</f>
        <v>Active</v>
      </c>
      <c r="L536" s="4" t="str">
        <f>IFERROR(__xludf.DUMMYFUNCTION("""COMPUTED_VALUE"""),"BigQuery")</f>
        <v>BigQuery</v>
      </c>
    </row>
    <row r="537">
      <c r="A537" s="4" t="str">
        <f>IFERROR(__xludf.DUMMYFUNCTION("""COMPUTED_VALUE"""),"DME2611")</f>
        <v>DME2611</v>
      </c>
      <c r="B537" s="4" t="str">
        <f>IFERROR(__xludf.DUMMYFUNCTION("""COMPUTED_VALUE"""),"Syed Saida")</f>
        <v>Syed Saida</v>
      </c>
      <c r="C537" s="4" t="str">
        <f>IFERROR(__xludf.DUMMYFUNCTION("""COMPUTED_VALUE"""),"saida.syed@onixnet.com")</f>
        <v>saida.syed@onixnet.com</v>
      </c>
      <c r="D537" s="4" t="str">
        <f>IFERROR(__xludf.DUMMYFUNCTION("""COMPUTED_VALUE"""),"Active")</f>
        <v>Active</v>
      </c>
      <c r="E537" s="4" t="str">
        <f>IFERROR(__xludf.DUMMYFUNCTION("""COMPUTED_VALUE"""),"Solutions and Pre-Sales")</f>
        <v>Solutions and Pre-Sales</v>
      </c>
      <c r="F537" s="4" t="str">
        <f>IFERROR(__xludf.DUMMYFUNCTION("""COMPUTED_VALUE"""),"Anantha Balasubramanian")</f>
        <v>Anantha Balasubramanian</v>
      </c>
      <c r="G537" s="4" t="str">
        <f>IFERROR(__xludf.DUMMYFUNCTION("""COMPUTED_VALUE"""),"Portfolio - Gaurav A (Presales)")</f>
        <v>Portfolio - Gaurav A (Presales)</v>
      </c>
      <c r="H537" s="4" t="str">
        <f>IFERROR(__xludf.DUMMYFUNCTION("""COMPUTED_VALUE"""),"ONISSJAV5")</f>
        <v>ONISSJAV5</v>
      </c>
      <c r="I537" s="5">
        <f>IFERROR(__xludf.DUMMYFUNCTION("""COMPUTED_VALUE"""),5.0)</f>
        <v>5</v>
      </c>
      <c r="J537" s="4" t="str">
        <f>IFERROR(__xludf.DUMMYFUNCTION("""COMPUTED_VALUE"""),"Tier 4")</f>
        <v>Tier 4</v>
      </c>
      <c r="K537" s="4" t="str">
        <f>IFERROR(__xludf.DUMMYFUNCTION("""COMPUTED_VALUE"""),"Active")</f>
        <v>Active</v>
      </c>
      <c r="L537" s="4" t="str">
        <f>IFERROR(__xludf.DUMMYFUNCTION("""COMPUTED_VALUE"""),"Google Compute Engine")</f>
        <v>Google Compute Engine</v>
      </c>
    </row>
    <row r="538">
      <c r="A538" s="4" t="str">
        <f>IFERROR(__xludf.DUMMYFUNCTION("""COMPUTED_VALUE"""),"DME2508")</f>
        <v>DME2508</v>
      </c>
      <c r="B538" s="4" t="str">
        <f>IFERROR(__xludf.DUMMYFUNCTION("""COMPUTED_VALUE"""),"Nikesh Nagesh Mungurwadi")</f>
        <v>Nikesh Nagesh Mungurwadi</v>
      </c>
      <c r="C538" s="4" t="str">
        <f>IFERROR(__xludf.DUMMYFUNCTION("""COMPUTED_VALUE"""),"nikesh.mungurwadi@onixnet.com")</f>
        <v>nikesh.mungurwadi@onixnet.com</v>
      </c>
      <c r="D538" s="4" t="str">
        <f>IFERROR(__xludf.DUMMYFUNCTION("""COMPUTED_VALUE"""),"Active")</f>
        <v>Active</v>
      </c>
      <c r="E538" s="4" t="str">
        <f>IFERROR(__xludf.DUMMYFUNCTION("""COMPUTED_VALUE"""),"Product Engineering")</f>
        <v>Product Engineering</v>
      </c>
      <c r="F538" s="4" t="str">
        <f>IFERROR(__xludf.DUMMYFUNCTION("""COMPUTED_VALUE"""),"Deepak Kadam")</f>
        <v>Deepak Kadam</v>
      </c>
      <c r="G538" s="4" t="str">
        <f>IFERROR(__xludf.DUMMYFUNCTION("""COMPUTED_VALUE"""),"Cluster - Mayur")</f>
        <v>Cluster - Mayur</v>
      </c>
      <c r="H538" s="4" t="str">
        <f>IFERROR(__xludf.DUMMYFUNCTION("""COMPUTED_VALUE"""),"ONINMZXN1")</f>
        <v>ONINMZXN1</v>
      </c>
      <c r="I538" s="5">
        <f>IFERROR(__xludf.DUMMYFUNCTION("""COMPUTED_VALUE"""),0.0)</f>
        <v>0</v>
      </c>
      <c r="J538" s="4" t="str">
        <f>IFERROR(__xludf.DUMMYFUNCTION("""COMPUTED_VALUE"""),"Tier 4")</f>
        <v>Tier 4</v>
      </c>
      <c r="K538" s="4" t="str">
        <f>IFERROR(__xludf.DUMMYFUNCTION("""COMPUTED_VALUE"""),"ID Created DRP score 0")</f>
        <v>ID Created DRP score 0</v>
      </c>
      <c r="L538" s="4"/>
    </row>
    <row r="539">
      <c r="A539" s="4" t="str">
        <f>IFERROR(__xludf.DUMMYFUNCTION("""COMPUTED_VALUE"""),"DME2510")</f>
        <v>DME2510</v>
      </c>
      <c r="B539" s="4" t="str">
        <f>IFERROR(__xludf.DUMMYFUNCTION("""COMPUTED_VALUE"""),"Amruta Shreerang Urane")</f>
        <v>Amruta Shreerang Urane</v>
      </c>
      <c r="C539" s="4" t="str">
        <f>IFERROR(__xludf.DUMMYFUNCTION("""COMPUTED_VALUE"""),"amruta.urane@onixnet.com")</f>
        <v>amruta.urane@onixnet.com</v>
      </c>
      <c r="D539" s="4" t="str">
        <f>IFERROR(__xludf.DUMMYFUNCTION("""COMPUTED_VALUE"""),"Active")</f>
        <v>Active</v>
      </c>
      <c r="E539" s="4" t="str">
        <f>IFERROR(__xludf.DUMMYFUNCTION("""COMPUTED_VALUE"""),"Eagle Assessment")</f>
        <v>Eagle Assessment</v>
      </c>
      <c r="F539" s="4" t="str">
        <f>IFERROR(__xludf.DUMMYFUNCTION("""COMPUTED_VALUE"""),"Ashish Taman")</f>
        <v>Ashish Taman</v>
      </c>
      <c r="G539" s="4" t="str">
        <f>IFERROR(__xludf.DUMMYFUNCTION("""COMPUTED_VALUE"""),"Cluster - Kalpa")</f>
        <v>Cluster - Kalpa</v>
      </c>
      <c r="H539" s="4" t="str">
        <f>IFERROR(__xludf.DUMMYFUNCTION("""COMPUTED_VALUE"""),"ONIAUJVL2")</f>
        <v>ONIAUJVL2</v>
      </c>
      <c r="I539" s="5">
        <f>IFERROR(__xludf.DUMMYFUNCTION("""COMPUTED_VALUE"""),22.0)</f>
        <v>22</v>
      </c>
      <c r="J539" s="4" t="str">
        <f>IFERROR(__xludf.DUMMYFUNCTION("""COMPUTED_VALUE"""),"Tier 3")</f>
        <v>Tier 3</v>
      </c>
      <c r="K539" s="4" t="str">
        <f>IFERROR(__xludf.DUMMYFUNCTION("""COMPUTED_VALUE"""),"Active")</f>
        <v>Active</v>
      </c>
      <c r="L539" s="4" t="str">
        <f>IFERROR(__xludf.DUMMYFUNCTION("""COMPUTED_VALUE"""),"BigQuery")</f>
        <v>BigQuery</v>
      </c>
    </row>
    <row r="540">
      <c r="A540" s="4" t="str">
        <f>IFERROR(__xludf.DUMMYFUNCTION("""COMPUTED_VALUE"""),"DME2514")</f>
        <v>DME2514</v>
      </c>
      <c r="B540" s="4" t="str">
        <f>IFERROR(__xludf.DUMMYFUNCTION("""COMPUTED_VALUE"""),"Veluduti Mohan Rao")</f>
        <v>Veluduti Mohan Rao</v>
      </c>
      <c r="C540" s="4" t="str">
        <f>IFERROR(__xludf.DUMMYFUNCTION("""COMPUTED_VALUE"""),"mohan.veluduti@onixnet.com")</f>
        <v>mohan.veluduti@onixnet.com</v>
      </c>
      <c r="D540" s="4" t="str">
        <f>IFERROR(__xludf.DUMMYFUNCTION("""COMPUTED_VALUE"""),"Active")</f>
        <v>Active</v>
      </c>
      <c r="E540" s="4" t="str">
        <f>IFERROR(__xludf.DUMMYFUNCTION("""COMPUTED_VALUE"""),"Delivery Services")</f>
        <v>Delivery Services</v>
      </c>
      <c r="F540" s="4" t="str">
        <f>IFERROR(__xludf.DUMMYFUNCTION("""COMPUTED_VALUE"""),"Kamal Amrutham")</f>
        <v>Kamal Amrutham</v>
      </c>
      <c r="G540" s="4" t="str">
        <f>IFERROR(__xludf.DUMMYFUNCTION("""COMPUTED_VALUE"""),"Cluster - Shreepad")</f>
        <v>Cluster - Shreepad</v>
      </c>
      <c r="H540" s="4" t="str">
        <f>IFERROR(__xludf.DUMMYFUNCTION("""COMPUTED_VALUE"""),"ONIMVJWC1")</f>
        <v>ONIMVJWC1</v>
      </c>
      <c r="I540" s="5">
        <f>IFERROR(__xludf.DUMMYFUNCTION("""COMPUTED_VALUE"""),13.0)</f>
        <v>13</v>
      </c>
      <c r="J540" s="4" t="str">
        <f>IFERROR(__xludf.DUMMYFUNCTION("""COMPUTED_VALUE"""),"Tier 4")</f>
        <v>Tier 4</v>
      </c>
      <c r="K540" s="4" t="str">
        <f>IFERROR(__xludf.DUMMYFUNCTION("""COMPUTED_VALUE"""),"Active")</f>
        <v>Active</v>
      </c>
      <c r="L540" s="4" t="str">
        <f>IFERROR(__xludf.DUMMYFUNCTION("""COMPUTED_VALUE"""),"Spanner")</f>
        <v>Spanner</v>
      </c>
    </row>
    <row r="541">
      <c r="A541" s="4" t="str">
        <f>IFERROR(__xludf.DUMMYFUNCTION("""COMPUTED_VALUE"""),"DME2523")</f>
        <v>DME2523</v>
      </c>
      <c r="B541" s="4" t="str">
        <f>IFERROR(__xludf.DUMMYFUNCTION("""COMPUTED_VALUE"""),"Neelam Vishwanath Kamble")</f>
        <v>Neelam Vishwanath Kamble</v>
      </c>
      <c r="C541" s="4" t="str">
        <f>IFERROR(__xludf.DUMMYFUNCTION("""COMPUTED_VALUE"""),"neelam.kamble@onixnet.com")</f>
        <v>neelam.kamble@onixnet.com</v>
      </c>
      <c r="D541" s="4" t="str">
        <f>IFERROR(__xludf.DUMMYFUNCTION("""COMPUTED_VALUE"""),"Active")</f>
        <v>Active</v>
      </c>
      <c r="E541" s="4" t="str">
        <f>IFERROR(__xludf.DUMMYFUNCTION("""COMPUTED_VALUE"""),"Product Engineering")</f>
        <v>Product Engineering</v>
      </c>
      <c r="F541" s="4" t="str">
        <f>IFERROR(__xludf.DUMMYFUNCTION("""COMPUTED_VALUE"""),"Savan Tak")</f>
        <v>Savan Tak</v>
      </c>
      <c r="G541" s="4" t="str">
        <f>IFERROR(__xludf.DUMMYFUNCTION("""COMPUTED_VALUE"""),"Cluster - Mayur")</f>
        <v>Cluster - Mayur</v>
      </c>
      <c r="H541" s="4" t="str">
        <f>IFERROR(__xludf.DUMMYFUNCTION("""COMPUTED_VALUE"""),"ONINKEST1")</f>
        <v>ONINKEST1</v>
      </c>
      <c r="I541" s="5">
        <f>IFERROR(__xludf.DUMMYFUNCTION("""COMPUTED_VALUE"""),22.0)</f>
        <v>22</v>
      </c>
      <c r="J541" s="4" t="str">
        <f>IFERROR(__xludf.DUMMYFUNCTION("""COMPUTED_VALUE"""),"Tier 3")</f>
        <v>Tier 3</v>
      </c>
      <c r="K541" s="4" t="str">
        <f>IFERROR(__xludf.DUMMYFUNCTION("""COMPUTED_VALUE"""),"Active")</f>
        <v>Active</v>
      </c>
      <c r="L541" s="4" t="str">
        <f>IFERROR(__xludf.DUMMYFUNCTION("""COMPUTED_VALUE"""),"AI Applications")</f>
        <v>AI Applications</v>
      </c>
    </row>
    <row r="542">
      <c r="A542" s="4" t="str">
        <f>IFERROR(__xludf.DUMMYFUNCTION("""COMPUTED_VALUE"""),"DME2526")</f>
        <v>DME2526</v>
      </c>
      <c r="B542" s="4" t="str">
        <f>IFERROR(__xludf.DUMMYFUNCTION("""COMPUTED_VALUE"""),"Anka Rao Ambepalli")</f>
        <v>Anka Rao Ambepalli</v>
      </c>
      <c r="C542" s="4" t="str">
        <f>IFERROR(__xludf.DUMMYFUNCTION("""COMPUTED_VALUE"""),"ankarao.ambepalli@onixnet.com")</f>
        <v>ankarao.ambepalli@onixnet.com</v>
      </c>
      <c r="D542" s="4" t="str">
        <f>IFERROR(__xludf.DUMMYFUNCTION("""COMPUTED_VALUE"""),"Active")</f>
        <v>Active</v>
      </c>
      <c r="E542" s="4" t="str">
        <f>IFERROR(__xludf.DUMMYFUNCTION("""COMPUTED_VALUE"""),"Delivery Services")</f>
        <v>Delivery Services</v>
      </c>
      <c r="F542" s="4" t="str">
        <f>IFERROR(__xludf.DUMMYFUNCTION("""COMPUTED_VALUE"""),"Sunny Mathur")</f>
        <v>Sunny Mathur</v>
      </c>
      <c r="G542" s="4" t="str">
        <f>IFERROR(__xludf.DUMMYFUNCTION("""COMPUTED_VALUE"""),"Cluster - Sagar")</f>
        <v>Cluster - Sagar</v>
      </c>
      <c r="H542" s="4" t="str">
        <f>IFERROR(__xludf.DUMMYFUNCTION("""COMPUTED_VALUE"""),"ONIAAATU4")</f>
        <v>ONIAAATU4</v>
      </c>
      <c r="I542" s="5">
        <f>IFERROR(__xludf.DUMMYFUNCTION("""COMPUTED_VALUE"""),34.0)</f>
        <v>34</v>
      </c>
      <c r="J542" s="4" t="str">
        <f>IFERROR(__xludf.DUMMYFUNCTION("""COMPUTED_VALUE"""),"Tier 3")</f>
        <v>Tier 3</v>
      </c>
      <c r="K542" s="4" t="str">
        <f>IFERROR(__xludf.DUMMYFUNCTION("""COMPUTED_VALUE"""),"Active")</f>
        <v>Active</v>
      </c>
      <c r="L542" s="4" t="str">
        <f>IFERROR(__xludf.DUMMYFUNCTION("""COMPUTED_VALUE"""),"Gemini Enterprise")</f>
        <v>Gemini Enterprise</v>
      </c>
    </row>
    <row r="543">
      <c r="A543" s="4" t="str">
        <f>IFERROR(__xludf.DUMMYFUNCTION("""COMPUTED_VALUE"""),"DME2528")</f>
        <v>DME2528</v>
      </c>
      <c r="B543" s="4" t="str">
        <f>IFERROR(__xludf.DUMMYFUNCTION("""COMPUTED_VALUE"""),"Zeeshan Hasham Shaikh")</f>
        <v>Zeeshan Hasham Shaikh</v>
      </c>
      <c r="C543" s="4" t="str">
        <f>IFERROR(__xludf.DUMMYFUNCTION("""COMPUTED_VALUE"""),"zeeshan.shaikh@onixnet.com")</f>
        <v>zeeshan.shaikh@onixnet.com</v>
      </c>
      <c r="D543" s="4" t="str">
        <f>IFERROR(__xludf.DUMMYFUNCTION("""COMPUTED_VALUE"""),"Active")</f>
        <v>Active</v>
      </c>
      <c r="E543" s="4" t="str">
        <f>IFERROR(__xludf.DUMMYFUNCTION("""COMPUTED_VALUE"""),"Delivery Services")</f>
        <v>Delivery Services</v>
      </c>
      <c r="F543" s="4" t="str">
        <f>IFERROR(__xludf.DUMMYFUNCTION("""COMPUTED_VALUE"""),"Kiran Shinde")</f>
        <v>Kiran Shinde</v>
      </c>
      <c r="G543" s="4" t="str">
        <f>IFERROR(__xludf.DUMMYFUNCTION("""COMPUTED_VALUE"""),"Cluster - Sachin")</f>
        <v>Cluster - Sachin</v>
      </c>
      <c r="H543" s="4" t="str">
        <f>IFERROR(__xludf.DUMMYFUNCTION("""COMPUTED_VALUE"""),"ONIZSKDB9")</f>
        <v>ONIZSKDB9</v>
      </c>
      <c r="I543" s="5">
        <f>IFERROR(__xludf.DUMMYFUNCTION("""COMPUTED_VALUE"""),10.0)</f>
        <v>10</v>
      </c>
      <c r="J543" s="4" t="str">
        <f>IFERROR(__xludf.DUMMYFUNCTION("""COMPUTED_VALUE"""),"Tier 4")</f>
        <v>Tier 4</v>
      </c>
      <c r="K543" s="4" t="str">
        <f>IFERROR(__xludf.DUMMYFUNCTION("""COMPUTED_VALUE"""),"Active")</f>
        <v>Active</v>
      </c>
      <c r="L543" s="4" t="str">
        <f>IFERROR(__xludf.DUMMYFUNCTION("""COMPUTED_VALUE"""),"Gemini Enterprise Agent Platform")</f>
        <v>Gemini Enterprise Agent Platform</v>
      </c>
    </row>
    <row r="544">
      <c r="A544" s="4" t="str">
        <f>IFERROR(__xludf.DUMMYFUNCTION("""COMPUTED_VALUE"""),"DME2532")</f>
        <v>DME2532</v>
      </c>
      <c r="B544" s="4" t="str">
        <f>IFERROR(__xludf.DUMMYFUNCTION("""COMPUTED_VALUE"""),"Pranav Ravindra Patil")</f>
        <v>Pranav Ravindra Patil</v>
      </c>
      <c r="C544" s="4" t="str">
        <f>IFERROR(__xludf.DUMMYFUNCTION("""COMPUTED_VALUE"""),"pranav.patil@onixnet.com")</f>
        <v>pranav.patil@onixnet.com</v>
      </c>
      <c r="D544" s="4" t="str">
        <f>IFERROR(__xludf.DUMMYFUNCTION("""COMPUTED_VALUE"""),"Active")</f>
        <v>Active</v>
      </c>
      <c r="E544" s="4" t="str">
        <f>IFERROR(__xludf.DUMMYFUNCTION("""COMPUTED_VALUE"""),"Product Engineering")</f>
        <v>Product Engineering</v>
      </c>
      <c r="F544" s="4" t="str">
        <f>IFERROR(__xludf.DUMMYFUNCTION("""COMPUTED_VALUE"""),"Deepak Kadam")</f>
        <v>Deepak Kadam</v>
      </c>
      <c r="G544" s="4" t="str">
        <f>IFERROR(__xludf.DUMMYFUNCTION("""COMPUTED_VALUE"""),"Cluster - Mayur")</f>
        <v>Cluster - Mayur</v>
      </c>
      <c r="H544" s="4" t="str">
        <f>IFERROR(__xludf.DUMMYFUNCTION("""COMPUTED_VALUE"""),"ONIPPZKK2")</f>
        <v>ONIPPZKK2</v>
      </c>
      <c r="I544" s="5">
        <f>IFERROR(__xludf.DUMMYFUNCTION("""COMPUTED_VALUE"""),0.0)</f>
        <v>0</v>
      </c>
      <c r="J544" s="4" t="str">
        <f>IFERROR(__xludf.DUMMYFUNCTION("""COMPUTED_VALUE"""),"Tier 4")</f>
        <v>Tier 4</v>
      </c>
      <c r="K544" s="4" t="str">
        <f>IFERROR(__xludf.DUMMYFUNCTION("""COMPUTED_VALUE"""),"ID Created DRP score 0")</f>
        <v>ID Created DRP score 0</v>
      </c>
      <c r="L544" s="4"/>
    </row>
    <row r="545">
      <c r="A545" s="4" t="str">
        <f>IFERROR(__xludf.DUMMYFUNCTION("""COMPUTED_VALUE"""),"DME2533")</f>
        <v>DME2533</v>
      </c>
      <c r="B545" s="4" t="str">
        <f>IFERROR(__xludf.DUMMYFUNCTION("""COMPUTED_VALUE"""),"Sameer Sudhakar Mahabole")</f>
        <v>Sameer Sudhakar Mahabole</v>
      </c>
      <c r="C545" s="4" t="str">
        <f>IFERROR(__xludf.DUMMYFUNCTION("""COMPUTED_VALUE"""),"sameer.mahabole@onixnet.com")</f>
        <v>sameer.mahabole@onixnet.com</v>
      </c>
      <c r="D545" s="4" t="str">
        <f>IFERROR(__xludf.DUMMYFUNCTION("""COMPUTED_VALUE"""),"Active")</f>
        <v>Active</v>
      </c>
      <c r="E545" s="4" t="str">
        <f>IFERROR(__xludf.DUMMYFUNCTION("""COMPUTED_VALUE"""),"Product Engineering")</f>
        <v>Product Engineering</v>
      </c>
      <c r="F545" s="4" t="str">
        <f>IFERROR(__xludf.DUMMYFUNCTION("""COMPUTED_VALUE"""),"Anil Aleppy")</f>
        <v>Anil Aleppy</v>
      </c>
      <c r="G545" s="4" t="str">
        <f>IFERROR(__xludf.DUMMYFUNCTION("""COMPUTED_VALUE"""),"Cluster - Mayur")</f>
        <v>Cluster - Mayur</v>
      </c>
      <c r="H545" s="4"/>
      <c r="I545" s="5"/>
      <c r="J545" s="4"/>
      <c r="K545" s="4" t="str">
        <f>IFERROR(__xludf.DUMMYFUNCTION("""COMPUTED_VALUE"""),"ID Not Created")</f>
        <v>ID Not Created</v>
      </c>
      <c r="L545" s="4"/>
    </row>
    <row r="546">
      <c r="A546" s="4" t="str">
        <f>IFERROR(__xludf.DUMMYFUNCTION("""COMPUTED_VALUE"""),"DME2534")</f>
        <v>DME2534</v>
      </c>
      <c r="B546" s="4" t="str">
        <f>IFERROR(__xludf.DUMMYFUNCTION("""COMPUTED_VALUE"""),"Akash Manohar Burde")</f>
        <v>Akash Manohar Burde</v>
      </c>
      <c r="C546" s="4" t="str">
        <f>IFERROR(__xludf.DUMMYFUNCTION("""COMPUTED_VALUE"""),"akash.burde@onixnet.com")</f>
        <v>akash.burde@onixnet.com</v>
      </c>
      <c r="D546" s="4" t="str">
        <f>IFERROR(__xludf.DUMMYFUNCTION("""COMPUTED_VALUE"""),"Active")</f>
        <v>Active</v>
      </c>
      <c r="E546" s="4" t="str">
        <f>IFERROR(__xludf.DUMMYFUNCTION("""COMPUTED_VALUE"""),"Product Engineering")</f>
        <v>Product Engineering</v>
      </c>
      <c r="F546" s="4" t="str">
        <f>IFERROR(__xludf.DUMMYFUNCTION("""COMPUTED_VALUE"""),"Shweta Duratkar")</f>
        <v>Shweta Duratkar</v>
      </c>
      <c r="G546" s="4" t="str">
        <f>IFERROR(__xludf.DUMMYFUNCTION("""COMPUTED_VALUE"""),"Cluster - Mayur")</f>
        <v>Cluster - Mayur</v>
      </c>
      <c r="H546" s="4" t="str">
        <f>IFERROR(__xludf.DUMMYFUNCTION("""COMPUTED_VALUE"""),"ONIABFPE5")</f>
        <v>ONIABFPE5</v>
      </c>
      <c r="I546" s="5">
        <f>IFERROR(__xludf.DUMMYFUNCTION("""COMPUTED_VALUE"""),15.0)</f>
        <v>15</v>
      </c>
      <c r="J546" s="4" t="str">
        <f>IFERROR(__xludf.DUMMYFUNCTION("""COMPUTED_VALUE"""),"Tier 4")</f>
        <v>Tier 4</v>
      </c>
      <c r="K546" s="4" t="str">
        <f>IFERROR(__xludf.DUMMYFUNCTION("""COMPUTED_VALUE"""),"Active")</f>
        <v>Active</v>
      </c>
      <c r="L546" s="4" t="str">
        <f>IFERROR(__xludf.DUMMYFUNCTION("""COMPUTED_VALUE"""),"AI Applications")</f>
        <v>AI Applications</v>
      </c>
    </row>
    <row r="547">
      <c r="A547" s="4" t="str">
        <f>IFERROR(__xludf.DUMMYFUNCTION("""COMPUTED_VALUE"""),"DME2537")</f>
        <v>DME2537</v>
      </c>
      <c r="B547" s="4" t="str">
        <f>IFERROR(__xludf.DUMMYFUNCTION("""COMPUTED_VALUE"""),"Pratiksha Sanjay Ithape")</f>
        <v>Pratiksha Sanjay Ithape</v>
      </c>
      <c r="C547" s="4" t="str">
        <f>IFERROR(__xludf.DUMMYFUNCTION("""COMPUTED_VALUE"""),"pratiksha.ithape1@onixnet.com")</f>
        <v>pratiksha.ithape1@onixnet.com</v>
      </c>
      <c r="D547" s="4" t="str">
        <f>IFERROR(__xludf.DUMMYFUNCTION("""COMPUTED_VALUE"""),"Active")</f>
        <v>Active</v>
      </c>
      <c r="E547" s="4" t="str">
        <f>IFERROR(__xludf.DUMMYFUNCTION("""COMPUTED_VALUE"""),"Delivery Services")</f>
        <v>Delivery Services</v>
      </c>
      <c r="F547" s="4" t="str">
        <f>IFERROR(__xludf.DUMMYFUNCTION("""COMPUTED_VALUE"""),"Bhagyashri Paralkar")</f>
        <v>Bhagyashri Paralkar</v>
      </c>
      <c r="G547" s="4" t="str">
        <f>IFERROR(__xludf.DUMMYFUNCTION("""COMPUTED_VALUE"""),"Cluster - Sagar")</f>
        <v>Cluster - Sagar</v>
      </c>
      <c r="H547" s="4" t="str">
        <f>IFERROR(__xludf.DUMMYFUNCTION("""COMPUTED_VALUE"""),"ONIPIRGK0")</f>
        <v>ONIPIRGK0</v>
      </c>
      <c r="I547" s="5">
        <f>IFERROR(__xludf.DUMMYFUNCTION("""COMPUTED_VALUE"""),15.0)</f>
        <v>15</v>
      </c>
      <c r="J547" s="4" t="str">
        <f>IFERROR(__xludf.DUMMYFUNCTION("""COMPUTED_VALUE"""),"Tier 4")</f>
        <v>Tier 4</v>
      </c>
      <c r="K547" s="4" t="str">
        <f>IFERROR(__xludf.DUMMYFUNCTION("""COMPUTED_VALUE"""),"Active")</f>
        <v>Active</v>
      </c>
      <c r="L547" s="4" t="str">
        <f>IFERROR(__xludf.DUMMYFUNCTION("""COMPUTED_VALUE"""),"BigQuery")</f>
        <v>BigQuery</v>
      </c>
    </row>
    <row r="548">
      <c r="A548" s="4" t="str">
        <f>IFERROR(__xludf.DUMMYFUNCTION("""COMPUTED_VALUE"""),"DME2544")</f>
        <v>DME2544</v>
      </c>
      <c r="B548" s="4" t="str">
        <f>IFERROR(__xludf.DUMMYFUNCTION("""COMPUTED_VALUE"""),"Akshay Daulat Thakare")</f>
        <v>Akshay Daulat Thakare</v>
      </c>
      <c r="C548" s="4" t="str">
        <f>IFERROR(__xludf.DUMMYFUNCTION("""COMPUTED_VALUE"""),"akshay.thakare@onixnet.com")</f>
        <v>akshay.thakare@onixnet.com</v>
      </c>
      <c r="D548" s="4" t="str">
        <f>IFERROR(__xludf.DUMMYFUNCTION("""COMPUTED_VALUE"""),"Active")</f>
        <v>Active</v>
      </c>
      <c r="E548" s="4" t="str">
        <f>IFERROR(__xludf.DUMMYFUNCTION("""COMPUTED_VALUE"""),"Delivery Services")</f>
        <v>Delivery Services</v>
      </c>
      <c r="F548" s="4" t="str">
        <f>IFERROR(__xludf.DUMMYFUNCTION("""COMPUTED_VALUE"""),"Jitender Singh")</f>
        <v>Jitender Singh</v>
      </c>
      <c r="G548" s="4" t="str">
        <f>IFERROR(__xludf.DUMMYFUNCTION("""COMPUTED_VALUE"""),"Cluster - Gaurav")</f>
        <v>Cluster - Gaurav</v>
      </c>
      <c r="H548" s="4" t="str">
        <f>IFERROR(__xludf.DUMMYFUNCTION("""COMPUTED_VALUE"""),"ONIATZLW7")</f>
        <v>ONIATZLW7</v>
      </c>
      <c r="I548" s="5">
        <f>IFERROR(__xludf.DUMMYFUNCTION("""COMPUTED_VALUE"""),18.0)</f>
        <v>18</v>
      </c>
      <c r="J548" s="4" t="str">
        <f>IFERROR(__xludf.DUMMYFUNCTION("""COMPUTED_VALUE"""),"Tier 4")</f>
        <v>Tier 4</v>
      </c>
      <c r="K548" s="4" t="str">
        <f>IFERROR(__xludf.DUMMYFUNCTION("""COMPUTED_VALUE"""),"Active")</f>
        <v>Active</v>
      </c>
      <c r="L548" s="4" t="str">
        <f>IFERROR(__xludf.DUMMYFUNCTION("""COMPUTED_VALUE"""),"BigQuery")</f>
        <v>BigQuery</v>
      </c>
    </row>
    <row r="549">
      <c r="A549" s="4" t="str">
        <f>IFERROR(__xludf.DUMMYFUNCTION("""COMPUTED_VALUE"""),"DME2546")</f>
        <v>DME2546</v>
      </c>
      <c r="B549" s="4" t="str">
        <f>IFERROR(__xludf.DUMMYFUNCTION("""COMPUTED_VALUE"""),"Shubham Vasantrao Gawhale")</f>
        <v>Shubham Vasantrao Gawhale</v>
      </c>
      <c r="C549" s="4" t="str">
        <f>IFERROR(__xludf.DUMMYFUNCTION("""COMPUTED_VALUE"""),"shubham.gawhale@onixnet.com")</f>
        <v>shubham.gawhale@onixnet.com</v>
      </c>
      <c r="D549" s="4" t="str">
        <f>IFERROR(__xludf.DUMMYFUNCTION("""COMPUTED_VALUE"""),"Active")</f>
        <v>Active</v>
      </c>
      <c r="E549" s="4" t="str">
        <f>IFERROR(__xludf.DUMMYFUNCTION("""COMPUTED_VALUE"""),"Delivery Services")</f>
        <v>Delivery Services</v>
      </c>
      <c r="F549" s="4" t="str">
        <f>IFERROR(__xludf.DUMMYFUNCTION("""COMPUTED_VALUE"""),"Sneha Bhatambrekar")</f>
        <v>Sneha Bhatambrekar</v>
      </c>
      <c r="G549" s="4" t="str">
        <f>IFERROR(__xludf.DUMMYFUNCTION("""COMPUTED_VALUE"""),"Cluster - Sandeep")</f>
        <v>Cluster - Sandeep</v>
      </c>
      <c r="H549" s="4" t="str">
        <f>IFERROR(__xludf.DUMMYFUNCTION("""COMPUTED_VALUE"""),"ONISGVZR5")</f>
        <v>ONISGVZR5</v>
      </c>
      <c r="I549" s="5">
        <f>IFERROR(__xludf.DUMMYFUNCTION("""COMPUTED_VALUE"""),10.0)</f>
        <v>10</v>
      </c>
      <c r="J549" s="4" t="str">
        <f>IFERROR(__xludf.DUMMYFUNCTION("""COMPUTED_VALUE"""),"Tier 4")</f>
        <v>Tier 4</v>
      </c>
      <c r="K549" s="4" t="str">
        <f>IFERROR(__xludf.DUMMYFUNCTION("""COMPUTED_VALUE"""),"Active")</f>
        <v>Active</v>
      </c>
      <c r="L549" s="4" t="str">
        <f>IFERROR(__xludf.DUMMYFUNCTION("""COMPUTED_VALUE"""),"BigQuery")</f>
        <v>BigQuery</v>
      </c>
    </row>
    <row r="550">
      <c r="A550" s="4" t="str">
        <f>IFERROR(__xludf.DUMMYFUNCTION("""COMPUTED_VALUE"""),"DME2547")</f>
        <v>DME2547</v>
      </c>
      <c r="B550" s="4" t="str">
        <f>IFERROR(__xludf.DUMMYFUNCTION("""COMPUTED_VALUE"""),"Vikas Nathrao Dhakne")</f>
        <v>Vikas Nathrao Dhakne</v>
      </c>
      <c r="C550" s="4" t="str">
        <f>IFERROR(__xludf.DUMMYFUNCTION("""COMPUTED_VALUE"""),"vikas.dhakne@onixnet.com")</f>
        <v>vikas.dhakne@onixnet.com</v>
      </c>
      <c r="D550" s="4" t="str">
        <f>IFERROR(__xludf.DUMMYFUNCTION("""COMPUTED_VALUE"""),"Active")</f>
        <v>Active</v>
      </c>
      <c r="E550" s="4" t="str">
        <f>IFERROR(__xludf.DUMMYFUNCTION("""COMPUTED_VALUE"""),"Delivery Services")</f>
        <v>Delivery Services</v>
      </c>
      <c r="F550" s="4" t="str">
        <f>IFERROR(__xludf.DUMMYFUNCTION("""COMPUTED_VALUE"""),"Anand Saraf")</f>
        <v>Anand Saraf</v>
      </c>
      <c r="G550" s="4" t="str">
        <f>IFERROR(__xludf.DUMMYFUNCTION("""COMPUTED_VALUE"""),"Cluster - Sachin")</f>
        <v>Cluster - Sachin</v>
      </c>
      <c r="H550" s="4" t="str">
        <f>IFERROR(__xludf.DUMMYFUNCTION("""COMPUTED_VALUE"""),"ONIVDMLX0")</f>
        <v>ONIVDMLX0</v>
      </c>
      <c r="I550" s="5">
        <f>IFERROR(__xludf.DUMMYFUNCTION("""COMPUTED_VALUE"""),32.0)</f>
        <v>32</v>
      </c>
      <c r="J550" s="4" t="str">
        <f>IFERROR(__xludf.DUMMYFUNCTION("""COMPUTED_VALUE"""),"Tier 3")</f>
        <v>Tier 3</v>
      </c>
      <c r="K550" s="4" t="str">
        <f>IFERROR(__xludf.DUMMYFUNCTION("""COMPUTED_VALUE"""),"Active")</f>
        <v>Active</v>
      </c>
      <c r="L550" s="4" t="str">
        <f>IFERROR(__xludf.DUMMYFUNCTION("""COMPUTED_VALUE"""),"Dataflow")</f>
        <v>Dataflow</v>
      </c>
    </row>
    <row r="551">
      <c r="A551" s="4" t="str">
        <f>IFERROR(__xludf.DUMMYFUNCTION("""COMPUTED_VALUE"""),"DME2552")</f>
        <v>DME2552</v>
      </c>
      <c r="B551" s="4" t="str">
        <f>IFERROR(__xludf.DUMMYFUNCTION("""COMPUTED_VALUE"""),"Pinky Amalkumar Mandal")</f>
        <v>Pinky Amalkumar Mandal</v>
      </c>
      <c r="C551" s="4" t="str">
        <f>IFERROR(__xludf.DUMMYFUNCTION("""COMPUTED_VALUE"""),"pinky.mandal@onixnet.com")</f>
        <v>pinky.mandal@onixnet.com</v>
      </c>
      <c r="D551" s="4" t="str">
        <f>IFERROR(__xludf.DUMMYFUNCTION("""COMPUTED_VALUE"""),"Active")</f>
        <v>Active</v>
      </c>
      <c r="E551" s="4" t="str">
        <f>IFERROR(__xludf.DUMMYFUNCTION("""COMPUTED_VALUE"""),"Eagle Assessment")</f>
        <v>Eagle Assessment</v>
      </c>
      <c r="F551" s="4" t="str">
        <f>IFERROR(__xludf.DUMMYFUNCTION("""COMPUTED_VALUE"""),"Ankit Khandelwal")</f>
        <v>Ankit Khandelwal</v>
      </c>
      <c r="G551" s="4" t="str">
        <f>IFERROR(__xludf.DUMMYFUNCTION("""COMPUTED_VALUE"""),"Cluster - Kalpa")</f>
        <v>Cluster - Kalpa</v>
      </c>
      <c r="H551" s="4" t="str">
        <f>IFERROR(__xludf.DUMMYFUNCTION("""COMPUTED_VALUE"""),"ONIPMCPX9")</f>
        <v>ONIPMCPX9</v>
      </c>
      <c r="I551" s="5">
        <f>IFERROR(__xludf.DUMMYFUNCTION("""COMPUTED_VALUE"""),5.0)</f>
        <v>5</v>
      </c>
      <c r="J551" s="4" t="str">
        <f>IFERROR(__xludf.DUMMYFUNCTION("""COMPUTED_VALUE"""),"Tier 4")</f>
        <v>Tier 4</v>
      </c>
      <c r="K551" s="4" t="str">
        <f>IFERROR(__xludf.DUMMYFUNCTION("""COMPUTED_VALUE"""),"Active")</f>
        <v>Active</v>
      </c>
      <c r="L551" s="4" t="str">
        <f>IFERROR(__xludf.DUMMYFUNCTION("""COMPUTED_VALUE"""),"Google Kubernetes Engine")</f>
        <v>Google Kubernetes Engine</v>
      </c>
    </row>
    <row r="552">
      <c r="A552" s="4" t="str">
        <f>IFERROR(__xludf.DUMMYFUNCTION("""COMPUTED_VALUE"""),"DME2554")</f>
        <v>DME2554</v>
      </c>
      <c r="B552" s="4" t="str">
        <f>IFERROR(__xludf.DUMMYFUNCTION("""COMPUTED_VALUE"""),"Ankita Abhilash Khandare")</f>
        <v>Ankita Abhilash Khandare</v>
      </c>
      <c r="C552" s="4" t="str">
        <f>IFERROR(__xludf.DUMMYFUNCTION("""COMPUTED_VALUE"""),"ankita.khandare@onixnet.com")</f>
        <v>ankita.khandare@onixnet.com</v>
      </c>
      <c r="D552" s="4" t="str">
        <f>IFERROR(__xludf.DUMMYFUNCTION("""COMPUTED_VALUE"""),"Active")</f>
        <v>Active</v>
      </c>
      <c r="E552" s="4" t="str">
        <f>IFERROR(__xludf.DUMMYFUNCTION("""COMPUTED_VALUE"""),"Delivery Services")</f>
        <v>Delivery Services</v>
      </c>
      <c r="F552" s="4" t="str">
        <f>IFERROR(__xludf.DUMMYFUNCTION("""COMPUTED_VALUE"""),"Kishore Kotagiri")</f>
        <v>Kishore Kotagiri</v>
      </c>
      <c r="G552" s="4" t="str">
        <f>IFERROR(__xludf.DUMMYFUNCTION("""COMPUTED_VALUE"""),"Cluster - Kanhaiya")</f>
        <v>Cluster - Kanhaiya</v>
      </c>
      <c r="H552" s="4" t="str">
        <f>IFERROR(__xludf.DUMMYFUNCTION("""COMPUTED_VALUE"""),"ONIAKRGL3")</f>
        <v>ONIAKRGL3</v>
      </c>
      <c r="I552" s="5">
        <f>IFERROR(__xludf.DUMMYFUNCTION("""COMPUTED_VALUE"""),10.0)</f>
        <v>10</v>
      </c>
      <c r="J552" s="4" t="str">
        <f>IFERROR(__xludf.DUMMYFUNCTION("""COMPUTED_VALUE"""),"Tier 4")</f>
        <v>Tier 4</v>
      </c>
      <c r="K552" s="4" t="str">
        <f>IFERROR(__xludf.DUMMYFUNCTION("""COMPUTED_VALUE"""),"Active")</f>
        <v>Active</v>
      </c>
      <c r="L552" s="4" t="str">
        <f>IFERROR(__xludf.DUMMYFUNCTION("""COMPUTED_VALUE"""),"Google Kubernetes Engine")</f>
        <v>Google Kubernetes Engine</v>
      </c>
    </row>
    <row r="553">
      <c r="A553" s="4" t="str">
        <f>IFERROR(__xludf.DUMMYFUNCTION("""COMPUTED_VALUE"""),"DME2561")</f>
        <v>DME2561</v>
      </c>
      <c r="B553" s="4" t="str">
        <f>IFERROR(__xludf.DUMMYFUNCTION("""COMPUTED_VALUE"""),"Prasad Madhav Kokane")</f>
        <v>Prasad Madhav Kokane</v>
      </c>
      <c r="C553" s="4" t="str">
        <f>IFERROR(__xludf.DUMMYFUNCTION("""COMPUTED_VALUE"""),"prasad.kokane@onixnet.com")</f>
        <v>prasad.kokane@onixnet.com</v>
      </c>
      <c r="D553" s="4" t="str">
        <f>IFERROR(__xludf.DUMMYFUNCTION("""COMPUTED_VALUE"""),"Active")</f>
        <v>Active</v>
      </c>
      <c r="E553" s="4" t="str">
        <f>IFERROR(__xludf.DUMMYFUNCTION("""COMPUTED_VALUE"""),"Delivery Services")</f>
        <v>Delivery Services</v>
      </c>
      <c r="F553" s="4" t="str">
        <f>IFERROR(__xludf.DUMMYFUNCTION("""COMPUTED_VALUE"""),"Mayuri Patole")</f>
        <v>Mayuri Patole</v>
      </c>
      <c r="G553" s="4" t="str">
        <f>IFERROR(__xludf.DUMMYFUNCTION("""COMPUTED_VALUE"""),"Cluster - Sachin")</f>
        <v>Cluster - Sachin</v>
      </c>
      <c r="H553" s="4" t="str">
        <f>IFERROR(__xludf.DUMMYFUNCTION("""COMPUTED_VALUE"""),"ONIPKJTI5")</f>
        <v>ONIPKJTI5</v>
      </c>
      <c r="I553" s="5">
        <f>IFERROR(__xludf.DUMMYFUNCTION("""COMPUTED_VALUE"""),29.0)</f>
        <v>29</v>
      </c>
      <c r="J553" s="4" t="str">
        <f>IFERROR(__xludf.DUMMYFUNCTION("""COMPUTED_VALUE"""),"Tier 3")</f>
        <v>Tier 3</v>
      </c>
      <c r="K553" s="4" t="str">
        <f>IFERROR(__xludf.DUMMYFUNCTION("""COMPUTED_VALUE"""),"Active")</f>
        <v>Active</v>
      </c>
      <c r="L553" s="4" t="str">
        <f>IFERROR(__xludf.DUMMYFUNCTION("""COMPUTED_VALUE"""),"BigQuery")</f>
        <v>BigQuery</v>
      </c>
    </row>
    <row r="554">
      <c r="A554" s="4" t="str">
        <f>IFERROR(__xludf.DUMMYFUNCTION("""COMPUTED_VALUE"""),"DME2567")</f>
        <v>DME2567</v>
      </c>
      <c r="B554" s="4" t="str">
        <f>IFERROR(__xludf.DUMMYFUNCTION("""COMPUTED_VALUE"""),"Bhargesh Shankarlal Mehta")</f>
        <v>Bhargesh Shankarlal Mehta</v>
      </c>
      <c r="C554" s="4" t="str">
        <f>IFERROR(__xludf.DUMMYFUNCTION("""COMPUTED_VALUE"""),"bhargesh.mehta@onixnet.com")</f>
        <v>bhargesh.mehta@onixnet.com</v>
      </c>
      <c r="D554" s="4" t="str">
        <f>IFERROR(__xludf.DUMMYFUNCTION("""COMPUTED_VALUE"""),"Active")</f>
        <v>Active</v>
      </c>
      <c r="E554" s="4" t="str">
        <f>IFERROR(__xludf.DUMMYFUNCTION("""COMPUTED_VALUE"""),"Delivery Services")</f>
        <v>Delivery Services</v>
      </c>
      <c r="F554" s="4" t="str">
        <f>IFERROR(__xludf.DUMMYFUNCTION("""COMPUTED_VALUE"""),"Shreepad Dhok")</f>
        <v>Shreepad Dhok</v>
      </c>
      <c r="G554" s="4" t="str">
        <f>IFERROR(__xludf.DUMMYFUNCTION("""COMPUTED_VALUE"""),"Cluster - Shreepad")</f>
        <v>Cluster - Shreepad</v>
      </c>
      <c r="H554" s="4" t="str">
        <f>IFERROR(__xludf.DUMMYFUNCTION("""COMPUTED_VALUE"""),"ONIBMRAI6")</f>
        <v>ONIBMRAI6</v>
      </c>
      <c r="I554" s="5">
        <f>IFERROR(__xludf.DUMMYFUNCTION("""COMPUTED_VALUE"""),29.0)</f>
        <v>29</v>
      </c>
      <c r="J554" s="4" t="str">
        <f>IFERROR(__xludf.DUMMYFUNCTION("""COMPUTED_VALUE"""),"Tier 3")</f>
        <v>Tier 3</v>
      </c>
      <c r="K554" s="4" t="str">
        <f>IFERROR(__xludf.DUMMYFUNCTION("""COMPUTED_VALUE"""),"Active")</f>
        <v>Active</v>
      </c>
      <c r="L554" s="4" t="str">
        <f>IFERROR(__xludf.DUMMYFUNCTION("""COMPUTED_VALUE"""),"Gemini Enterprise Agent Platform")</f>
        <v>Gemini Enterprise Agent Platform</v>
      </c>
    </row>
    <row r="555">
      <c r="A555" s="4" t="str">
        <f>IFERROR(__xludf.DUMMYFUNCTION("""COMPUTED_VALUE"""),"DME2569")</f>
        <v>DME2569</v>
      </c>
      <c r="B555" s="4" t="str">
        <f>IFERROR(__xludf.DUMMYFUNCTION("""COMPUTED_VALUE"""),"Girish Sudhakar Hande")</f>
        <v>Girish Sudhakar Hande</v>
      </c>
      <c r="C555" s="4" t="str">
        <f>IFERROR(__xludf.DUMMYFUNCTION("""COMPUTED_VALUE"""),"girish.hande@onixnet.com")</f>
        <v>girish.hande@onixnet.com</v>
      </c>
      <c r="D555" s="4" t="str">
        <f>IFERROR(__xludf.DUMMYFUNCTION("""COMPUTED_VALUE"""),"Active")</f>
        <v>Active</v>
      </c>
      <c r="E555" s="4" t="str">
        <f>IFERROR(__xludf.DUMMYFUNCTION("""COMPUTED_VALUE"""),"Delivery Services")</f>
        <v>Delivery Services</v>
      </c>
      <c r="F555" s="4" t="str">
        <f>IFERROR(__xludf.DUMMYFUNCTION("""COMPUTED_VALUE"""),"Mithilesh Pardeshi")</f>
        <v>Mithilesh Pardeshi</v>
      </c>
      <c r="G555" s="4" t="str">
        <f>IFERROR(__xludf.DUMMYFUNCTION("""COMPUTED_VALUE"""),"Cluster - Sagar")</f>
        <v>Cluster - Sagar</v>
      </c>
      <c r="H555" s="4" t="str">
        <f>IFERROR(__xludf.DUMMYFUNCTION("""COMPUTED_VALUE"""),"ONIGHGIS9")</f>
        <v>ONIGHGIS9</v>
      </c>
      <c r="I555" s="5">
        <f>IFERROR(__xludf.DUMMYFUNCTION("""COMPUTED_VALUE"""),10.0)</f>
        <v>10</v>
      </c>
      <c r="J555" s="4" t="str">
        <f>IFERROR(__xludf.DUMMYFUNCTION("""COMPUTED_VALUE"""),"Tier 4")</f>
        <v>Tier 4</v>
      </c>
      <c r="K555" s="4" t="str">
        <f>IFERROR(__xludf.DUMMYFUNCTION("""COMPUTED_VALUE"""),"Active")</f>
        <v>Active</v>
      </c>
      <c r="L555" s="4" t="str">
        <f>IFERROR(__xludf.DUMMYFUNCTION("""COMPUTED_VALUE"""),"Looker")</f>
        <v>Looker</v>
      </c>
    </row>
    <row r="556">
      <c r="A556" s="4" t="str">
        <f>IFERROR(__xludf.DUMMYFUNCTION("""COMPUTED_VALUE"""),"DME2574")</f>
        <v>DME2574</v>
      </c>
      <c r="B556" s="4" t="str">
        <f>IFERROR(__xludf.DUMMYFUNCTION("""COMPUTED_VALUE"""),"Saurabh Ramesh Gaikwad")</f>
        <v>Saurabh Ramesh Gaikwad</v>
      </c>
      <c r="C556" s="4" t="str">
        <f>IFERROR(__xludf.DUMMYFUNCTION("""COMPUTED_VALUE"""),"saurabh.gaikwad@onixnet.com")</f>
        <v>saurabh.gaikwad@onixnet.com</v>
      </c>
      <c r="D556" s="4" t="str">
        <f>IFERROR(__xludf.DUMMYFUNCTION("""COMPUTED_VALUE"""),"Active")</f>
        <v>Active</v>
      </c>
      <c r="E556" s="4" t="str">
        <f>IFERROR(__xludf.DUMMYFUNCTION("""COMPUTED_VALUE"""),"Delivery Services")</f>
        <v>Delivery Services</v>
      </c>
      <c r="F556" s="4" t="str">
        <f>IFERROR(__xludf.DUMMYFUNCTION("""COMPUTED_VALUE"""),"Vishal Khare")</f>
        <v>Vishal Khare</v>
      </c>
      <c r="G556" s="4" t="str">
        <f>IFERROR(__xludf.DUMMYFUNCTION("""COMPUTED_VALUE"""),"Cluster - Sagar")</f>
        <v>Cluster - Sagar</v>
      </c>
      <c r="H556" s="4" t="str">
        <f>IFERROR(__xludf.DUMMYFUNCTION("""COMPUTED_VALUE"""),"ONISGFJE9")</f>
        <v>ONISGFJE9</v>
      </c>
      <c r="I556" s="5">
        <f>IFERROR(__xludf.DUMMYFUNCTION("""COMPUTED_VALUE"""),22.0)</f>
        <v>22</v>
      </c>
      <c r="J556" s="4" t="str">
        <f>IFERROR(__xludf.DUMMYFUNCTION("""COMPUTED_VALUE"""),"Tier 3")</f>
        <v>Tier 3</v>
      </c>
      <c r="K556" s="4" t="str">
        <f>IFERROR(__xludf.DUMMYFUNCTION("""COMPUTED_VALUE"""),"Active")</f>
        <v>Active</v>
      </c>
      <c r="L556" s="4" t="str">
        <f>IFERROR(__xludf.DUMMYFUNCTION("""COMPUTED_VALUE"""),"BigQuery")</f>
        <v>BigQuery</v>
      </c>
    </row>
    <row r="557">
      <c r="A557" s="4" t="str">
        <f>IFERROR(__xludf.DUMMYFUNCTION("""COMPUTED_VALUE"""),"DME2576")</f>
        <v>DME2576</v>
      </c>
      <c r="B557" s="4" t="str">
        <f>IFERROR(__xludf.DUMMYFUNCTION("""COMPUTED_VALUE"""),"Vrushali Babasaheb Phalke")</f>
        <v>Vrushali Babasaheb Phalke</v>
      </c>
      <c r="C557" s="4" t="str">
        <f>IFERROR(__xludf.DUMMYFUNCTION("""COMPUTED_VALUE"""),"vrushali.phalke@onixnet.com")</f>
        <v>vrushali.phalke@onixnet.com</v>
      </c>
      <c r="D557" s="4" t="str">
        <f>IFERROR(__xludf.DUMMYFUNCTION("""COMPUTED_VALUE"""),"Active")</f>
        <v>Active</v>
      </c>
      <c r="E557" s="4" t="str">
        <f>IFERROR(__xludf.DUMMYFUNCTION("""COMPUTED_VALUE"""),"Delivery Services")</f>
        <v>Delivery Services</v>
      </c>
      <c r="F557" s="4" t="str">
        <f>IFERROR(__xludf.DUMMYFUNCTION("""COMPUTED_VALUE"""),"Anuj Chopra")</f>
        <v>Anuj Chopra</v>
      </c>
      <c r="G557" s="4" t="str">
        <f>IFERROR(__xludf.DUMMYFUNCTION("""COMPUTED_VALUE"""),"Cluster - Sagar")</f>
        <v>Cluster - Sagar</v>
      </c>
      <c r="H557" s="4" t="str">
        <f>IFERROR(__xludf.DUMMYFUNCTION("""COMPUTED_VALUE"""),"ONIVPMZB2")</f>
        <v>ONIVPMZB2</v>
      </c>
      <c r="I557" s="5">
        <f>IFERROR(__xludf.DUMMYFUNCTION("""COMPUTED_VALUE"""),10.0)</f>
        <v>10</v>
      </c>
      <c r="J557" s="4" t="str">
        <f>IFERROR(__xludf.DUMMYFUNCTION("""COMPUTED_VALUE"""),"Tier 4")</f>
        <v>Tier 4</v>
      </c>
      <c r="K557" s="4" t="str">
        <f>IFERROR(__xludf.DUMMYFUNCTION("""COMPUTED_VALUE"""),"Active")</f>
        <v>Active</v>
      </c>
      <c r="L557" s="4" t="str">
        <f>IFERROR(__xludf.DUMMYFUNCTION("""COMPUTED_VALUE"""),"Google Kubernetes Engine")</f>
        <v>Google Kubernetes Engine</v>
      </c>
    </row>
    <row r="558">
      <c r="A558" s="4" t="str">
        <f>IFERROR(__xludf.DUMMYFUNCTION("""COMPUTED_VALUE"""),"DME2579")</f>
        <v>DME2579</v>
      </c>
      <c r="B558" s="4" t="str">
        <f>IFERROR(__xludf.DUMMYFUNCTION("""COMPUTED_VALUE"""),"Pranesh Ajay Ghadge")</f>
        <v>Pranesh Ajay Ghadge</v>
      </c>
      <c r="C558" s="4" t="str">
        <f>IFERROR(__xludf.DUMMYFUNCTION("""COMPUTED_VALUE"""),"pranesh.ghadge@onixnet.com")</f>
        <v>pranesh.ghadge@onixnet.com</v>
      </c>
      <c r="D558" s="4" t="str">
        <f>IFERROR(__xludf.DUMMYFUNCTION("""COMPUTED_VALUE"""),"Active")</f>
        <v>Active</v>
      </c>
      <c r="E558" s="4" t="str">
        <f>IFERROR(__xludf.DUMMYFUNCTION("""COMPUTED_VALUE"""),"Product Engineering")</f>
        <v>Product Engineering</v>
      </c>
      <c r="F558" s="4" t="str">
        <f>IFERROR(__xludf.DUMMYFUNCTION("""COMPUTED_VALUE"""),"Samarth Chowksay")</f>
        <v>Samarth Chowksay</v>
      </c>
      <c r="G558" s="4" t="str">
        <f>IFERROR(__xludf.DUMMYFUNCTION("""COMPUTED_VALUE"""),"Cluster - Mayur")</f>
        <v>Cluster - Mayur</v>
      </c>
      <c r="H558" s="4" t="str">
        <f>IFERROR(__xludf.DUMMYFUNCTION("""COMPUTED_VALUE"""),"ONIPGDIL3")</f>
        <v>ONIPGDIL3</v>
      </c>
      <c r="I558" s="5">
        <f>IFERROR(__xludf.DUMMYFUNCTION("""COMPUTED_VALUE"""),0.0)</f>
        <v>0</v>
      </c>
      <c r="J558" s="4" t="str">
        <f>IFERROR(__xludf.DUMMYFUNCTION("""COMPUTED_VALUE"""),"Tier 4")</f>
        <v>Tier 4</v>
      </c>
      <c r="K558" s="4" t="str">
        <f>IFERROR(__xludf.DUMMYFUNCTION("""COMPUTED_VALUE"""),"ID Created DRP score 0")</f>
        <v>ID Created DRP score 0</v>
      </c>
      <c r="L558" s="4"/>
    </row>
    <row r="559">
      <c r="A559" s="4" t="str">
        <f>IFERROR(__xludf.DUMMYFUNCTION("""COMPUTED_VALUE"""),"DME2585")</f>
        <v>DME2585</v>
      </c>
      <c r="B559" s="4" t="str">
        <f>IFERROR(__xludf.DUMMYFUNCTION("""COMPUTED_VALUE"""),"Rushikesh Jagadish Tak")</f>
        <v>Rushikesh Jagadish Tak</v>
      </c>
      <c r="C559" s="4" t="str">
        <f>IFERROR(__xludf.DUMMYFUNCTION("""COMPUTED_VALUE"""),"rushikesh.tak@onixnet.com")</f>
        <v>rushikesh.tak@onixnet.com</v>
      </c>
      <c r="D559" s="4" t="str">
        <f>IFERROR(__xludf.DUMMYFUNCTION("""COMPUTED_VALUE"""),"Active")</f>
        <v>Active</v>
      </c>
      <c r="E559" s="4" t="str">
        <f>IFERROR(__xludf.DUMMYFUNCTION("""COMPUTED_VALUE"""),"Product Engineering")</f>
        <v>Product Engineering</v>
      </c>
      <c r="F559" s="4" t="str">
        <f>IFERROR(__xludf.DUMMYFUNCTION("""COMPUTED_VALUE"""),"Pradnya Kailas Kate")</f>
        <v>Pradnya Kailas Kate</v>
      </c>
      <c r="G559" s="4" t="str">
        <f>IFERROR(__xludf.DUMMYFUNCTION("""COMPUTED_VALUE"""),"Cluster - Mayur")</f>
        <v>Cluster - Mayur</v>
      </c>
      <c r="H559" s="4" t="str">
        <f>IFERROR(__xludf.DUMMYFUNCTION("""COMPUTED_VALUE"""),"ONIRTTHS9")</f>
        <v>ONIRTTHS9</v>
      </c>
      <c r="I559" s="5">
        <f>IFERROR(__xludf.DUMMYFUNCTION("""COMPUTED_VALUE"""),0.0)</f>
        <v>0</v>
      </c>
      <c r="J559" s="4" t="str">
        <f>IFERROR(__xludf.DUMMYFUNCTION("""COMPUTED_VALUE"""),"Tier 4")</f>
        <v>Tier 4</v>
      </c>
      <c r="K559" s="4" t="str">
        <f>IFERROR(__xludf.DUMMYFUNCTION("""COMPUTED_VALUE"""),"ID Created DRP score 0")</f>
        <v>ID Created DRP score 0</v>
      </c>
      <c r="L559" s="4"/>
    </row>
    <row r="560">
      <c r="A560" s="4" t="str">
        <f>IFERROR(__xludf.DUMMYFUNCTION("""COMPUTED_VALUE"""),"DME2603")</f>
        <v>DME2603</v>
      </c>
      <c r="B560" s="4" t="str">
        <f>IFERROR(__xludf.DUMMYFUNCTION("""COMPUTED_VALUE"""),"Kolluru L N Hemanth")</f>
        <v>Kolluru L N Hemanth</v>
      </c>
      <c r="C560" s="4" t="str">
        <f>IFERROR(__xludf.DUMMYFUNCTION("""COMPUTED_VALUE"""),"hemanth.kolluru@onixnet.com")</f>
        <v>hemanth.kolluru@onixnet.com</v>
      </c>
      <c r="D560" s="4" t="str">
        <f>IFERROR(__xludf.DUMMYFUNCTION("""COMPUTED_VALUE"""),"Active")</f>
        <v>Active</v>
      </c>
      <c r="E560" s="4" t="str">
        <f>IFERROR(__xludf.DUMMYFUNCTION("""COMPUTED_VALUE"""),"Delivery Services")</f>
        <v>Delivery Services</v>
      </c>
      <c r="F560" s="4" t="str">
        <f>IFERROR(__xludf.DUMMYFUNCTION("""COMPUTED_VALUE"""),"Rahul Gupta")</f>
        <v>Rahul Gupta</v>
      </c>
      <c r="G560" s="4" t="str">
        <f>IFERROR(__xludf.DUMMYFUNCTION("""COMPUTED_VALUE"""),"Cluster - Sachin")</f>
        <v>Cluster - Sachin</v>
      </c>
      <c r="H560" s="4" t="str">
        <f>IFERROR(__xludf.DUMMYFUNCTION("""COMPUTED_VALUE"""),"ONIHKLWU2")</f>
        <v>ONIHKLWU2</v>
      </c>
      <c r="I560" s="5">
        <f>IFERROR(__xludf.DUMMYFUNCTION("""COMPUTED_VALUE"""),9.0)</f>
        <v>9</v>
      </c>
      <c r="J560" s="4" t="str">
        <f>IFERROR(__xludf.DUMMYFUNCTION("""COMPUTED_VALUE"""),"Tier 4")</f>
        <v>Tier 4</v>
      </c>
      <c r="K560" s="4" t="str">
        <f>IFERROR(__xludf.DUMMYFUNCTION("""COMPUTED_VALUE"""),"Active")</f>
        <v>Active</v>
      </c>
      <c r="L560" s="4" t="str">
        <f>IFERROR(__xludf.DUMMYFUNCTION("""COMPUTED_VALUE"""),"BigQuery")</f>
        <v>BigQuery</v>
      </c>
    </row>
    <row r="561">
      <c r="A561" s="4" t="str">
        <f>IFERROR(__xludf.DUMMYFUNCTION("""COMPUTED_VALUE"""),"DME2604")</f>
        <v>DME2604</v>
      </c>
      <c r="B561" s="4" t="str">
        <f>IFERROR(__xludf.DUMMYFUNCTION("""COMPUTED_VALUE"""),"Pandhem Nikhil Yadav")</f>
        <v>Pandhem Nikhil Yadav</v>
      </c>
      <c r="C561" s="4" t="str">
        <f>IFERROR(__xludf.DUMMYFUNCTION("""COMPUTED_VALUE"""),"nikhil.pandhem@onixnet.com")</f>
        <v>nikhil.pandhem@onixnet.com</v>
      </c>
      <c r="D561" s="4" t="str">
        <f>IFERROR(__xludf.DUMMYFUNCTION("""COMPUTED_VALUE"""),"Active")</f>
        <v>Active</v>
      </c>
      <c r="E561" s="4" t="str">
        <f>IFERROR(__xludf.DUMMYFUNCTION("""COMPUTED_VALUE"""),"Delivery Services")</f>
        <v>Delivery Services</v>
      </c>
      <c r="F561" s="4" t="str">
        <f>IFERROR(__xludf.DUMMYFUNCTION("""COMPUTED_VALUE"""),"Kamal Amrutham")</f>
        <v>Kamal Amrutham</v>
      </c>
      <c r="G561" s="4" t="str">
        <f>IFERROR(__xludf.DUMMYFUNCTION("""COMPUTED_VALUE"""),"Cluster - Shreepad")</f>
        <v>Cluster - Shreepad</v>
      </c>
      <c r="H561" s="4" t="str">
        <f>IFERROR(__xludf.DUMMYFUNCTION("""COMPUTED_VALUE"""),"ONINPWCB0")</f>
        <v>ONINPWCB0</v>
      </c>
      <c r="I561" s="5">
        <f>IFERROR(__xludf.DUMMYFUNCTION("""COMPUTED_VALUE"""),5.0)</f>
        <v>5</v>
      </c>
      <c r="J561" s="4" t="str">
        <f>IFERROR(__xludf.DUMMYFUNCTION("""COMPUTED_VALUE"""),"Tier 4")</f>
        <v>Tier 4</v>
      </c>
      <c r="K561" s="4" t="str">
        <f>IFERROR(__xludf.DUMMYFUNCTION("""COMPUTED_VALUE"""),"Active")</f>
        <v>Active</v>
      </c>
      <c r="L561" s="4" t="str">
        <f>IFERROR(__xludf.DUMMYFUNCTION("""COMPUTED_VALUE"""),"BigQuery")</f>
        <v>BigQuery</v>
      </c>
    </row>
    <row r="562">
      <c r="A562" s="4" t="str">
        <f>IFERROR(__xludf.DUMMYFUNCTION("""COMPUTED_VALUE"""),"DME2615")</f>
        <v>DME2615</v>
      </c>
      <c r="B562" s="4" t="str">
        <f>IFERROR(__xludf.DUMMYFUNCTION("""COMPUTED_VALUE"""),"Gayatri Nachiket Bondale")</f>
        <v>Gayatri Nachiket Bondale</v>
      </c>
      <c r="C562" s="4" t="str">
        <f>IFERROR(__xludf.DUMMYFUNCTION("""COMPUTED_VALUE"""),"gayatri.bondale@onixnet.com")</f>
        <v>gayatri.bondale@onixnet.com</v>
      </c>
      <c r="D562" s="4" t="str">
        <f>IFERROR(__xludf.DUMMYFUNCTION("""COMPUTED_VALUE"""),"Active")</f>
        <v>Active</v>
      </c>
      <c r="E562" s="4" t="str">
        <f>IFERROR(__xludf.DUMMYFUNCTION("""COMPUTED_VALUE"""),"Delivery Services")</f>
        <v>Delivery Services</v>
      </c>
      <c r="F562" s="4" t="str">
        <f>IFERROR(__xludf.DUMMYFUNCTION("""COMPUTED_VALUE"""),"Arpana Shetty")</f>
        <v>Arpana Shetty</v>
      </c>
      <c r="G562" s="4" t="str">
        <f>IFERROR(__xludf.DUMMYFUNCTION("""COMPUTED_VALUE"""),"Cluster - Gaurav")</f>
        <v>Cluster - Gaurav</v>
      </c>
      <c r="H562" s="4" t="str">
        <f>IFERROR(__xludf.DUMMYFUNCTION("""COMPUTED_VALUE"""),"ONIGBLWT8")</f>
        <v>ONIGBLWT8</v>
      </c>
      <c r="I562" s="5">
        <f>IFERROR(__xludf.DUMMYFUNCTION("""COMPUTED_VALUE"""),18.0)</f>
        <v>18</v>
      </c>
      <c r="J562" s="4" t="str">
        <f>IFERROR(__xludf.DUMMYFUNCTION("""COMPUTED_VALUE"""),"Tier 4")</f>
        <v>Tier 4</v>
      </c>
      <c r="K562" s="4" t="str">
        <f>IFERROR(__xludf.DUMMYFUNCTION("""COMPUTED_VALUE"""),"Active")</f>
        <v>Active</v>
      </c>
      <c r="L562" s="4" t="str">
        <f>IFERROR(__xludf.DUMMYFUNCTION("""COMPUTED_VALUE"""),"Gemini Enterprise Agent Platform")</f>
        <v>Gemini Enterprise Agent Platform</v>
      </c>
    </row>
    <row r="563">
      <c r="A563" s="4" t="str">
        <f>IFERROR(__xludf.DUMMYFUNCTION("""COMPUTED_VALUE"""),"DME2539")</f>
        <v>DME2539</v>
      </c>
      <c r="B563" s="4" t="str">
        <f>IFERROR(__xludf.DUMMYFUNCTION("""COMPUTED_VALUE"""),"Praphulla Prakash")</f>
        <v>Praphulla Prakash</v>
      </c>
      <c r="C563" s="4" t="str">
        <f>IFERROR(__xludf.DUMMYFUNCTION("""COMPUTED_VALUE"""),"praphulla.prakash@onixnet.com")</f>
        <v>praphulla.prakash@onixnet.com</v>
      </c>
      <c r="D563" s="4" t="str">
        <f>IFERROR(__xludf.DUMMYFUNCTION("""COMPUTED_VALUE"""),"Active")</f>
        <v>Active</v>
      </c>
      <c r="E563" s="4" t="str">
        <f>IFERROR(__xludf.DUMMYFUNCTION("""COMPUTED_VALUE"""),"Product Engineering")</f>
        <v>Product Engineering</v>
      </c>
      <c r="F563" s="4" t="str">
        <f>IFERROR(__xludf.DUMMYFUNCTION("""COMPUTED_VALUE"""),"Harshit Soni")</f>
        <v>Harshit Soni</v>
      </c>
      <c r="G563" s="4" t="str">
        <f>IFERROR(__xludf.DUMMYFUNCTION("""COMPUTED_VALUE"""),"Cluster - Niraj")</f>
        <v>Cluster - Niraj</v>
      </c>
      <c r="H563" s="4" t="str">
        <f>IFERROR(__xludf.DUMMYFUNCTION("""COMPUTED_VALUE"""),"DATPPBYA6")</f>
        <v>DATPPBYA6</v>
      </c>
      <c r="I563" s="5">
        <f>IFERROR(__xludf.DUMMYFUNCTION("""COMPUTED_VALUE"""),34.0)</f>
        <v>34</v>
      </c>
      <c r="J563" s="4" t="str">
        <f>IFERROR(__xludf.DUMMYFUNCTION("""COMPUTED_VALUE"""),"Tier 3")</f>
        <v>Tier 3</v>
      </c>
      <c r="K563" s="4" t="str">
        <f>IFERROR(__xludf.DUMMYFUNCTION("""COMPUTED_VALUE"""),"Active")</f>
        <v>Active</v>
      </c>
      <c r="L563" s="4" t="str">
        <f>IFERROR(__xludf.DUMMYFUNCTION("""COMPUTED_VALUE"""),"Google Compute Engine")</f>
        <v>Google Compute Engine</v>
      </c>
    </row>
    <row r="564">
      <c r="A564" s="4" t="str">
        <f>IFERROR(__xludf.DUMMYFUNCTION("""COMPUTED_VALUE"""),"DME2609")</f>
        <v>DME2609</v>
      </c>
      <c r="B564" s="4" t="str">
        <f>IFERROR(__xludf.DUMMYFUNCTION("""COMPUTED_VALUE"""),"Mohammad Anas")</f>
        <v>Mohammad Anas</v>
      </c>
      <c r="C564" s="4" t="str">
        <f>IFERROR(__xludf.DUMMYFUNCTION("""COMPUTED_VALUE"""),"mohammad.anas@onixnet.com")</f>
        <v>mohammad.anas@onixnet.com</v>
      </c>
      <c r="D564" s="4" t="str">
        <f>IFERROR(__xludf.DUMMYFUNCTION("""COMPUTED_VALUE"""),"Active")</f>
        <v>Active</v>
      </c>
      <c r="E564" s="4" t="str">
        <f>IFERROR(__xludf.DUMMYFUNCTION("""COMPUTED_VALUE"""),"Delivery Services")</f>
        <v>Delivery Services</v>
      </c>
      <c r="F564" s="4" t="str">
        <f>IFERROR(__xludf.DUMMYFUNCTION("""COMPUTED_VALUE"""),"Aarti Borhade")</f>
        <v>Aarti Borhade</v>
      </c>
      <c r="G564" s="4" t="str">
        <f>IFERROR(__xludf.DUMMYFUNCTION("""COMPUTED_VALUE"""),"Cluster - Sagar")</f>
        <v>Cluster - Sagar</v>
      </c>
      <c r="H564" s="4" t="str">
        <f>IFERROR(__xludf.DUMMYFUNCTION("""COMPUTED_VALUE"""),"ONIMAHGJ5")</f>
        <v>ONIMAHGJ5</v>
      </c>
      <c r="I564" s="5">
        <f>IFERROR(__xludf.DUMMYFUNCTION("""COMPUTED_VALUE"""),15.0)</f>
        <v>15</v>
      </c>
      <c r="J564" s="4" t="str">
        <f>IFERROR(__xludf.DUMMYFUNCTION("""COMPUTED_VALUE"""),"Tier 4")</f>
        <v>Tier 4</v>
      </c>
      <c r="K564" s="4" t="str">
        <f>IFERROR(__xludf.DUMMYFUNCTION("""COMPUTED_VALUE"""),"Active")</f>
        <v>Active</v>
      </c>
      <c r="L564" s="4" t="str">
        <f>IFERROR(__xludf.DUMMYFUNCTION("""COMPUTED_VALUE"""),"AI Applications")</f>
        <v>AI Applications</v>
      </c>
    </row>
    <row r="565">
      <c r="A565" s="4" t="str">
        <f>IFERROR(__xludf.DUMMYFUNCTION("""COMPUTED_VALUE"""),"DME2592")</f>
        <v>DME2592</v>
      </c>
      <c r="B565" s="4" t="str">
        <f>IFERROR(__xludf.DUMMYFUNCTION("""COMPUTED_VALUE"""),"Onkar Arun Mehetre")</f>
        <v>Onkar Arun Mehetre</v>
      </c>
      <c r="C565" s="4" t="str">
        <f>IFERROR(__xludf.DUMMYFUNCTION("""COMPUTED_VALUE"""),"onkar.mehetre@onixnet.com")</f>
        <v>onkar.mehetre@onixnet.com</v>
      </c>
      <c r="D565" s="4" t="str">
        <f>IFERROR(__xludf.DUMMYFUNCTION("""COMPUTED_VALUE"""),"Active")</f>
        <v>Active</v>
      </c>
      <c r="E565" s="4" t="str">
        <f>IFERROR(__xludf.DUMMYFUNCTION("""COMPUTED_VALUE"""),"Delivery Services")</f>
        <v>Delivery Services</v>
      </c>
      <c r="F565" s="4" t="str">
        <f>IFERROR(__xludf.DUMMYFUNCTION("""COMPUTED_VALUE"""),"Venkatavivekananda Sala")</f>
        <v>Venkatavivekananda Sala</v>
      </c>
      <c r="G565" s="4" t="str">
        <f>IFERROR(__xludf.DUMMYFUNCTION("""COMPUTED_VALUE"""),"Cluster - Sachin")</f>
        <v>Cluster - Sachin</v>
      </c>
      <c r="H565" s="4" t="str">
        <f>IFERROR(__xludf.DUMMYFUNCTION("""COMPUTED_VALUE"""),"ONIOMUXB7")</f>
        <v>ONIOMUXB7</v>
      </c>
      <c r="I565" s="5">
        <f>IFERROR(__xludf.DUMMYFUNCTION("""COMPUTED_VALUE"""),32.0)</f>
        <v>32</v>
      </c>
      <c r="J565" s="4" t="str">
        <f>IFERROR(__xludf.DUMMYFUNCTION("""COMPUTED_VALUE"""),"Tier 3")</f>
        <v>Tier 3</v>
      </c>
      <c r="K565" s="4" t="str">
        <f>IFERROR(__xludf.DUMMYFUNCTION("""COMPUTED_VALUE"""),"Active")</f>
        <v>Active</v>
      </c>
      <c r="L565" s="4" t="str">
        <f>IFERROR(__xludf.DUMMYFUNCTION("""COMPUTED_VALUE"""),"AI Applications")</f>
        <v>AI Applications</v>
      </c>
    </row>
    <row r="566">
      <c r="A566" s="4" t="str">
        <f>IFERROR(__xludf.DUMMYFUNCTION("""COMPUTED_VALUE"""),"DME2593")</f>
        <v>DME2593</v>
      </c>
      <c r="B566" s="4" t="str">
        <f>IFERROR(__xludf.DUMMYFUNCTION("""COMPUTED_VALUE"""),"Atharva Kiran Khandke")</f>
        <v>Atharva Kiran Khandke</v>
      </c>
      <c r="C566" s="4" t="str">
        <f>IFERROR(__xludf.DUMMYFUNCTION("""COMPUTED_VALUE"""),"atharva.khandke@onixnet.com")</f>
        <v>atharva.khandke@onixnet.com</v>
      </c>
      <c r="D566" s="4" t="str">
        <f>IFERROR(__xludf.DUMMYFUNCTION("""COMPUTED_VALUE"""),"Active")</f>
        <v>Active</v>
      </c>
      <c r="E566" s="4" t="str">
        <f>IFERROR(__xludf.DUMMYFUNCTION("""COMPUTED_VALUE"""),"Delivery Services")</f>
        <v>Delivery Services</v>
      </c>
      <c r="F566" s="4" t="str">
        <f>IFERROR(__xludf.DUMMYFUNCTION("""COMPUTED_VALUE"""),"Anitha Kumari M S")</f>
        <v>Anitha Kumari M S</v>
      </c>
      <c r="G566" s="4" t="str">
        <f>IFERROR(__xludf.DUMMYFUNCTION("""COMPUTED_VALUE"""),"Cluster - Sagar")</f>
        <v>Cluster - Sagar</v>
      </c>
      <c r="H566" s="4" t="str">
        <f>IFERROR(__xludf.DUMMYFUNCTION("""COMPUTED_VALUE"""),"ONIAKXGA7")</f>
        <v>ONIAKXGA7</v>
      </c>
      <c r="I566" s="5">
        <f>IFERROR(__xludf.DUMMYFUNCTION("""COMPUTED_VALUE"""),52.0)</f>
        <v>52</v>
      </c>
      <c r="J566" s="4" t="str">
        <f>IFERROR(__xludf.DUMMYFUNCTION("""COMPUTED_VALUE"""),"Tier 1")</f>
        <v>Tier 1</v>
      </c>
      <c r="K566" s="4" t="str">
        <f>IFERROR(__xludf.DUMMYFUNCTION("""COMPUTED_VALUE"""),"Active")</f>
        <v>Active</v>
      </c>
      <c r="L566" s="4" t="str">
        <f>IFERROR(__xludf.DUMMYFUNCTION("""COMPUTED_VALUE"""),"BigQuery")</f>
        <v>BigQuery</v>
      </c>
    </row>
    <row r="567">
      <c r="A567" s="4" t="str">
        <f>IFERROR(__xludf.DUMMYFUNCTION("""COMPUTED_VALUE"""),"DME2594")</f>
        <v>DME2594</v>
      </c>
      <c r="B567" s="4" t="str">
        <f>IFERROR(__xludf.DUMMYFUNCTION("""COMPUTED_VALUE"""),"Kushal Manoj Agrawal")</f>
        <v>Kushal Manoj Agrawal</v>
      </c>
      <c r="C567" s="4" t="str">
        <f>IFERROR(__xludf.DUMMYFUNCTION("""COMPUTED_VALUE"""),"kushal.agrawal@onixnet.com")</f>
        <v>kushal.agrawal@onixnet.com</v>
      </c>
      <c r="D567" s="4" t="str">
        <f>IFERROR(__xludf.DUMMYFUNCTION("""COMPUTED_VALUE"""),"Active")</f>
        <v>Active</v>
      </c>
      <c r="E567" s="4" t="str">
        <f>IFERROR(__xludf.DUMMYFUNCTION("""COMPUTED_VALUE"""),"Delivery Services")</f>
        <v>Delivery Services</v>
      </c>
      <c r="F567" s="4" t="str">
        <f>IFERROR(__xludf.DUMMYFUNCTION("""COMPUTED_VALUE"""),"Rahul Shelake")</f>
        <v>Rahul Shelake</v>
      </c>
      <c r="G567" s="4" t="str">
        <f>IFERROR(__xludf.DUMMYFUNCTION("""COMPUTED_VALUE"""),"Cluster - Sagar")</f>
        <v>Cluster - Sagar</v>
      </c>
      <c r="H567" s="4" t="str">
        <f>IFERROR(__xludf.DUMMYFUNCTION("""COMPUTED_VALUE"""),"ONIKASEP3")</f>
        <v>ONIKASEP3</v>
      </c>
      <c r="I567" s="5">
        <f>IFERROR(__xludf.DUMMYFUNCTION("""COMPUTED_VALUE"""),33.0)</f>
        <v>33</v>
      </c>
      <c r="J567" s="4" t="str">
        <f>IFERROR(__xludf.DUMMYFUNCTION("""COMPUTED_VALUE"""),"Tier 3")</f>
        <v>Tier 3</v>
      </c>
      <c r="K567" s="4" t="str">
        <f>IFERROR(__xludf.DUMMYFUNCTION("""COMPUTED_VALUE"""),"Active")</f>
        <v>Active</v>
      </c>
      <c r="L567" s="4" t="str">
        <f>IFERROR(__xludf.DUMMYFUNCTION("""COMPUTED_VALUE"""),"BigQuery")</f>
        <v>BigQuery</v>
      </c>
    </row>
    <row r="568">
      <c r="A568" s="4" t="str">
        <f>IFERROR(__xludf.DUMMYFUNCTION("""COMPUTED_VALUE"""),"DME2595")</f>
        <v>DME2595</v>
      </c>
      <c r="B568" s="4" t="str">
        <f>IFERROR(__xludf.DUMMYFUNCTION("""COMPUTED_VALUE"""),"Pratham Mohan Pohokar")</f>
        <v>Pratham Mohan Pohokar</v>
      </c>
      <c r="C568" s="4" t="str">
        <f>IFERROR(__xludf.DUMMYFUNCTION("""COMPUTED_VALUE"""),"pratham.pohokar@onixnet.com")</f>
        <v>pratham.pohokar@onixnet.com</v>
      </c>
      <c r="D568" s="4" t="str">
        <f>IFERROR(__xludf.DUMMYFUNCTION("""COMPUTED_VALUE"""),"Active")</f>
        <v>Active</v>
      </c>
      <c r="E568" s="4" t="str">
        <f>IFERROR(__xludf.DUMMYFUNCTION("""COMPUTED_VALUE"""),"Delivery Services")</f>
        <v>Delivery Services</v>
      </c>
      <c r="F568" s="4"/>
      <c r="G568" s="4"/>
      <c r="H568" s="4" t="str">
        <f>IFERROR(__xludf.DUMMYFUNCTION("""COMPUTED_VALUE"""),"ONIPPWID6")</f>
        <v>ONIPPWID6</v>
      </c>
      <c r="I568" s="5">
        <f>IFERROR(__xludf.DUMMYFUNCTION("""COMPUTED_VALUE"""),21.0)</f>
        <v>21</v>
      </c>
      <c r="J568" s="4" t="str">
        <f>IFERROR(__xludf.DUMMYFUNCTION("""COMPUTED_VALUE"""),"Tier 3")</f>
        <v>Tier 3</v>
      </c>
      <c r="K568" s="4" t="str">
        <f>IFERROR(__xludf.DUMMYFUNCTION("""COMPUTED_VALUE"""),"Active")</f>
        <v>Active</v>
      </c>
      <c r="L568" s="4" t="str">
        <f>IFERROR(__xludf.DUMMYFUNCTION("""COMPUTED_VALUE"""),"Google Compute Engine")</f>
        <v>Google Compute Engine</v>
      </c>
    </row>
    <row r="569">
      <c r="A569" s="4" t="str">
        <f>IFERROR(__xludf.DUMMYFUNCTION("""COMPUTED_VALUE"""),"DME2596")</f>
        <v>DME2596</v>
      </c>
      <c r="B569" s="4" t="str">
        <f>IFERROR(__xludf.DUMMYFUNCTION("""COMPUTED_VALUE"""),"Kushal Suresh Hedaoo")</f>
        <v>Kushal Suresh Hedaoo</v>
      </c>
      <c r="C569" s="4" t="str">
        <f>IFERROR(__xludf.DUMMYFUNCTION("""COMPUTED_VALUE"""),"kushal.hedaoo@onixnet.com")</f>
        <v>kushal.hedaoo@onixnet.com</v>
      </c>
      <c r="D569" s="4" t="str">
        <f>IFERROR(__xludf.DUMMYFUNCTION("""COMPUTED_VALUE"""),"Active")</f>
        <v>Active</v>
      </c>
      <c r="E569" s="4" t="str">
        <f>IFERROR(__xludf.DUMMYFUNCTION("""COMPUTED_VALUE"""),"Professional Services")</f>
        <v>Professional Services</v>
      </c>
      <c r="F569" s="4" t="str">
        <f>IFERROR(__xludf.DUMMYFUNCTION("""COMPUTED_VALUE"""),"Manoj Patil")</f>
        <v>Manoj Patil</v>
      </c>
      <c r="G569" s="4" t="str">
        <f>IFERROR(__xludf.DUMMYFUNCTION("""COMPUTED_VALUE"""),"Cluster - Shreepad")</f>
        <v>Cluster - Shreepad</v>
      </c>
      <c r="H569" s="4" t="str">
        <f>IFERROR(__xludf.DUMMYFUNCTION("""COMPUTED_VALUE"""),"ONIKHCEQ5")</f>
        <v>ONIKHCEQ5</v>
      </c>
      <c r="I569" s="5">
        <f>IFERROR(__xludf.DUMMYFUNCTION("""COMPUTED_VALUE"""),35.0)</f>
        <v>35</v>
      </c>
      <c r="J569" s="4" t="str">
        <f>IFERROR(__xludf.DUMMYFUNCTION("""COMPUTED_VALUE"""),"Tier 2")</f>
        <v>Tier 2</v>
      </c>
      <c r="K569" s="4" t="str">
        <f>IFERROR(__xludf.DUMMYFUNCTION("""COMPUTED_VALUE"""),"Active")</f>
        <v>Active</v>
      </c>
      <c r="L569" s="4" t="str">
        <f>IFERROR(__xludf.DUMMYFUNCTION("""COMPUTED_VALUE"""),"Google Cloud Networking")</f>
        <v>Google Cloud Networking</v>
      </c>
    </row>
    <row r="570">
      <c r="A570" s="4" t="str">
        <f>IFERROR(__xludf.DUMMYFUNCTION("""COMPUTED_VALUE"""),"DME2597")</f>
        <v>DME2597</v>
      </c>
      <c r="B570" s="4" t="str">
        <f>IFERROR(__xludf.DUMMYFUNCTION("""COMPUTED_VALUE"""),"Anurag Sanjay Gargote")</f>
        <v>Anurag Sanjay Gargote</v>
      </c>
      <c r="C570" s="4" t="str">
        <f>IFERROR(__xludf.DUMMYFUNCTION("""COMPUTED_VALUE"""),"anurag.gargote@onixnet.com")</f>
        <v>anurag.gargote@onixnet.com</v>
      </c>
      <c r="D570" s="4" t="str">
        <f>IFERROR(__xludf.DUMMYFUNCTION("""COMPUTED_VALUE"""),"Active")</f>
        <v>Active</v>
      </c>
      <c r="E570" s="4" t="str">
        <f>IFERROR(__xludf.DUMMYFUNCTION("""COMPUTED_VALUE"""),"Product Engineering")</f>
        <v>Product Engineering</v>
      </c>
      <c r="F570" s="4" t="str">
        <f>IFERROR(__xludf.DUMMYFUNCTION("""COMPUTED_VALUE"""),"Nishant Tiwary")</f>
        <v>Nishant Tiwary</v>
      </c>
      <c r="G570" s="4" t="str">
        <f>IFERROR(__xludf.DUMMYFUNCTION("""COMPUTED_VALUE"""),"Cluster - Mayur")</f>
        <v>Cluster - Mayur</v>
      </c>
      <c r="H570" s="4" t="str">
        <f>IFERROR(__xludf.DUMMYFUNCTION("""COMPUTED_VALUE"""),"ONIAGNKW2")</f>
        <v>ONIAGNKW2</v>
      </c>
      <c r="I570" s="5">
        <f>IFERROR(__xludf.DUMMYFUNCTION("""COMPUTED_VALUE"""),27.0)</f>
        <v>27</v>
      </c>
      <c r="J570" s="4" t="str">
        <f>IFERROR(__xludf.DUMMYFUNCTION("""COMPUTED_VALUE"""),"Tier 3")</f>
        <v>Tier 3</v>
      </c>
      <c r="K570" s="4" t="str">
        <f>IFERROR(__xludf.DUMMYFUNCTION("""COMPUTED_VALUE"""),"Active")</f>
        <v>Active</v>
      </c>
      <c r="L570" s="4" t="str">
        <f>IFERROR(__xludf.DUMMYFUNCTION("""COMPUTED_VALUE"""),"BigQuery")</f>
        <v>BigQuery</v>
      </c>
    </row>
    <row r="571">
      <c r="A571" s="4" t="str">
        <f>IFERROR(__xludf.DUMMYFUNCTION("""COMPUTED_VALUE"""),"DME2598")</f>
        <v>DME2598</v>
      </c>
      <c r="B571" s="4" t="str">
        <f>IFERROR(__xludf.DUMMYFUNCTION("""COMPUTED_VALUE"""),"Sumedh Satish Gole")</f>
        <v>Sumedh Satish Gole</v>
      </c>
      <c r="C571" s="4" t="str">
        <f>IFERROR(__xludf.DUMMYFUNCTION("""COMPUTED_VALUE"""),"sumedh.gole@onixnet.com")</f>
        <v>sumedh.gole@onixnet.com</v>
      </c>
      <c r="D571" s="4" t="str">
        <f>IFERROR(__xludf.DUMMYFUNCTION("""COMPUTED_VALUE"""),"Active")</f>
        <v>Active</v>
      </c>
      <c r="E571" s="4" t="str">
        <f>IFERROR(__xludf.DUMMYFUNCTION("""COMPUTED_VALUE"""),"Product Engineering")</f>
        <v>Product Engineering</v>
      </c>
      <c r="F571" s="4" t="str">
        <f>IFERROR(__xludf.DUMMYFUNCTION("""COMPUTED_VALUE"""),"Suraj Chavan")</f>
        <v>Suraj Chavan</v>
      </c>
      <c r="G571" s="4" t="str">
        <f>IFERROR(__xludf.DUMMYFUNCTION("""COMPUTED_VALUE"""),"Cluster - Mayur")</f>
        <v>Cluster - Mayur</v>
      </c>
      <c r="H571" s="4" t="str">
        <f>IFERROR(__xludf.DUMMYFUNCTION("""COMPUTED_VALUE"""),"ONISGHMY4")</f>
        <v>ONISGHMY4</v>
      </c>
      <c r="I571" s="5">
        <f>IFERROR(__xludf.DUMMYFUNCTION("""COMPUTED_VALUE"""),0.0)</f>
        <v>0</v>
      </c>
      <c r="J571" s="4" t="str">
        <f>IFERROR(__xludf.DUMMYFUNCTION("""COMPUTED_VALUE"""),"Tier 4")</f>
        <v>Tier 4</v>
      </c>
      <c r="K571" s="4" t="str">
        <f>IFERROR(__xludf.DUMMYFUNCTION("""COMPUTED_VALUE"""),"ID Created DRP score 0")</f>
        <v>ID Created DRP score 0</v>
      </c>
      <c r="L571" s="4"/>
    </row>
    <row r="572">
      <c r="A572" s="4" t="str">
        <f>IFERROR(__xludf.DUMMYFUNCTION("""COMPUTED_VALUE"""),"DME2599")</f>
        <v>DME2599</v>
      </c>
      <c r="B572" s="4" t="str">
        <f>IFERROR(__xludf.DUMMYFUNCTION("""COMPUTED_VALUE"""),"Vaibhav Shivaji Waghmare")</f>
        <v>Vaibhav Shivaji Waghmare</v>
      </c>
      <c r="C572" s="4" t="str">
        <f>IFERROR(__xludf.DUMMYFUNCTION("""COMPUTED_VALUE"""),"vaibhav.waghmare@onixnet.com")</f>
        <v>vaibhav.waghmare@onixnet.com</v>
      </c>
      <c r="D572" s="4" t="str">
        <f>IFERROR(__xludf.DUMMYFUNCTION("""COMPUTED_VALUE"""),"Active")</f>
        <v>Active</v>
      </c>
      <c r="E572" s="4" t="str">
        <f>IFERROR(__xludf.DUMMYFUNCTION("""COMPUTED_VALUE"""),"Product Engineering")</f>
        <v>Product Engineering</v>
      </c>
      <c r="F572" s="4" t="str">
        <f>IFERROR(__xludf.DUMMYFUNCTION("""COMPUTED_VALUE"""),"Vinod Pingale")</f>
        <v>Vinod Pingale</v>
      </c>
      <c r="G572" s="4" t="str">
        <f>IFERROR(__xludf.DUMMYFUNCTION("""COMPUTED_VALUE"""),"Cluster - Mayur")</f>
        <v>Cluster - Mayur</v>
      </c>
      <c r="H572" s="4" t="str">
        <f>IFERROR(__xludf.DUMMYFUNCTION("""COMPUTED_VALUE"""),"ONIVWGEI2")</f>
        <v>ONIVWGEI2</v>
      </c>
      <c r="I572" s="5">
        <f>IFERROR(__xludf.DUMMYFUNCTION("""COMPUTED_VALUE"""),0.0)</f>
        <v>0</v>
      </c>
      <c r="J572" s="4" t="str">
        <f>IFERROR(__xludf.DUMMYFUNCTION("""COMPUTED_VALUE"""),"Tier 4")</f>
        <v>Tier 4</v>
      </c>
      <c r="K572" s="4" t="str">
        <f>IFERROR(__xludf.DUMMYFUNCTION("""COMPUTED_VALUE"""),"ID Created DRP score 0")</f>
        <v>ID Created DRP score 0</v>
      </c>
      <c r="L572" s="4"/>
    </row>
    <row r="573">
      <c r="A573" s="4" t="str">
        <f>IFERROR(__xludf.DUMMYFUNCTION("""COMPUTED_VALUE"""),"DME2600")</f>
        <v>DME2600</v>
      </c>
      <c r="B573" s="4" t="str">
        <f>IFERROR(__xludf.DUMMYFUNCTION("""COMPUTED_VALUE"""),"Sonali Sampat More")</f>
        <v>Sonali Sampat More</v>
      </c>
      <c r="C573" s="4" t="str">
        <f>IFERROR(__xludf.DUMMYFUNCTION("""COMPUTED_VALUE"""),"sonali.more@onixnet.com")</f>
        <v>sonali.more@onixnet.com</v>
      </c>
      <c r="D573" s="4" t="str">
        <f>IFERROR(__xludf.DUMMYFUNCTION("""COMPUTED_VALUE"""),"Active")</f>
        <v>Active</v>
      </c>
      <c r="E573" s="4" t="str">
        <f>IFERROR(__xludf.DUMMYFUNCTION("""COMPUTED_VALUE"""),"Delivery Services")</f>
        <v>Delivery Services</v>
      </c>
      <c r="F573" s="4" t="str">
        <f>IFERROR(__xludf.DUMMYFUNCTION("""COMPUTED_VALUE"""),"Pritesh Chaudhari")</f>
        <v>Pritesh Chaudhari</v>
      </c>
      <c r="G573" s="4" t="str">
        <f>IFERROR(__xludf.DUMMYFUNCTION("""COMPUTED_VALUE"""),"Cluster - Sagar")</f>
        <v>Cluster - Sagar</v>
      </c>
      <c r="H573" s="4" t="str">
        <f>IFERROR(__xludf.DUMMYFUNCTION("""COMPUTED_VALUE"""),"ONISMAGK8")</f>
        <v>ONISMAGK8</v>
      </c>
      <c r="I573" s="5">
        <f>IFERROR(__xludf.DUMMYFUNCTION("""COMPUTED_VALUE"""),15.0)</f>
        <v>15</v>
      </c>
      <c r="J573" s="4" t="str">
        <f>IFERROR(__xludf.DUMMYFUNCTION("""COMPUTED_VALUE"""),"Tier 4")</f>
        <v>Tier 4</v>
      </c>
      <c r="K573" s="4" t="str">
        <f>IFERROR(__xludf.DUMMYFUNCTION("""COMPUTED_VALUE"""),"Active")</f>
        <v>Active</v>
      </c>
      <c r="L573" s="4" t="str">
        <f>IFERROR(__xludf.DUMMYFUNCTION("""COMPUTED_VALUE"""),"BigQuery")</f>
        <v>BigQuery</v>
      </c>
    </row>
    <row r="574">
      <c r="A574" s="4" t="str">
        <f>IFERROR(__xludf.DUMMYFUNCTION("""COMPUTED_VALUE"""),"ONIX024")</f>
        <v>ONIX024</v>
      </c>
      <c r="B574" s="4" t="str">
        <f>IFERROR(__xludf.DUMMYFUNCTION("""COMPUTED_VALUE"""),"Terrence D Chambers")</f>
        <v>Terrence D Chambers</v>
      </c>
      <c r="C574" s="4" t="str">
        <f>IFERROR(__xludf.DUMMYFUNCTION("""COMPUTED_VALUE"""),"terry@onixnet.com")</f>
        <v>terry@onixnet.com</v>
      </c>
      <c r="D574" s="4" t="str">
        <f>IFERROR(__xludf.DUMMYFUNCTION("""COMPUTED_VALUE"""),"Active")</f>
        <v>Active</v>
      </c>
      <c r="E574" s="4" t="str">
        <f>IFERROR(__xludf.DUMMYFUNCTION("""COMPUTED_VALUE"""),"Services")</f>
        <v>Services</v>
      </c>
      <c r="F574" s="4" t="str">
        <f>IFERROR(__xludf.DUMMYFUNCTION("""COMPUTED_VALUE"""),"Namrata Mehta")</f>
        <v>Namrata Mehta</v>
      </c>
      <c r="G574" s="4" t="str">
        <f>IFERROR(__xludf.DUMMYFUNCTION("""COMPUTED_VALUE"""),"Portfolio - Thomas (AI)")</f>
        <v>Portfolio - Thomas (AI)</v>
      </c>
      <c r="H574" s="4" t="str">
        <f>IFERROR(__xludf.DUMMYFUNCTION("""COMPUTED_VALUE"""),"ONITCYN30")</f>
        <v>ONITCYN30</v>
      </c>
      <c r="I574" s="5">
        <f>IFERROR(__xludf.DUMMYFUNCTION("""COMPUTED_VALUE"""),84.0)</f>
        <v>84</v>
      </c>
      <c r="J574" s="4" t="str">
        <f>IFERROR(__xludf.DUMMYFUNCTION("""COMPUTED_VALUE"""),"Tier 1")</f>
        <v>Tier 1</v>
      </c>
      <c r="K574" s="4" t="str">
        <f>IFERROR(__xludf.DUMMYFUNCTION("""COMPUTED_VALUE"""),"Active")</f>
        <v>Active</v>
      </c>
      <c r="L574" s="4" t="str">
        <f>IFERROR(__xludf.DUMMYFUNCTION("""COMPUTED_VALUE"""),"Cloud Security")</f>
        <v>Cloud Security</v>
      </c>
    </row>
    <row r="575">
      <c r="A575" s="4" t="str">
        <f>IFERROR(__xludf.DUMMYFUNCTION("""COMPUTED_VALUE"""),"ONIX556")</f>
        <v>ONIX556</v>
      </c>
      <c r="B575" s="4" t="str">
        <f>IFERROR(__xludf.DUMMYFUNCTION("""COMPUTED_VALUE"""),"Vishal Chandra")</f>
        <v>Vishal Chandra</v>
      </c>
      <c r="C575" s="4" t="str">
        <f>IFERROR(__xludf.DUMMYFUNCTION("""COMPUTED_VALUE"""),"vishal.chandra@onixnet.com")</f>
        <v>vishal.chandra@onixnet.com</v>
      </c>
      <c r="D575" s="4" t="str">
        <f>IFERROR(__xludf.DUMMYFUNCTION("""COMPUTED_VALUE"""),"Active")</f>
        <v>Active</v>
      </c>
      <c r="E575" s="4" t="str">
        <f>IFERROR(__xludf.DUMMYFUNCTION("""COMPUTED_VALUE"""),"Sales")</f>
        <v>Sales</v>
      </c>
      <c r="F575" s="4" t="str">
        <f>IFERROR(__xludf.DUMMYFUNCTION("""COMPUTED_VALUE"""),"Ankur Kashyap")</f>
        <v>Ankur Kashyap</v>
      </c>
      <c r="G575" s="4" t="str">
        <f>IFERROR(__xludf.DUMMYFUNCTION("""COMPUTED_VALUE"""),"Portfolio - Ankur (Sales)")</f>
        <v>Portfolio - Ankur (Sales)</v>
      </c>
      <c r="H575" s="4"/>
      <c r="I575" s="5"/>
      <c r="J575" s="4"/>
      <c r="K575" s="4" t="str">
        <f>IFERROR(__xludf.DUMMYFUNCTION("""COMPUTED_VALUE"""),"ID Not Created")</f>
        <v>ID Not Created</v>
      </c>
      <c r="L575" s="4"/>
    </row>
    <row r="576">
      <c r="A576" s="4" t="str">
        <f>IFERROR(__xludf.DUMMYFUNCTION("""COMPUTED_VALUE"""),"ONIX583")</f>
        <v>ONIX583</v>
      </c>
      <c r="B576" s="4" t="str">
        <f>IFERROR(__xludf.DUMMYFUNCTION("""COMPUTED_VALUE"""),"Andres De Castro Chemaly")</f>
        <v>Andres De Castro Chemaly</v>
      </c>
      <c r="C576" s="4" t="str">
        <f>IFERROR(__xludf.DUMMYFUNCTION("""COMPUTED_VALUE"""),"andres.chemaly@onixnet.com")</f>
        <v>andres.chemaly@onixnet.com</v>
      </c>
      <c r="D576" s="4" t="str">
        <f>IFERROR(__xludf.DUMMYFUNCTION("""COMPUTED_VALUE"""),"Active")</f>
        <v>Active</v>
      </c>
      <c r="E576" s="4" t="str">
        <f>IFERROR(__xludf.DUMMYFUNCTION("""COMPUTED_VALUE"""),"Services")</f>
        <v>Services</v>
      </c>
      <c r="F576" s="4" t="str">
        <f>IFERROR(__xludf.DUMMYFUNCTION("""COMPUTED_VALUE"""),"LeePatrick McIntire")</f>
        <v>LeePatrick McIntire</v>
      </c>
      <c r="G576" s="4" t="str">
        <f>IFERROR(__xludf.DUMMYFUNCTION("""COMPUTED_VALUE"""),"Portfolio - Thomas (AI)")</f>
        <v>Portfolio - Thomas (AI)</v>
      </c>
      <c r="H576" s="4" t="str">
        <f>IFERROR(__xludf.DUMMYFUNCTION("""COMPUTED_VALUE"""),"ONIACBGJ2")</f>
        <v>ONIACBGJ2</v>
      </c>
      <c r="I576" s="5">
        <f>IFERROR(__xludf.DUMMYFUNCTION("""COMPUTED_VALUE"""),9.0)</f>
        <v>9</v>
      </c>
      <c r="J576" s="4" t="str">
        <f>IFERROR(__xludf.DUMMYFUNCTION("""COMPUTED_VALUE"""),"Tier 4")</f>
        <v>Tier 4</v>
      </c>
      <c r="K576" s="4" t="str">
        <f>IFERROR(__xludf.DUMMYFUNCTION("""COMPUTED_VALUE"""),"Active")</f>
        <v>Active</v>
      </c>
      <c r="L576" s="4" t="str">
        <f>IFERROR(__xludf.DUMMYFUNCTION("""COMPUTED_VALUE"""),"Dataflow")</f>
        <v>Dataflow</v>
      </c>
    </row>
    <row r="577">
      <c r="A577" s="4" t="str">
        <f>IFERROR(__xludf.DUMMYFUNCTION("""COMPUTED_VALUE"""),"ONIX486")</f>
        <v>ONIX486</v>
      </c>
      <c r="B577" s="4" t="str">
        <f>IFERROR(__xludf.DUMMYFUNCTION("""COMPUTED_VALUE"""),"Andrew Despres")</f>
        <v>Andrew Despres</v>
      </c>
      <c r="C577" s="4" t="str">
        <f>IFERROR(__xludf.DUMMYFUNCTION("""COMPUTED_VALUE"""),"andrew.despres@onixnet.com")</f>
        <v>andrew.despres@onixnet.com</v>
      </c>
      <c r="D577" s="4" t="str">
        <f>IFERROR(__xludf.DUMMYFUNCTION("""COMPUTED_VALUE"""),"Active")</f>
        <v>Active</v>
      </c>
      <c r="E577" s="4" t="str">
        <f>IFERROR(__xludf.DUMMYFUNCTION("""COMPUTED_VALUE"""),"Services")</f>
        <v>Services</v>
      </c>
      <c r="F577" s="4" t="str">
        <f>IFERROR(__xludf.DUMMYFUNCTION("""COMPUTED_VALUE"""),"Justin McKibben")</f>
        <v>Justin McKibben</v>
      </c>
      <c r="G577" s="4" t="str">
        <f>IFERROR(__xludf.DUMMYFUNCTION("""COMPUTED_VALUE"""),"Portfolio - Courtney (US East)")</f>
        <v>Portfolio - Courtney (US East)</v>
      </c>
      <c r="H577" s="4" t="str">
        <f>IFERROR(__xludf.DUMMYFUNCTION("""COMPUTED_VALUE"""),"ONIADGTS3")</f>
        <v>ONIADGTS3</v>
      </c>
      <c r="I577" s="5">
        <f>IFERROR(__xludf.DUMMYFUNCTION("""COMPUTED_VALUE"""),44.0)</f>
        <v>44</v>
      </c>
      <c r="J577" s="4" t="str">
        <f>IFERROR(__xludf.DUMMYFUNCTION("""COMPUTED_VALUE"""),"Tier 2")</f>
        <v>Tier 2</v>
      </c>
      <c r="K577" s="4" t="str">
        <f>IFERROR(__xludf.DUMMYFUNCTION("""COMPUTED_VALUE"""),"Active")</f>
        <v>Active</v>
      </c>
      <c r="L577" s="4" t="str">
        <f>IFERROR(__xludf.DUMMYFUNCTION("""COMPUTED_VALUE"""),"Google Compute Engine")</f>
        <v>Google Compute Engine</v>
      </c>
    </row>
    <row r="578">
      <c r="A578" s="4" t="str">
        <f>IFERROR(__xludf.DUMMYFUNCTION("""COMPUTED_VALUE"""),"ONIX669")</f>
        <v>ONIX669</v>
      </c>
      <c r="B578" s="4" t="str">
        <f>IFERROR(__xludf.DUMMYFUNCTION("""COMPUTED_VALUE"""),"Yasmine El Alami")</f>
        <v>Yasmine El Alami</v>
      </c>
      <c r="C578" s="4" t="str">
        <f>IFERROR(__xludf.DUMMYFUNCTION("""COMPUTED_VALUE"""),"yasmine.elalami@onixnet.com")</f>
        <v>yasmine.elalami@onixnet.com</v>
      </c>
      <c r="D578" s="4" t="str">
        <f>IFERROR(__xludf.DUMMYFUNCTION("""COMPUTED_VALUE"""),"Active")</f>
        <v>Active</v>
      </c>
      <c r="E578" s="4" t="str">
        <f>IFERROR(__xludf.DUMMYFUNCTION("""COMPUTED_VALUE"""),"Services")</f>
        <v>Services</v>
      </c>
      <c r="F578" s="4" t="str">
        <f>IFERROR(__xludf.DUMMYFUNCTION("""COMPUTED_VALUE"""),"LeePatrick McIntire")</f>
        <v>LeePatrick McIntire</v>
      </c>
      <c r="G578" s="4" t="str">
        <f>IFERROR(__xludf.DUMMYFUNCTION("""COMPUTED_VALUE"""),"Portfolio - Thomas (AI)")</f>
        <v>Portfolio - Thomas (AI)</v>
      </c>
      <c r="H578" s="4" t="str">
        <f>IFERROR(__xludf.DUMMYFUNCTION("""COMPUTED_VALUE"""),"ONIYEOPD6")</f>
        <v>ONIYEOPD6</v>
      </c>
      <c r="I578" s="5">
        <f>IFERROR(__xludf.DUMMYFUNCTION("""COMPUTED_VALUE"""),20.0)</f>
        <v>20</v>
      </c>
      <c r="J578" s="4" t="str">
        <f>IFERROR(__xludf.DUMMYFUNCTION("""COMPUTED_VALUE"""),"Tier 3")</f>
        <v>Tier 3</v>
      </c>
      <c r="K578" s="4" t="str">
        <f>IFERROR(__xludf.DUMMYFUNCTION("""COMPUTED_VALUE"""),"Active")</f>
        <v>Active</v>
      </c>
      <c r="L578" s="4" t="str">
        <f>IFERROR(__xludf.DUMMYFUNCTION("""COMPUTED_VALUE"""),"Gemini Enterprise Agent Platform")</f>
        <v>Gemini Enterprise Agent Platform</v>
      </c>
    </row>
    <row r="579">
      <c r="A579" s="4" t="str">
        <f>IFERROR(__xludf.DUMMYFUNCTION("""COMPUTED_VALUE"""),"ONIX371")</f>
        <v>ONIX371</v>
      </c>
      <c r="B579" s="4" t="str">
        <f>IFERROR(__xludf.DUMMYFUNCTION("""COMPUTED_VALUE"""),"Dominic Geha")</f>
        <v>Dominic Geha</v>
      </c>
      <c r="C579" s="4" t="str">
        <f>IFERROR(__xludf.DUMMYFUNCTION("""COMPUTED_VALUE"""),"dominic.geha@onixnet.com")</f>
        <v>dominic.geha@onixnet.com</v>
      </c>
      <c r="D579" s="4" t="str">
        <f>IFERROR(__xludf.DUMMYFUNCTION("""COMPUTED_VALUE"""),"Active")</f>
        <v>Active</v>
      </c>
      <c r="E579" s="4" t="str">
        <f>IFERROR(__xludf.DUMMYFUNCTION("""COMPUTED_VALUE"""),"Services")</f>
        <v>Services</v>
      </c>
      <c r="F579" s="4" t="str">
        <f>IFERROR(__xludf.DUMMYFUNCTION("""COMPUTED_VALUE"""),"Courtney Cline")</f>
        <v>Courtney Cline</v>
      </c>
      <c r="G579" s="4" t="str">
        <f>IFERROR(__xludf.DUMMYFUNCTION("""COMPUTED_VALUE"""),"Portfolio - Courtney (US East)")</f>
        <v>Portfolio - Courtney (US East)</v>
      </c>
      <c r="H579" s="4" t="str">
        <f>IFERROR(__xludf.DUMMYFUNCTION("""COMPUTED_VALUE"""),"ONIDGCEH9")</f>
        <v>ONIDGCEH9</v>
      </c>
      <c r="I579" s="5">
        <f>IFERROR(__xludf.DUMMYFUNCTION("""COMPUTED_VALUE"""),39.0)</f>
        <v>39</v>
      </c>
      <c r="J579" s="4" t="str">
        <f>IFERROR(__xludf.DUMMYFUNCTION("""COMPUTED_VALUE"""),"Tier 2")</f>
        <v>Tier 2</v>
      </c>
      <c r="K579" s="4" t="str">
        <f>IFERROR(__xludf.DUMMYFUNCTION("""COMPUTED_VALUE"""),"Active")</f>
        <v>Active</v>
      </c>
      <c r="L579" s="4"/>
    </row>
    <row r="580">
      <c r="A580" s="4" t="str">
        <f>IFERROR(__xludf.DUMMYFUNCTION("""COMPUTED_VALUE"""),"ONIX644")</f>
        <v>ONIX644</v>
      </c>
      <c r="B580" s="4" t="str">
        <f>IFERROR(__xludf.DUMMYFUNCTION("""COMPUTED_VALUE"""),"Hemalatha Hubadalai Krishnan")</f>
        <v>Hemalatha Hubadalai Krishnan</v>
      </c>
      <c r="C580" s="4" t="str">
        <f>IFERROR(__xludf.DUMMYFUNCTION("""COMPUTED_VALUE"""),"hemalatha.k@onixnet.com")</f>
        <v>hemalatha.k@onixnet.com</v>
      </c>
      <c r="D580" s="4" t="str">
        <f>IFERROR(__xludf.DUMMYFUNCTION("""COMPUTED_VALUE"""),"Active")</f>
        <v>Active</v>
      </c>
      <c r="E580" s="4" t="str">
        <f>IFERROR(__xludf.DUMMYFUNCTION("""COMPUTED_VALUE"""),"Services")</f>
        <v>Services</v>
      </c>
      <c r="F580" s="4" t="str">
        <f>IFERROR(__xludf.DUMMYFUNCTION("""COMPUTED_VALUE"""),"Kanth Nagapudi")</f>
        <v>Kanth Nagapudi</v>
      </c>
      <c r="G580" s="4" t="str">
        <f>IFERROR(__xludf.DUMMYFUNCTION("""COMPUTED_VALUE"""),"Portfolio - Kanth")</f>
        <v>Portfolio - Kanth</v>
      </c>
      <c r="H580" s="4" t="str">
        <f>IFERROR(__xludf.DUMMYFUNCTION("""COMPUTED_VALUE"""),"DATHKBIY8")</f>
        <v>DATHKBIY8</v>
      </c>
      <c r="I580" s="5">
        <f>IFERROR(__xludf.DUMMYFUNCTION("""COMPUTED_VALUE"""),13.0)</f>
        <v>13</v>
      </c>
      <c r="J580" s="4" t="str">
        <f>IFERROR(__xludf.DUMMYFUNCTION("""COMPUTED_VALUE"""),"Tier 4")</f>
        <v>Tier 4</v>
      </c>
      <c r="K580" s="4" t="str">
        <f>IFERROR(__xludf.DUMMYFUNCTION("""COMPUTED_VALUE"""),"Active")</f>
        <v>Active</v>
      </c>
      <c r="L580" s="4" t="str">
        <f>IFERROR(__xludf.DUMMYFUNCTION("""COMPUTED_VALUE"""),"BigQuery")</f>
        <v>BigQuery</v>
      </c>
    </row>
    <row r="581">
      <c r="A581" s="4" t="str">
        <f>IFERROR(__xludf.DUMMYFUNCTION("""COMPUTED_VALUE"""),"ONIX668")</f>
        <v>ONIX668</v>
      </c>
      <c r="B581" s="4" t="str">
        <f>IFERROR(__xludf.DUMMYFUNCTION("""COMPUTED_VALUE"""),"Adam Lahmadi")</f>
        <v>Adam Lahmadi</v>
      </c>
      <c r="C581" s="4" t="str">
        <f>IFERROR(__xludf.DUMMYFUNCTION("""COMPUTED_VALUE"""),"adam.lahmadi@onixnet.com")</f>
        <v>adam.lahmadi@onixnet.com</v>
      </c>
      <c r="D581" s="4" t="str">
        <f>IFERROR(__xludf.DUMMYFUNCTION("""COMPUTED_VALUE"""),"Active")</f>
        <v>Active</v>
      </c>
      <c r="E581" s="4" t="str">
        <f>IFERROR(__xludf.DUMMYFUNCTION("""COMPUTED_VALUE"""),"Services")</f>
        <v>Services</v>
      </c>
      <c r="F581" s="4" t="str">
        <f>IFERROR(__xludf.DUMMYFUNCTION("""COMPUTED_VALUE"""),"Kyle Clark")</f>
        <v>Kyle Clark</v>
      </c>
      <c r="G581" s="4" t="str">
        <f>IFERROR(__xludf.DUMMYFUNCTION("""COMPUTED_VALUE"""),"Portfolio - Thomas (AI)")</f>
        <v>Portfolio - Thomas (AI)</v>
      </c>
      <c r="H581" s="4" t="str">
        <f>IFERROR(__xludf.DUMMYFUNCTION("""COMPUTED_VALUE"""),"ONIALXCP2")</f>
        <v>ONIALXCP2</v>
      </c>
      <c r="I581" s="5">
        <f>IFERROR(__xludf.DUMMYFUNCTION("""COMPUTED_VALUE"""),28.0)</f>
        <v>28</v>
      </c>
      <c r="J581" s="4" t="str">
        <f>IFERROR(__xludf.DUMMYFUNCTION("""COMPUTED_VALUE"""),"Tier 3")</f>
        <v>Tier 3</v>
      </c>
      <c r="K581" s="4" t="str">
        <f>IFERROR(__xludf.DUMMYFUNCTION("""COMPUTED_VALUE"""),"Active")</f>
        <v>Active</v>
      </c>
      <c r="L581" s="4" t="str">
        <f>IFERROR(__xludf.DUMMYFUNCTION("""COMPUTED_VALUE"""),"GECX - CCaaS")</f>
        <v>GECX - CCaaS</v>
      </c>
    </row>
    <row r="582">
      <c r="A582" s="4" t="str">
        <f>IFERROR(__xludf.DUMMYFUNCTION("""COMPUTED_VALUE"""),"ONIX663")</f>
        <v>ONIX663</v>
      </c>
      <c r="B582" s="4" t="str">
        <f>IFERROR(__xludf.DUMMYFUNCTION("""COMPUTED_VALUE"""),"Manasa Manasa")</f>
        <v>Manasa Manasa</v>
      </c>
      <c r="C582" s="4" t="str">
        <f>IFERROR(__xludf.DUMMYFUNCTION("""COMPUTED_VALUE"""),"manasa.padukone@onixnet.com")</f>
        <v>manasa.padukone@onixnet.com</v>
      </c>
      <c r="D582" s="4" t="str">
        <f>IFERROR(__xludf.DUMMYFUNCTION("""COMPUTED_VALUE"""),"Active")</f>
        <v>Active</v>
      </c>
      <c r="E582" s="4" t="str">
        <f>IFERROR(__xludf.DUMMYFUNCTION("""COMPUTED_VALUE"""),"Services")</f>
        <v>Services</v>
      </c>
      <c r="F582" s="4" t="str">
        <f>IFERROR(__xludf.DUMMYFUNCTION("""COMPUTED_VALUE"""),"Philip Cummings")</f>
        <v>Philip Cummings</v>
      </c>
      <c r="G582" s="4" t="str">
        <f>IFERROR(__xludf.DUMMYFUNCTION("""COMPUTED_VALUE"""),"Portfolio - Rick")</f>
        <v>Portfolio - Rick</v>
      </c>
      <c r="H582" s="4" t="str">
        <f>IFERROR(__xludf.DUMMYFUNCTION("""COMPUTED_VALUE"""),"ONIMAEEJ4")</f>
        <v>ONIMAEEJ4</v>
      </c>
      <c r="I582" s="5">
        <f>IFERROR(__xludf.DUMMYFUNCTION("""COMPUTED_VALUE"""),34.0)</f>
        <v>34</v>
      </c>
      <c r="J582" s="4" t="str">
        <f>IFERROR(__xludf.DUMMYFUNCTION("""COMPUTED_VALUE"""),"Tier 3")</f>
        <v>Tier 3</v>
      </c>
      <c r="K582" s="4" t="str">
        <f>IFERROR(__xludf.DUMMYFUNCTION("""COMPUTED_VALUE"""),"Active")</f>
        <v>Active</v>
      </c>
      <c r="L582" s="4" t="str">
        <f>IFERROR(__xludf.DUMMYFUNCTION("""COMPUTED_VALUE"""),"Gemini Enterprise Agent Platform")</f>
        <v>Gemini Enterprise Agent Platform</v>
      </c>
    </row>
    <row r="583">
      <c r="A583" s="4" t="str">
        <f>IFERROR(__xludf.DUMMYFUNCTION("""COMPUTED_VALUE"""),"ONIX588")</f>
        <v>ONIX588</v>
      </c>
      <c r="B583" s="4" t="str">
        <f>IFERROR(__xludf.DUMMYFUNCTION("""COMPUTED_VALUE"""),"Nafe McNafee")</f>
        <v>Nafe McNafee</v>
      </c>
      <c r="C583" s="4" t="str">
        <f>IFERROR(__xludf.DUMMYFUNCTION("""COMPUTED_VALUE"""),"nafe.mcnafee@onixnet.com")</f>
        <v>nafe.mcnafee@onixnet.com</v>
      </c>
      <c r="D583" s="4" t="str">
        <f>IFERROR(__xludf.DUMMYFUNCTION("""COMPUTED_VALUE"""),"Active")</f>
        <v>Active</v>
      </c>
      <c r="E583" s="4" t="str">
        <f>IFERROR(__xludf.DUMMYFUNCTION("""COMPUTED_VALUE"""),"Services")</f>
        <v>Services</v>
      </c>
      <c r="F583" s="4" t="str">
        <f>IFERROR(__xludf.DUMMYFUNCTION("""COMPUTED_VALUE"""),"Kyle Clark")</f>
        <v>Kyle Clark</v>
      </c>
      <c r="G583" s="4" t="str">
        <f>IFERROR(__xludf.DUMMYFUNCTION("""COMPUTED_VALUE"""),"Portfolio - Thomas (AI)")</f>
        <v>Portfolio - Thomas (AI)</v>
      </c>
      <c r="H583" s="4" t="str">
        <f>IFERROR(__xludf.DUMMYFUNCTION("""COMPUTED_VALUE"""),"ONINMRQL4")</f>
        <v>ONINMRQL4</v>
      </c>
      <c r="I583" s="5">
        <f>IFERROR(__xludf.DUMMYFUNCTION("""COMPUTED_VALUE"""),39.0)</f>
        <v>39</v>
      </c>
      <c r="J583" s="4" t="str">
        <f>IFERROR(__xludf.DUMMYFUNCTION("""COMPUTED_VALUE"""),"Tier 2")</f>
        <v>Tier 2</v>
      </c>
      <c r="K583" s="4" t="str">
        <f>IFERROR(__xludf.DUMMYFUNCTION("""COMPUTED_VALUE"""),"Active")</f>
        <v>Active</v>
      </c>
      <c r="L583" s="4" t="str">
        <f>IFERROR(__xludf.DUMMYFUNCTION("""COMPUTED_VALUE"""),"GECX - CCaaS")</f>
        <v>GECX - CCaaS</v>
      </c>
    </row>
    <row r="584">
      <c r="A584" s="4" t="str">
        <f>IFERROR(__xludf.DUMMYFUNCTION("""COMPUTED_VALUE"""),"ONIX565")</f>
        <v>ONIX565</v>
      </c>
      <c r="B584" s="4" t="str">
        <f>IFERROR(__xludf.DUMMYFUNCTION("""COMPUTED_VALUE"""),"Raveena Mittal")</f>
        <v>Raveena Mittal</v>
      </c>
      <c r="C584" s="4" t="str">
        <f>IFERROR(__xludf.DUMMYFUNCTION("""COMPUTED_VALUE"""),"raveena.mittal@onixnet.com")</f>
        <v>raveena.mittal@onixnet.com</v>
      </c>
      <c r="D584" s="4" t="str">
        <f>IFERROR(__xludf.DUMMYFUNCTION("""COMPUTED_VALUE"""),"Active")</f>
        <v>Active</v>
      </c>
      <c r="E584" s="4" t="str">
        <f>IFERROR(__xludf.DUMMYFUNCTION("""COMPUTED_VALUE"""),"Services")</f>
        <v>Services</v>
      </c>
      <c r="F584" s="4" t="str">
        <f>IFERROR(__xludf.DUMMYFUNCTION("""COMPUTED_VALUE"""),"Joshua Shnider")</f>
        <v>Joshua Shnider</v>
      </c>
      <c r="G584" s="4" t="str">
        <f>IFERROR(__xludf.DUMMYFUNCTION("""COMPUTED_VALUE"""),"Portfolio - Kanth")</f>
        <v>Portfolio - Kanth</v>
      </c>
      <c r="H584" s="4"/>
      <c r="I584" s="5"/>
      <c r="J584" s="4"/>
      <c r="K584" s="4" t="str">
        <f>IFERROR(__xludf.DUMMYFUNCTION("""COMPUTED_VALUE"""),"ID Not Created")</f>
        <v>ID Not Created</v>
      </c>
      <c r="L584" s="4"/>
    </row>
    <row r="585">
      <c r="A585" s="4" t="str">
        <f>IFERROR(__xludf.DUMMYFUNCTION("""COMPUTED_VALUE"""),"ONIX549")</f>
        <v>ONIX549</v>
      </c>
      <c r="B585" s="4" t="str">
        <f>IFERROR(__xludf.DUMMYFUNCTION("""COMPUTED_VALUE"""),"Junaid Subhani")</f>
        <v>Junaid Subhani</v>
      </c>
      <c r="C585" s="4" t="str">
        <f>IFERROR(__xludf.DUMMYFUNCTION("""COMPUTED_VALUE"""),"junaid.subhani@onixnet.com")</f>
        <v>junaid.subhani@onixnet.com</v>
      </c>
      <c r="D585" s="4" t="str">
        <f>IFERROR(__xludf.DUMMYFUNCTION("""COMPUTED_VALUE"""),"Active")</f>
        <v>Active</v>
      </c>
      <c r="E585" s="4" t="str">
        <f>IFERROR(__xludf.DUMMYFUNCTION("""COMPUTED_VALUE"""),"Services")</f>
        <v>Services</v>
      </c>
      <c r="F585" s="4" t="str">
        <f>IFERROR(__xludf.DUMMYFUNCTION("""COMPUTED_VALUE"""),"LeePatrick McIntire")</f>
        <v>LeePatrick McIntire</v>
      </c>
      <c r="G585" s="4" t="str">
        <f>IFERROR(__xludf.DUMMYFUNCTION("""COMPUTED_VALUE"""),"Portfolio - Thomas (AI)")</f>
        <v>Portfolio - Thomas (AI)</v>
      </c>
      <c r="H585" s="4" t="str">
        <f>IFERROR(__xludf.DUMMYFUNCTION("""COMPUTED_VALUE"""),"ONIJSBXX4")</f>
        <v>ONIJSBXX4</v>
      </c>
      <c r="I585" s="5">
        <f>IFERROR(__xludf.DUMMYFUNCTION("""COMPUTED_VALUE"""),44.0)</f>
        <v>44</v>
      </c>
      <c r="J585" s="4" t="str">
        <f>IFERROR(__xludf.DUMMYFUNCTION("""COMPUTED_VALUE"""),"Tier 2")</f>
        <v>Tier 2</v>
      </c>
      <c r="K585" s="4" t="str">
        <f>IFERROR(__xludf.DUMMYFUNCTION("""COMPUTED_VALUE"""),"Active")</f>
        <v>Active</v>
      </c>
      <c r="L585" s="4" t="str">
        <f>IFERROR(__xludf.DUMMYFUNCTION("""COMPUTED_VALUE"""),"Google Compute Engine")</f>
        <v>Google Compute Engine</v>
      </c>
    </row>
    <row r="586">
      <c r="A586" s="4" t="str">
        <f>IFERROR(__xludf.DUMMYFUNCTION("""COMPUTED_VALUE"""),"ONIX660")</f>
        <v>ONIX660</v>
      </c>
      <c r="B586" s="4" t="str">
        <f>IFERROR(__xludf.DUMMYFUNCTION("""COMPUTED_VALUE"""),"Abhishek Suryawanshi")</f>
        <v>Abhishek Suryawanshi</v>
      </c>
      <c r="C586" s="4" t="str">
        <f>IFERROR(__xludf.DUMMYFUNCTION("""COMPUTED_VALUE"""),"abhishek.suryawanshi@onixnet.com")</f>
        <v>abhishek.suryawanshi@onixnet.com</v>
      </c>
      <c r="D586" s="4" t="str">
        <f>IFERROR(__xludf.DUMMYFUNCTION("""COMPUTED_VALUE"""),"Active")</f>
        <v>Active</v>
      </c>
      <c r="E586" s="4" t="str">
        <f>IFERROR(__xludf.DUMMYFUNCTION("""COMPUTED_VALUE"""),"Services")</f>
        <v>Services</v>
      </c>
      <c r="F586" s="4" t="str">
        <f>IFERROR(__xludf.DUMMYFUNCTION("""COMPUTED_VALUE"""),"Venkat Srinivasan")</f>
        <v>Venkat Srinivasan</v>
      </c>
      <c r="G586" s="4" t="str">
        <f>IFERROR(__xludf.DUMMYFUNCTION("""COMPUTED_VALUE"""),"Portfolio - Rajesh")</f>
        <v>Portfolio - Rajesh</v>
      </c>
      <c r="H586" s="4" t="str">
        <f>IFERROR(__xludf.DUMMYFUNCTION("""COMPUTED_VALUE"""),"ONIASECP4")</f>
        <v>ONIASECP4</v>
      </c>
      <c r="I586" s="5">
        <f>IFERROR(__xludf.DUMMYFUNCTION("""COMPUTED_VALUE"""),39.0)</f>
        <v>39</v>
      </c>
      <c r="J586" s="4" t="str">
        <f>IFERROR(__xludf.DUMMYFUNCTION("""COMPUTED_VALUE"""),"Tier 2")</f>
        <v>Tier 2</v>
      </c>
      <c r="K586" s="4" t="str">
        <f>IFERROR(__xludf.DUMMYFUNCTION("""COMPUTED_VALUE"""),"Active")</f>
        <v>Active</v>
      </c>
      <c r="L586" s="4" t="str">
        <f>IFERROR(__xludf.DUMMYFUNCTION("""COMPUTED_VALUE"""),"BigQuery")</f>
        <v>BigQuery</v>
      </c>
    </row>
    <row r="587">
      <c r="A587" s="4" t="str">
        <f>IFERROR(__xludf.DUMMYFUNCTION("""COMPUTED_VALUE"""),"ONIX451")</f>
        <v>ONIX451</v>
      </c>
      <c r="B587" s="4" t="str">
        <f>IFERROR(__xludf.DUMMYFUNCTION("""COMPUTED_VALUE"""),"Abigail Trostel")</f>
        <v>Abigail Trostel</v>
      </c>
      <c r="C587" s="4" t="str">
        <f>IFERROR(__xludf.DUMMYFUNCTION("""COMPUTED_VALUE"""),"abigail.trostel@onixnet.com")</f>
        <v>abigail.trostel@onixnet.com</v>
      </c>
      <c r="D587" s="4" t="str">
        <f>IFERROR(__xludf.DUMMYFUNCTION("""COMPUTED_VALUE"""),"Active")</f>
        <v>Active</v>
      </c>
      <c r="E587" s="4" t="str">
        <f>IFERROR(__xludf.DUMMYFUNCTION("""COMPUTED_VALUE"""),"Sales")</f>
        <v>Sales</v>
      </c>
      <c r="F587" s="4" t="str">
        <f>IFERROR(__xludf.DUMMYFUNCTION("""COMPUTED_VALUE"""),"Samantha Schreiber")</f>
        <v>Samantha Schreiber</v>
      </c>
      <c r="G587" s="4" t="str">
        <f>IFERROR(__xludf.DUMMYFUNCTION("""COMPUTED_VALUE"""),"Portfolio - Ankur (Sales)")</f>
        <v>Portfolio - Ankur (Sales)</v>
      </c>
      <c r="H587" s="4"/>
      <c r="I587" s="5"/>
      <c r="J587" s="4"/>
      <c r="K587" s="4" t="str">
        <f>IFERROR(__xludf.DUMMYFUNCTION("""COMPUTED_VALUE"""),"ID Not Created")</f>
        <v>ID Not Created</v>
      </c>
      <c r="L587" s="4"/>
    </row>
    <row r="588">
      <c r="A588" s="4" t="str">
        <f>IFERROR(__xludf.DUMMYFUNCTION("""COMPUTED_VALUE"""),"DMSI0106")</f>
        <v>DMSI0106</v>
      </c>
      <c r="B588" s="4" t="str">
        <f>IFERROR(__xludf.DUMMYFUNCTION("""COMPUTED_VALUE"""),"Ajinkya Dilip Deshmukh")</f>
        <v>Ajinkya Dilip Deshmukh</v>
      </c>
      <c r="C588" s="4" t="str">
        <f>IFERROR(__xludf.DUMMYFUNCTION("""COMPUTED_VALUE"""),"ajinkya.deshmukh@onixnet.com")</f>
        <v>ajinkya.deshmukh@onixnet.com</v>
      </c>
      <c r="D588" s="4" t="str">
        <f>IFERROR(__xludf.DUMMYFUNCTION("""COMPUTED_VALUE"""),"Active")</f>
        <v>Active</v>
      </c>
      <c r="E588" s="4" t="str">
        <f>IFERROR(__xludf.DUMMYFUNCTION("""COMPUTED_VALUE"""),"Services")</f>
        <v>Services</v>
      </c>
      <c r="F588" s="4" t="str">
        <f>IFERROR(__xludf.DUMMYFUNCTION("""COMPUTED_VALUE"""),"Vrushali Srivastava")</f>
        <v>Vrushali Srivastava</v>
      </c>
      <c r="G588" s="4" t="str">
        <f>IFERROR(__xludf.DUMMYFUNCTION("""COMPUTED_VALUE"""),"Portfolio - Rajesh")</f>
        <v>Portfolio - Rajesh</v>
      </c>
      <c r="H588" s="4" t="str">
        <f>IFERROR(__xludf.DUMMYFUNCTION("""COMPUTED_VALUE"""),"ONIADTFM1")</f>
        <v>ONIADTFM1</v>
      </c>
      <c r="I588" s="5">
        <f>IFERROR(__xludf.DUMMYFUNCTION("""COMPUTED_VALUE"""),9.0)</f>
        <v>9</v>
      </c>
      <c r="J588" s="4" t="str">
        <f>IFERROR(__xludf.DUMMYFUNCTION("""COMPUTED_VALUE"""),"Tier 4")</f>
        <v>Tier 4</v>
      </c>
      <c r="K588" s="4" t="str">
        <f>IFERROR(__xludf.DUMMYFUNCTION("""COMPUTED_VALUE"""),"Active")</f>
        <v>Active</v>
      </c>
      <c r="L588" s="4" t="str">
        <f>IFERROR(__xludf.DUMMYFUNCTION("""COMPUTED_VALUE"""),"BigQuery")</f>
        <v>BigQuery</v>
      </c>
    </row>
    <row r="589">
      <c r="A589" s="4" t="str">
        <f>IFERROR(__xludf.DUMMYFUNCTION("""COMPUTED_VALUE"""),"ONIX582")</f>
        <v>ONIX582</v>
      </c>
      <c r="B589" s="4" t="str">
        <f>IFERROR(__xludf.DUMMYFUNCTION("""COMPUTED_VALUE"""),"Aniket Narendra Nichat")</f>
        <v>Aniket Narendra Nichat</v>
      </c>
      <c r="C589" s="4" t="str">
        <f>IFERROR(__xludf.DUMMYFUNCTION("""COMPUTED_VALUE"""),"aniket.nichat@onixnet.com")</f>
        <v>aniket.nichat@onixnet.com</v>
      </c>
      <c r="D589" s="4" t="str">
        <f>IFERROR(__xludf.DUMMYFUNCTION("""COMPUTED_VALUE"""),"Active")</f>
        <v>Active</v>
      </c>
      <c r="E589" s="4" t="str">
        <f>IFERROR(__xludf.DUMMYFUNCTION("""COMPUTED_VALUE"""),"Services")</f>
        <v>Services</v>
      </c>
      <c r="F589" s="4" t="str">
        <f>IFERROR(__xludf.DUMMYFUNCTION("""COMPUTED_VALUE"""),"Venkat Srinivasan")</f>
        <v>Venkat Srinivasan</v>
      </c>
      <c r="G589" s="4" t="str">
        <f>IFERROR(__xludf.DUMMYFUNCTION("""COMPUTED_VALUE"""),"Portfolio - Rajesh")</f>
        <v>Portfolio - Rajesh</v>
      </c>
      <c r="H589" s="4" t="str">
        <f>IFERROR(__xludf.DUMMYFUNCTION("""COMPUTED_VALUE"""),"ONIANOJJ5")</f>
        <v>ONIANOJJ5</v>
      </c>
      <c r="I589" s="5">
        <f>IFERROR(__xludf.DUMMYFUNCTION("""COMPUTED_VALUE"""),58.0)</f>
        <v>58</v>
      </c>
      <c r="J589" s="4" t="str">
        <f>IFERROR(__xludf.DUMMYFUNCTION("""COMPUTED_VALUE"""),"Tier 1")</f>
        <v>Tier 1</v>
      </c>
      <c r="K589" s="4" t="str">
        <f>IFERROR(__xludf.DUMMYFUNCTION("""COMPUTED_VALUE"""),"Active")</f>
        <v>Active</v>
      </c>
      <c r="L589" s="4" t="str">
        <f>IFERROR(__xludf.DUMMYFUNCTION("""COMPUTED_VALUE"""),"Dataflow")</f>
        <v>Dataflow</v>
      </c>
    </row>
    <row r="590">
      <c r="A590" s="4" t="str">
        <f>IFERROR(__xludf.DUMMYFUNCTION("""COMPUTED_VALUE"""),"DMSI0124")</f>
        <v>DMSI0124</v>
      </c>
      <c r="B590" s="4" t="str">
        <f>IFERROR(__xludf.DUMMYFUNCTION("""COMPUTED_VALUE"""),"Ankit Dhanotiya")</f>
        <v>Ankit Dhanotiya</v>
      </c>
      <c r="C590" s="4" t="str">
        <f>IFERROR(__xludf.DUMMYFUNCTION("""COMPUTED_VALUE"""),"ankit.dhanotiya@onixnet.com")</f>
        <v>ankit.dhanotiya@onixnet.com</v>
      </c>
      <c r="D590" s="4" t="str">
        <f>IFERROR(__xludf.DUMMYFUNCTION("""COMPUTED_VALUE"""),"Active")</f>
        <v>Active</v>
      </c>
      <c r="E590" s="4" t="str">
        <f>IFERROR(__xludf.DUMMYFUNCTION("""COMPUTED_VALUE"""),"Services")</f>
        <v>Services</v>
      </c>
      <c r="F590" s="4" t="str">
        <f>IFERROR(__xludf.DUMMYFUNCTION("""COMPUTED_VALUE"""),"Vrushali Srivastava")</f>
        <v>Vrushali Srivastava</v>
      </c>
      <c r="G590" s="4" t="str">
        <f>IFERROR(__xludf.DUMMYFUNCTION("""COMPUTED_VALUE"""),"Portfolio - Rajesh")</f>
        <v>Portfolio - Rajesh</v>
      </c>
      <c r="H590" s="4" t="str">
        <f>IFERROR(__xludf.DUMMYFUNCTION("""COMPUTED_VALUE"""),"ONIADPIC2")</f>
        <v>ONIADPIC2</v>
      </c>
      <c r="I590" s="5">
        <f>IFERROR(__xludf.DUMMYFUNCTION("""COMPUTED_VALUE"""),14.0)</f>
        <v>14</v>
      </c>
      <c r="J590" s="4" t="str">
        <f>IFERROR(__xludf.DUMMYFUNCTION("""COMPUTED_VALUE"""),"Tier 4")</f>
        <v>Tier 4</v>
      </c>
      <c r="K590" s="4" t="str">
        <f>IFERROR(__xludf.DUMMYFUNCTION("""COMPUTED_VALUE"""),"Active")</f>
        <v>Active</v>
      </c>
      <c r="L590" s="4" t="str">
        <f>IFERROR(__xludf.DUMMYFUNCTION("""COMPUTED_VALUE"""),"BigQuery")</f>
        <v>BigQuery</v>
      </c>
    </row>
    <row r="591">
      <c r="A591" s="4" t="str">
        <f>IFERROR(__xludf.DUMMYFUNCTION("""COMPUTED_VALUE"""),"ONIX570")</f>
        <v>ONIX570</v>
      </c>
      <c r="B591" s="4" t="str">
        <f>IFERROR(__xludf.DUMMYFUNCTION("""COMPUTED_VALUE"""),"Apurva Doshi")</f>
        <v>Apurva Doshi</v>
      </c>
      <c r="C591" s="4" t="str">
        <f>IFERROR(__xludf.DUMMYFUNCTION("""COMPUTED_VALUE"""),"apurva.doshi@onixnet.com")</f>
        <v>apurva.doshi@onixnet.com</v>
      </c>
      <c r="D591" s="4" t="str">
        <f>IFERROR(__xludf.DUMMYFUNCTION("""COMPUTED_VALUE"""),"Active")</f>
        <v>Active</v>
      </c>
      <c r="E591" s="4" t="str">
        <f>IFERROR(__xludf.DUMMYFUNCTION("""COMPUTED_VALUE"""),"Services")</f>
        <v>Services</v>
      </c>
      <c r="F591" s="4" t="str">
        <f>IFERROR(__xludf.DUMMYFUNCTION("""COMPUTED_VALUE"""),"Anurag Mynam")</f>
        <v>Anurag Mynam</v>
      </c>
      <c r="G591" s="4" t="str">
        <f>IFERROR(__xludf.DUMMYFUNCTION("""COMPUTED_VALUE"""),"Portfolio - Thomas (AI)")</f>
        <v>Portfolio - Thomas (AI)</v>
      </c>
      <c r="H591" s="4" t="str">
        <f>IFERROR(__xludf.DUMMYFUNCTION("""COMPUTED_VALUE"""),"ONIADPHW2")</f>
        <v>ONIADPHW2</v>
      </c>
      <c r="I591" s="5">
        <f>IFERROR(__xludf.DUMMYFUNCTION("""COMPUTED_VALUE"""),14.0)</f>
        <v>14</v>
      </c>
      <c r="J591" s="4" t="str">
        <f>IFERROR(__xludf.DUMMYFUNCTION("""COMPUTED_VALUE"""),"Tier 4")</f>
        <v>Tier 4</v>
      </c>
      <c r="K591" s="4" t="str">
        <f>IFERROR(__xludf.DUMMYFUNCTION("""COMPUTED_VALUE"""),"Active")</f>
        <v>Active</v>
      </c>
      <c r="L591" s="4" t="str">
        <f>IFERROR(__xludf.DUMMYFUNCTION("""COMPUTED_VALUE"""),"BigQuery")</f>
        <v>BigQuery</v>
      </c>
    </row>
    <row r="592">
      <c r="A592" s="4" t="str">
        <f>IFERROR(__xludf.DUMMYFUNCTION("""COMPUTED_VALUE"""),"DMSI0119")</f>
        <v>DMSI0119</v>
      </c>
      <c r="B592" s="4" t="str">
        <f>IFERROR(__xludf.DUMMYFUNCTION("""COMPUTED_VALUE"""),"Avinash Vellanki")</f>
        <v>Avinash Vellanki</v>
      </c>
      <c r="C592" s="4" t="str">
        <f>IFERROR(__xludf.DUMMYFUNCTION("""COMPUTED_VALUE"""),"avinash.vellanki@onixnet.com")</f>
        <v>avinash.vellanki@onixnet.com</v>
      </c>
      <c r="D592" s="4" t="str">
        <f>IFERROR(__xludf.DUMMYFUNCTION("""COMPUTED_VALUE"""),"Active")</f>
        <v>Active</v>
      </c>
      <c r="E592" s="4" t="str">
        <f>IFERROR(__xludf.DUMMYFUNCTION("""COMPUTED_VALUE"""),"Services")</f>
        <v>Services</v>
      </c>
      <c r="F592" s="4" t="str">
        <f>IFERROR(__xludf.DUMMYFUNCTION("""COMPUTED_VALUE"""),"Kavindra Yerolkar")</f>
        <v>Kavindra Yerolkar</v>
      </c>
      <c r="G592" s="4" t="str">
        <f>IFERROR(__xludf.DUMMYFUNCTION("""COMPUTED_VALUE"""),"Portfolio - Rajesh")</f>
        <v>Portfolio - Rajesh</v>
      </c>
      <c r="H592" s="4" t="str">
        <f>IFERROR(__xludf.DUMMYFUNCTION("""COMPUTED_VALUE"""),"ONIAVRBV7")</f>
        <v>ONIAVRBV7</v>
      </c>
      <c r="I592" s="5">
        <f>IFERROR(__xludf.DUMMYFUNCTION("""COMPUTED_VALUE"""),29.0)</f>
        <v>29</v>
      </c>
      <c r="J592" s="4" t="str">
        <f>IFERROR(__xludf.DUMMYFUNCTION("""COMPUTED_VALUE"""),"Tier 3")</f>
        <v>Tier 3</v>
      </c>
      <c r="K592" s="4" t="str">
        <f>IFERROR(__xludf.DUMMYFUNCTION("""COMPUTED_VALUE"""),"Active")</f>
        <v>Active</v>
      </c>
      <c r="L592" s="4" t="str">
        <f>IFERROR(__xludf.DUMMYFUNCTION("""COMPUTED_VALUE"""),"BigQuery")</f>
        <v>BigQuery</v>
      </c>
    </row>
    <row r="593">
      <c r="A593" s="4" t="str">
        <f>IFERROR(__xludf.DUMMYFUNCTION("""COMPUTED_VALUE"""),"DMSI0087")</f>
        <v>DMSI0087</v>
      </c>
      <c r="B593" s="4" t="str">
        <f>IFERROR(__xludf.DUMMYFUNCTION("""COMPUTED_VALUE"""),"Bala Manikanta Divvela")</f>
        <v>Bala Manikanta Divvela</v>
      </c>
      <c r="C593" s="4" t="str">
        <f>IFERROR(__xludf.DUMMYFUNCTION("""COMPUTED_VALUE"""),"bala.divvela@onixnet.com")</f>
        <v>bala.divvela@onixnet.com</v>
      </c>
      <c r="D593" s="4" t="str">
        <f>IFERROR(__xludf.DUMMYFUNCTION("""COMPUTED_VALUE"""),"Active")</f>
        <v>Active</v>
      </c>
      <c r="E593" s="4" t="str">
        <f>IFERROR(__xludf.DUMMYFUNCTION("""COMPUTED_VALUE"""),"Services")</f>
        <v>Services</v>
      </c>
      <c r="F593" s="4" t="str">
        <f>IFERROR(__xludf.DUMMYFUNCTION("""COMPUTED_VALUE"""),"Vrushali Srivastava")</f>
        <v>Vrushali Srivastava</v>
      </c>
      <c r="G593" s="4" t="str">
        <f>IFERROR(__xludf.DUMMYFUNCTION("""COMPUTED_VALUE"""),"Portfolio - Rajesh")</f>
        <v>Portfolio - Rajesh</v>
      </c>
      <c r="H593" s="4" t="str">
        <f>IFERROR(__xludf.DUMMYFUNCTION("""COMPUTED_VALUE"""),"ONIBDGVS7")</f>
        <v>ONIBDGVS7</v>
      </c>
      <c r="I593" s="5">
        <f>IFERROR(__xludf.DUMMYFUNCTION("""COMPUTED_VALUE"""),44.0)</f>
        <v>44</v>
      </c>
      <c r="J593" s="4" t="str">
        <f>IFERROR(__xludf.DUMMYFUNCTION("""COMPUTED_VALUE"""),"Tier 2")</f>
        <v>Tier 2</v>
      </c>
      <c r="K593" s="4" t="str">
        <f>IFERROR(__xludf.DUMMYFUNCTION("""COMPUTED_VALUE"""),"Active")</f>
        <v>Active</v>
      </c>
      <c r="L593" s="4" t="str">
        <f>IFERROR(__xludf.DUMMYFUNCTION("""COMPUTED_VALUE"""),"Gemini Enterprise Agent Platform")</f>
        <v>Gemini Enterprise Agent Platform</v>
      </c>
    </row>
    <row r="594">
      <c r="A594" s="4" t="str">
        <f>IFERROR(__xludf.DUMMYFUNCTION("""COMPUTED_VALUE"""),"ONIX271")</f>
        <v>ONIX271</v>
      </c>
      <c r="B594" s="4" t="str">
        <f>IFERROR(__xludf.DUMMYFUNCTION("""COMPUTED_VALUE"""),"Benjamin Falaschi")</f>
        <v>Benjamin Falaschi</v>
      </c>
      <c r="C594" s="4" t="str">
        <f>IFERROR(__xludf.DUMMYFUNCTION("""COMPUTED_VALUE"""),"benjamin.falaschi@onixnet.com")</f>
        <v>benjamin.falaschi@onixnet.com</v>
      </c>
      <c r="D594" s="4" t="str">
        <f>IFERROR(__xludf.DUMMYFUNCTION("""COMPUTED_VALUE"""),"Active")</f>
        <v>Active</v>
      </c>
      <c r="E594" s="4" t="str">
        <f>IFERROR(__xludf.DUMMYFUNCTION("""COMPUTED_VALUE"""),"Services")</f>
        <v>Services</v>
      </c>
      <c r="F594" s="4" t="str">
        <f>IFERROR(__xludf.DUMMYFUNCTION("""COMPUTED_VALUE"""),"Anurag Mynam")</f>
        <v>Anurag Mynam</v>
      </c>
      <c r="G594" s="4" t="str">
        <f>IFERROR(__xludf.DUMMYFUNCTION("""COMPUTED_VALUE"""),"Portfolio - Thomas (AI)")</f>
        <v>Portfolio - Thomas (AI)</v>
      </c>
      <c r="H594" s="4" t="str">
        <f>IFERROR(__xludf.DUMMYFUNCTION("""COMPUTED_VALUE"""),"ONIBFEAM4")</f>
        <v>ONIBFEAM4</v>
      </c>
      <c r="I594" s="5">
        <f>IFERROR(__xludf.DUMMYFUNCTION("""COMPUTED_VALUE"""),83.0)</f>
        <v>83</v>
      </c>
      <c r="J594" s="4" t="str">
        <f>IFERROR(__xludf.DUMMYFUNCTION("""COMPUTED_VALUE"""),"Tier 1")</f>
        <v>Tier 1</v>
      </c>
      <c r="K594" s="4" t="str">
        <f>IFERROR(__xludf.DUMMYFUNCTION("""COMPUTED_VALUE"""),"Active")</f>
        <v>Active</v>
      </c>
      <c r="L594" s="4" t="str">
        <f>IFERROR(__xludf.DUMMYFUNCTION("""COMPUTED_VALUE"""),"Gemini Enterprise Agent Platform")</f>
        <v>Gemini Enterprise Agent Platform</v>
      </c>
    </row>
    <row r="595">
      <c r="A595" s="4" t="str">
        <f>IFERROR(__xludf.DUMMYFUNCTION("""COMPUTED_VALUE"""),"ONIX018")</f>
        <v>ONIX018</v>
      </c>
      <c r="B595" s="4" t="str">
        <f>IFERROR(__xludf.DUMMYFUNCTION("""COMPUTED_VALUE"""),"Brian Mansell")</f>
        <v>Brian Mansell</v>
      </c>
      <c r="C595" s="4" t="str">
        <f>IFERROR(__xludf.DUMMYFUNCTION("""COMPUTED_VALUE"""),"brian@onixnet.com")</f>
        <v>brian@onixnet.com</v>
      </c>
      <c r="D595" s="4" t="str">
        <f>IFERROR(__xludf.DUMMYFUNCTION("""COMPUTED_VALUE"""),"Active")</f>
        <v>Active</v>
      </c>
      <c r="E595" s="4" t="str">
        <f>IFERROR(__xludf.DUMMYFUNCTION("""COMPUTED_VALUE"""),"Sales")</f>
        <v>Sales</v>
      </c>
      <c r="F595" s="4" t="str">
        <f>IFERROR(__xludf.DUMMYFUNCTION("""COMPUTED_VALUE"""),"Sanjiv Chawla")</f>
        <v>Sanjiv Chawla</v>
      </c>
      <c r="G595" s="4" t="str">
        <f>IFERROR(__xludf.DUMMYFUNCTION("""COMPUTED_VALUE"""),"Portfolio - Ankur (Sales)")</f>
        <v>Portfolio - Ankur (Sales)</v>
      </c>
      <c r="H595" s="4" t="str">
        <f>IFERROR(__xludf.DUMMYFUNCTION("""COMPUTED_VALUE"""),"ONIBMOYG4")</f>
        <v>ONIBMOYG4</v>
      </c>
      <c r="I595" s="5">
        <f>IFERROR(__xludf.DUMMYFUNCTION("""COMPUTED_VALUE"""),0.0)</f>
        <v>0</v>
      </c>
      <c r="J595" s="4" t="str">
        <f>IFERROR(__xludf.DUMMYFUNCTION("""COMPUTED_VALUE"""),"Tier 4")</f>
        <v>Tier 4</v>
      </c>
      <c r="K595" s="4" t="str">
        <f>IFERROR(__xludf.DUMMYFUNCTION("""COMPUTED_VALUE"""),"ID Created DRP score 0")</f>
        <v>ID Created DRP score 0</v>
      </c>
      <c r="L595" s="4"/>
    </row>
    <row r="596">
      <c r="A596" s="4" t="str">
        <f>IFERROR(__xludf.DUMMYFUNCTION("""COMPUTED_VALUE"""),"ONIX252")</f>
        <v>ONIX252</v>
      </c>
      <c r="B596" s="4" t="str">
        <f>IFERROR(__xludf.DUMMYFUNCTION("""COMPUTED_VALUE"""),"Brittany Yee")</f>
        <v>Brittany Yee</v>
      </c>
      <c r="C596" s="4" t="str">
        <f>IFERROR(__xludf.DUMMYFUNCTION("""COMPUTED_VALUE"""),"yee@onixnet.com")</f>
        <v>yee@onixnet.com</v>
      </c>
      <c r="D596" s="4" t="str">
        <f>IFERROR(__xludf.DUMMYFUNCTION("""COMPUTED_VALUE"""),"Active")</f>
        <v>Active</v>
      </c>
      <c r="E596" s="4" t="str">
        <f>IFERROR(__xludf.DUMMYFUNCTION("""COMPUTED_VALUE"""),"Services")</f>
        <v>Services</v>
      </c>
      <c r="F596" s="4" t="str">
        <f>IFERROR(__xludf.DUMMYFUNCTION("""COMPUTED_VALUE"""),"Scott Fleming")</f>
        <v>Scott Fleming</v>
      </c>
      <c r="G596" s="4" t="str">
        <f>IFERROR(__xludf.DUMMYFUNCTION("""COMPUTED_VALUE"""),"Portfolio - Scott")</f>
        <v>Portfolio - Scott</v>
      </c>
      <c r="H596" s="4" t="str">
        <f>IFERROR(__xludf.DUMMYFUNCTION("""COMPUTED_VALUE"""),"ONIBYNZY0")</f>
        <v>ONIBYNZY0</v>
      </c>
      <c r="I596" s="5">
        <f>IFERROR(__xludf.DUMMYFUNCTION("""COMPUTED_VALUE"""),5.0)</f>
        <v>5</v>
      </c>
      <c r="J596" s="4" t="str">
        <f>IFERROR(__xludf.DUMMYFUNCTION("""COMPUTED_VALUE"""),"Tier 4")</f>
        <v>Tier 4</v>
      </c>
      <c r="K596" s="4" t="str">
        <f>IFERROR(__xludf.DUMMYFUNCTION("""COMPUTED_VALUE"""),"Active")</f>
        <v>Active</v>
      </c>
      <c r="L596" s="4" t="str">
        <f>IFERROR(__xludf.DUMMYFUNCTION("""COMPUTED_VALUE"""),"BigQuery")</f>
        <v>BigQuery</v>
      </c>
    </row>
    <row r="597">
      <c r="A597" s="4" t="str">
        <f>IFERROR(__xludf.DUMMYFUNCTION("""COMPUTED_VALUE"""),"ONIX465")</f>
        <v>ONIX465</v>
      </c>
      <c r="B597" s="4" t="str">
        <f>IFERROR(__xludf.DUMMYFUNCTION("""COMPUTED_VALUE"""),"Caitlyn Calvey")</f>
        <v>Caitlyn Calvey</v>
      </c>
      <c r="C597" s="4" t="str">
        <f>IFERROR(__xludf.DUMMYFUNCTION("""COMPUTED_VALUE"""),"caitlyn.calvey@onixnet.com")</f>
        <v>caitlyn.calvey@onixnet.com</v>
      </c>
      <c r="D597" s="4" t="str">
        <f>IFERROR(__xludf.DUMMYFUNCTION("""COMPUTED_VALUE"""),"Active")</f>
        <v>Active</v>
      </c>
      <c r="E597" s="4" t="str">
        <f>IFERROR(__xludf.DUMMYFUNCTION("""COMPUTED_VALUE"""),"Sales")</f>
        <v>Sales</v>
      </c>
      <c r="F597" s="4" t="str">
        <f>IFERROR(__xludf.DUMMYFUNCTION("""COMPUTED_VALUE"""),"Samantha Schreiber")</f>
        <v>Samantha Schreiber</v>
      </c>
      <c r="G597" s="4" t="str">
        <f>IFERROR(__xludf.DUMMYFUNCTION("""COMPUTED_VALUE"""),"Portfolio - Ankur (Sales)")</f>
        <v>Portfolio - Ankur (Sales)</v>
      </c>
      <c r="H597" s="4"/>
      <c r="I597" s="5"/>
      <c r="J597" s="4"/>
      <c r="K597" s="4" t="str">
        <f>IFERROR(__xludf.DUMMYFUNCTION("""COMPUTED_VALUE"""),"ID Not Created")</f>
        <v>ID Not Created</v>
      </c>
      <c r="L597" s="4"/>
    </row>
    <row r="598">
      <c r="A598" s="4" t="str">
        <f>IFERROR(__xludf.DUMMYFUNCTION("""COMPUTED_VALUE"""),"ONIX491")</f>
        <v>ONIX491</v>
      </c>
      <c r="B598" s="4" t="str">
        <f>IFERROR(__xludf.DUMMYFUNCTION("""COMPUTED_VALUE"""),"Chinu Lee")</f>
        <v>Chinu Lee</v>
      </c>
      <c r="C598" s="4" t="str">
        <f>IFERROR(__xludf.DUMMYFUNCTION("""COMPUTED_VALUE"""),"chinu.lee@onixnet.com")</f>
        <v>chinu.lee@onixnet.com</v>
      </c>
      <c r="D598" s="4" t="str">
        <f>IFERROR(__xludf.DUMMYFUNCTION("""COMPUTED_VALUE"""),"Active")</f>
        <v>Active</v>
      </c>
      <c r="E598" s="4" t="str">
        <f>IFERROR(__xludf.DUMMYFUNCTION("""COMPUTED_VALUE"""),"Services")</f>
        <v>Services</v>
      </c>
      <c r="F598" s="4" t="str">
        <f>IFERROR(__xludf.DUMMYFUNCTION("""COMPUTED_VALUE"""),"Anurag Mynam")</f>
        <v>Anurag Mynam</v>
      </c>
      <c r="G598" s="4" t="str">
        <f>IFERROR(__xludf.DUMMYFUNCTION("""COMPUTED_VALUE"""),"Portfolio - Thomas (AI)")</f>
        <v>Portfolio - Thomas (AI)</v>
      </c>
      <c r="H598" s="4" t="str">
        <f>IFERROR(__xludf.DUMMYFUNCTION("""COMPUTED_VALUE"""),"ONICLYNA8")</f>
        <v>ONICLYNA8</v>
      </c>
      <c r="I598" s="5">
        <f>IFERROR(__xludf.DUMMYFUNCTION("""COMPUTED_VALUE"""),24.0)</f>
        <v>24</v>
      </c>
      <c r="J598" s="4" t="str">
        <f>IFERROR(__xludf.DUMMYFUNCTION("""COMPUTED_VALUE"""),"Tier 3")</f>
        <v>Tier 3</v>
      </c>
      <c r="K598" s="4" t="str">
        <f>IFERROR(__xludf.DUMMYFUNCTION("""COMPUTED_VALUE"""),"Active")</f>
        <v>Active</v>
      </c>
      <c r="L598" s="4" t="str">
        <f>IFERROR(__xludf.DUMMYFUNCTION("""COMPUTED_VALUE"""),"BigQuery")</f>
        <v>BigQuery</v>
      </c>
    </row>
    <row r="599">
      <c r="A599" s="4" t="str">
        <f>IFERROR(__xludf.DUMMYFUNCTION("""COMPUTED_VALUE"""),"ONIX139")</f>
        <v>ONIX139</v>
      </c>
      <c r="B599" s="4" t="str">
        <f>IFERROR(__xludf.DUMMYFUNCTION("""COMPUTED_VALUE"""),"Courtney Cline")</f>
        <v>Courtney Cline</v>
      </c>
      <c r="C599" s="4" t="str">
        <f>IFERROR(__xludf.DUMMYFUNCTION("""COMPUTED_VALUE"""),"cline@onixnet.com")</f>
        <v>cline@onixnet.com</v>
      </c>
      <c r="D599" s="4" t="str">
        <f>IFERROR(__xludf.DUMMYFUNCTION("""COMPUTED_VALUE"""),"Active")</f>
        <v>Active</v>
      </c>
      <c r="E599" s="4" t="str">
        <f>IFERROR(__xludf.DUMMYFUNCTION("""COMPUTED_VALUE"""),"Services")</f>
        <v>Services</v>
      </c>
      <c r="F599" s="4" t="str">
        <f>IFERROR(__xludf.DUMMYFUNCTION("""COMPUTED_VALUE"""),"Scott Fleming")</f>
        <v>Scott Fleming</v>
      </c>
      <c r="G599" s="4" t="str">
        <f>IFERROR(__xludf.DUMMYFUNCTION("""COMPUTED_VALUE"""),"Portfolio - Scott")</f>
        <v>Portfolio - Scott</v>
      </c>
      <c r="H599" s="4" t="str">
        <f>IFERROR(__xludf.DUMMYFUNCTION("""COMPUTED_VALUE"""),"ONICCCQE8")</f>
        <v>ONICCCQE8</v>
      </c>
      <c r="I599" s="5">
        <f>IFERROR(__xludf.DUMMYFUNCTION("""COMPUTED_VALUE"""),34.0)</f>
        <v>34</v>
      </c>
      <c r="J599" s="4" t="str">
        <f>IFERROR(__xludf.DUMMYFUNCTION("""COMPUTED_VALUE"""),"Tier 3")</f>
        <v>Tier 3</v>
      </c>
      <c r="K599" s="4" t="str">
        <f>IFERROR(__xludf.DUMMYFUNCTION("""COMPUTED_VALUE"""),"Active")</f>
        <v>Active</v>
      </c>
      <c r="L599" s="4" t="str">
        <f>IFERROR(__xludf.DUMMYFUNCTION("""COMPUTED_VALUE"""),"Cloud SQL")</f>
        <v>Cloud SQL</v>
      </c>
    </row>
    <row r="600">
      <c r="A600" s="4" t="str">
        <f>IFERROR(__xludf.DUMMYFUNCTION("""COMPUTED_VALUE"""),"ONIX482")</f>
        <v>ONIX482</v>
      </c>
      <c r="B600" s="4" t="str">
        <f>IFERROR(__xludf.DUMMYFUNCTION("""COMPUTED_VALUE"""),"Daniel Ehlers")</f>
        <v>Daniel Ehlers</v>
      </c>
      <c r="C600" s="4" t="str">
        <f>IFERROR(__xludf.DUMMYFUNCTION("""COMPUTED_VALUE"""),"dan.ehlers@onixnet.com")</f>
        <v>dan.ehlers@onixnet.com</v>
      </c>
      <c r="D600" s="4" t="str">
        <f>IFERROR(__xludf.DUMMYFUNCTION("""COMPUTED_VALUE"""),"Active")</f>
        <v>Active</v>
      </c>
      <c r="E600" s="4" t="str">
        <f>IFERROR(__xludf.DUMMYFUNCTION("""COMPUTED_VALUE"""),"Services")</f>
        <v>Services</v>
      </c>
      <c r="F600" s="4" t="str">
        <f>IFERROR(__xludf.DUMMYFUNCTION("""COMPUTED_VALUE"""),"Anurag Mynam")</f>
        <v>Anurag Mynam</v>
      </c>
      <c r="G600" s="4" t="str">
        <f>IFERROR(__xludf.DUMMYFUNCTION("""COMPUTED_VALUE"""),"Portfolio - Thomas (AI)")</f>
        <v>Portfolio - Thomas (AI)</v>
      </c>
      <c r="H600" s="4" t="str">
        <f>IFERROR(__xludf.DUMMYFUNCTION("""COMPUTED_VALUE"""),"ONIDEOMJ0")</f>
        <v>ONIDEOMJ0</v>
      </c>
      <c r="I600" s="5">
        <f>IFERROR(__xludf.DUMMYFUNCTION("""COMPUTED_VALUE"""),34.0)</f>
        <v>34</v>
      </c>
      <c r="J600" s="4" t="str">
        <f>IFERROR(__xludf.DUMMYFUNCTION("""COMPUTED_VALUE"""),"Tier 3")</f>
        <v>Tier 3</v>
      </c>
      <c r="K600" s="4" t="str">
        <f>IFERROR(__xludf.DUMMYFUNCTION("""COMPUTED_VALUE"""),"Active")</f>
        <v>Active</v>
      </c>
      <c r="L600" s="4" t="str">
        <f>IFERROR(__xludf.DUMMYFUNCTION("""COMPUTED_VALUE"""),"Gemini Enterprise Agent Platform")</f>
        <v>Gemini Enterprise Agent Platform</v>
      </c>
    </row>
    <row r="601">
      <c r="A601" s="4" t="str">
        <f>IFERROR(__xludf.DUMMYFUNCTION("""COMPUTED_VALUE"""),"ONIX463")</f>
        <v>ONIX463</v>
      </c>
      <c r="B601" s="4" t="str">
        <f>IFERROR(__xludf.DUMMYFUNCTION("""COMPUTED_VALUE"""),"Darci Sather")</f>
        <v>Darci Sather</v>
      </c>
      <c r="C601" s="4" t="str">
        <f>IFERROR(__xludf.DUMMYFUNCTION("""COMPUTED_VALUE"""),"darci.sather@onixnet.com")</f>
        <v>darci.sather@onixnet.com</v>
      </c>
      <c r="D601" s="4" t="str">
        <f>IFERROR(__xludf.DUMMYFUNCTION("""COMPUTED_VALUE"""),"Active")</f>
        <v>Active</v>
      </c>
      <c r="E601" s="4" t="str">
        <f>IFERROR(__xludf.DUMMYFUNCTION("""COMPUTED_VALUE"""),"Sales")</f>
        <v>Sales</v>
      </c>
      <c r="F601" s="4" t="str">
        <f>IFERROR(__xludf.DUMMYFUNCTION("""COMPUTED_VALUE"""),"Samantha Schreiber")</f>
        <v>Samantha Schreiber</v>
      </c>
      <c r="G601" s="4" t="str">
        <f>IFERROR(__xludf.DUMMYFUNCTION("""COMPUTED_VALUE"""),"Portfolio - Ankur (Sales)")</f>
        <v>Portfolio - Ankur (Sales)</v>
      </c>
      <c r="H601" s="4"/>
      <c r="I601" s="5"/>
      <c r="J601" s="4"/>
      <c r="K601" s="4" t="str">
        <f>IFERROR(__xludf.DUMMYFUNCTION("""COMPUTED_VALUE"""),"ID Not Created")</f>
        <v>ID Not Created</v>
      </c>
      <c r="L601" s="4"/>
    </row>
    <row r="602">
      <c r="A602" s="4" t="str">
        <f>IFERROR(__xludf.DUMMYFUNCTION("""COMPUTED_VALUE"""),"ONIX593")</f>
        <v>ONIX593</v>
      </c>
      <c r="B602" s="4" t="str">
        <f>IFERROR(__xludf.DUMMYFUNCTION("""COMPUTED_VALUE"""),"David Hoff")</f>
        <v>David Hoff</v>
      </c>
      <c r="C602" s="4" t="str">
        <f>IFERROR(__xludf.DUMMYFUNCTION("""COMPUTED_VALUE"""),"david.hoff@onixnet.com")</f>
        <v>david.hoff@onixnet.com</v>
      </c>
      <c r="D602" s="4" t="str">
        <f>IFERROR(__xludf.DUMMYFUNCTION("""COMPUTED_VALUE"""),"Active")</f>
        <v>Active</v>
      </c>
      <c r="E602" s="4" t="str">
        <f>IFERROR(__xludf.DUMMYFUNCTION("""COMPUTED_VALUE"""),"Sales")</f>
        <v>Sales</v>
      </c>
      <c r="F602" s="4" t="str">
        <f>IFERROR(__xludf.DUMMYFUNCTION("""COMPUTED_VALUE"""),"Scott Fleming")</f>
        <v>Scott Fleming</v>
      </c>
      <c r="G602" s="4" t="str">
        <f>IFERROR(__xludf.DUMMYFUNCTION("""COMPUTED_VALUE"""),"Portfolio - Scott")</f>
        <v>Portfolio - Scott</v>
      </c>
      <c r="H602" s="4" t="str">
        <f>IFERROR(__xludf.DUMMYFUNCTION("""COMPUTED_VALUE"""),"ONIDHCYS6")</f>
        <v>ONIDHCYS6</v>
      </c>
      <c r="I602" s="5">
        <f>IFERROR(__xludf.DUMMYFUNCTION("""COMPUTED_VALUE"""),14.0)</f>
        <v>14</v>
      </c>
      <c r="J602" s="4" t="str">
        <f>IFERROR(__xludf.DUMMYFUNCTION("""COMPUTED_VALUE"""),"Tier 4")</f>
        <v>Tier 4</v>
      </c>
      <c r="K602" s="4" t="str">
        <f>IFERROR(__xludf.DUMMYFUNCTION("""COMPUTED_VALUE"""),"Active")</f>
        <v>Active</v>
      </c>
      <c r="L602" s="4" t="str">
        <f>IFERROR(__xludf.DUMMYFUNCTION("""COMPUTED_VALUE"""),"Gemini Enterprise")</f>
        <v>Gemini Enterprise</v>
      </c>
    </row>
    <row r="603">
      <c r="A603" s="4" t="str">
        <f>IFERROR(__xludf.DUMMYFUNCTION("""COMPUTED_VALUE"""),"ONIX626")</f>
        <v>ONIX626</v>
      </c>
      <c r="B603" s="4" t="str">
        <f>IFERROR(__xludf.DUMMYFUNCTION("""COMPUTED_VALUE"""),"David Noudaranouvong")</f>
        <v>David Noudaranouvong</v>
      </c>
      <c r="C603" s="4" t="str">
        <f>IFERROR(__xludf.DUMMYFUNCTION("""COMPUTED_VALUE"""),"david.noudaranouvong@onixnet.com")</f>
        <v>david.noudaranouvong@onixnet.com</v>
      </c>
      <c r="D603" s="4" t="str">
        <f>IFERROR(__xludf.DUMMYFUNCTION("""COMPUTED_VALUE"""),"Active")</f>
        <v>Active</v>
      </c>
      <c r="E603" s="4" t="str">
        <f>IFERROR(__xludf.DUMMYFUNCTION("""COMPUTED_VALUE"""),"Services")</f>
        <v>Services</v>
      </c>
      <c r="F603" s="4" t="str">
        <f>IFERROR(__xludf.DUMMYFUNCTION("""COMPUTED_VALUE"""),"Courtney Cline")</f>
        <v>Courtney Cline</v>
      </c>
      <c r="G603" s="4" t="str">
        <f>IFERROR(__xludf.DUMMYFUNCTION("""COMPUTED_VALUE"""),"Portfolio - Courtney (US East)")</f>
        <v>Portfolio - Courtney (US East)</v>
      </c>
      <c r="H603" s="4" t="str">
        <f>IFERROR(__xludf.DUMMYFUNCTION("""COMPUTED_VALUE"""),"ONIDNJDI6")</f>
        <v>ONIDNJDI6</v>
      </c>
      <c r="I603" s="5">
        <f>IFERROR(__xludf.DUMMYFUNCTION("""COMPUTED_VALUE"""),15.0)</f>
        <v>15</v>
      </c>
      <c r="J603" s="4" t="str">
        <f>IFERROR(__xludf.DUMMYFUNCTION("""COMPUTED_VALUE"""),"Tier 4")</f>
        <v>Tier 4</v>
      </c>
      <c r="K603" s="4" t="str">
        <f>IFERROR(__xludf.DUMMYFUNCTION("""COMPUTED_VALUE"""),"Active")</f>
        <v>Active</v>
      </c>
      <c r="L603" s="4" t="str">
        <f>IFERROR(__xludf.DUMMYFUNCTION("""COMPUTED_VALUE"""),"GECX - Agent Assist")</f>
        <v>GECX - Agent Assist</v>
      </c>
    </row>
    <row r="604">
      <c r="A604" s="4" t="str">
        <f>IFERROR(__xludf.DUMMYFUNCTION("""COMPUTED_VALUE"""),"ONIX277")</f>
        <v>ONIX277</v>
      </c>
      <c r="B604" s="4" t="str">
        <f>IFERROR(__xludf.DUMMYFUNCTION("""COMPUTED_VALUE"""),"Deirdre McNamara")</f>
        <v>Deirdre McNamara</v>
      </c>
      <c r="C604" s="4" t="str">
        <f>IFERROR(__xludf.DUMMYFUNCTION("""COMPUTED_VALUE"""),"deirdre.mcnamara@onixnet.com")</f>
        <v>deirdre.mcnamara@onixnet.com</v>
      </c>
      <c r="D604" s="4" t="str">
        <f>IFERROR(__xludf.DUMMYFUNCTION("""COMPUTED_VALUE"""),"Active")</f>
        <v>Active</v>
      </c>
      <c r="E604" s="4" t="str">
        <f>IFERROR(__xludf.DUMMYFUNCTION("""COMPUTED_VALUE"""),"Sales")</f>
        <v>Sales</v>
      </c>
      <c r="F604" s="4" t="str">
        <f>IFERROR(__xludf.DUMMYFUNCTION("""COMPUTED_VALUE"""),"Samantha Schreiber")</f>
        <v>Samantha Schreiber</v>
      </c>
      <c r="G604" s="4" t="str">
        <f>IFERROR(__xludf.DUMMYFUNCTION("""COMPUTED_VALUE"""),"Portfolio - Ankur (Sales)")</f>
        <v>Portfolio - Ankur (Sales)</v>
      </c>
      <c r="H604" s="4"/>
      <c r="I604" s="5"/>
      <c r="J604" s="4"/>
      <c r="K604" s="4" t="str">
        <f>IFERROR(__xludf.DUMMYFUNCTION("""COMPUTED_VALUE"""),"ID Not Created")</f>
        <v>ID Not Created</v>
      </c>
      <c r="L604" s="4"/>
    </row>
    <row r="605">
      <c r="A605" s="4" t="str">
        <f>IFERROR(__xludf.DUMMYFUNCTION("""COMPUTED_VALUE"""),"ONIX523")</f>
        <v>ONIX523</v>
      </c>
      <c r="B605" s="4" t="str">
        <f>IFERROR(__xludf.DUMMYFUNCTION("""COMPUTED_VALUE"""),"Eric Hole")</f>
        <v>Eric Hole</v>
      </c>
      <c r="C605" s="4" t="str">
        <f>IFERROR(__xludf.DUMMYFUNCTION("""COMPUTED_VALUE"""),"ehole@onixnet.com")</f>
        <v>ehole@onixnet.com</v>
      </c>
      <c r="D605" s="4" t="str">
        <f>IFERROR(__xludf.DUMMYFUNCTION("""COMPUTED_VALUE"""),"Active")</f>
        <v>Active</v>
      </c>
      <c r="E605" s="4" t="str">
        <f>IFERROR(__xludf.DUMMYFUNCTION("""COMPUTED_VALUE"""),"Services")</f>
        <v>Services</v>
      </c>
      <c r="F605" s="4" t="str">
        <f>IFERROR(__xludf.DUMMYFUNCTION("""COMPUTED_VALUE"""),"Patrick Schablitzki")</f>
        <v>Patrick Schablitzki</v>
      </c>
      <c r="G605" s="4" t="str">
        <f>IFERROR(__xludf.DUMMYFUNCTION("""COMPUTED_VALUE"""),"Portfolio - Patrick")</f>
        <v>Portfolio - Patrick</v>
      </c>
      <c r="H605" s="4" t="str">
        <f>IFERROR(__xludf.DUMMYFUNCTION("""COMPUTED_VALUE"""),"ONIEHLUZ8")</f>
        <v>ONIEHLUZ8</v>
      </c>
      <c r="I605" s="5">
        <f>IFERROR(__xludf.DUMMYFUNCTION("""COMPUTED_VALUE"""),34.0)</f>
        <v>34</v>
      </c>
      <c r="J605" s="4" t="str">
        <f>IFERROR(__xludf.DUMMYFUNCTION("""COMPUTED_VALUE"""),"Tier 3")</f>
        <v>Tier 3</v>
      </c>
      <c r="K605" s="4" t="str">
        <f>IFERROR(__xludf.DUMMYFUNCTION("""COMPUTED_VALUE"""),"Active")</f>
        <v>Active</v>
      </c>
      <c r="L605" s="4" t="str">
        <f>IFERROR(__xludf.DUMMYFUNCTION("""COMPUTED_VALUE"""),"Google Compute Engine")</f>
        <v>Google Compute Engine</v>
      </c>
    </row>
    <row r="606">
      <c r="A606" s="4" t="str">
        <f>IFERROR(__xludf.DUMMYFUNCTION("""COMPUTED_VALUE"""),"ONIX623")</f>
        <v>ONIX623</v>
      </c>
      <c r="B606" s="4" t="str">
        <f>IFERROR(__xludf.DUMMYFUNCTION("""COMPUTED_VALUE"""),"Francesco Leone")</f>
        <v>Francesco Leone</v>
      </c>
      <c r="C606" s="4" t="str">
        <f>IFERROR(__xludf.DUMMYFUNCTION("""COMPUTED_VALUE"""),"francesco.leone@onixnet.com")</f>
        <v>francesco.leone@onixnet.com</v>
      </c>
      <c r="D606" s="4" t="str">
        <f>IFERROR(__xludf.DUMMYFUNCTION("""COMPUTED_VALUE"""),"Active")</f>
        <v>Active</v>
      </c>
      <c r="E606" s="4" t="str">
        <f>IFERROR(__xludf.DUMMYFUNCTION("""COMPUTED_VALUE"""),"Services")</f>
        <v>Services</v>
      </c>
      <c r="F606" s="4" t="str">
        <f>IFERROR(__xludf.DUMMYFUNCTION("""COMPUTED_VALUE"""),"Kyle Clark")</f>
        <v>Kyle Clark</v>
      </c>
      <c r="G606" s="4" t="str">
        <f>IFERROR(__xludf.DUMMYFUNCTION("""COMPUTED_VALUE"""),"Portfolio - Thomas (AI)")</f>
        <v>Portfolio - Thomas (AI)</v>
      </c>
      <c r="H606" s="4" t="str">
        <f>IFERROR(__xludf.DUMMYFUNCTION("""COMPUTED_VALUE"""),"ONIFLXXA9")</f>
        <v>ONIFLXXA9</v>
      </c>
      <c r="I606" s="5">
        <f>IFERROR(__xludf.DUMMYFUNCTION("""COMPUTED_VALUE"""),9.0)</f>
        <v>9</v>
      </c>
      <c r="J606" s="4" t="str">
        <f>IFERROR(__xludf.DUMMYFUNCTION("""COMPUTED_VALUE"""),"Tier 4")</f>
        <v>Tier 4</v>
      </c>
      <c r="K606" s="4" t="str">
        <f>IFERROR(__xludf.DUMMYFUNCTION("""COMPUTED_VALUE"""),"Active")</f>
        <v>Active</v>
      </c>
      <c r="L606" s="4" t="str">
        <f>IFERROR(__xludf.DUMMYFUNCTION("""COMPUTED_VALUE"""),"GECX - Agent Assist")</f>
        <v>GECX - Agent Assist</v>
      </c>
    </row>
    <row r="607">
      <c r="A607" s="4" t="str">
        <f>IFERROR(__xludf.DUMMYFUNCTION("""COMPUTED_VALUE"""),"ONIX454")</f>
        <v>ONIX454</v>
      </c>
      <c r="B607" s="4" t="str">
        <f>IFERROR(__xludf.DUMMYFUNCTION("""COMPUTED_VALUE"""),"Hadiel Jassim")</f>
        <v>Hadiel Jassim</v>
      </c>
      <c r="C607" s="4" t="str">
        <f>IFERROR(__xludf.DUMMYFUNCTION("""COMPUTED_VALUE"""),"hadiel.jassim@onixnet.com")</f>
        <v>hadiel.jassim@onixnet.com</v>
      </c>
      <c r="D607" s="4" t="str">
        <f>IFERROR(__xludf.DUMMYFUNCTION("""COMPUTED_VALUE"""),"Active")</f>
        <v>Active</v>
      </c>
      <c r="E607" s="4" t="str">
        <f>IFERROR(__xludf.DUMMYFUNCTION("""COMPUTED_VALUE"""),"Services")</f>
        <v>Services</v>
      </c>
      <c r="F607" s="4" t="str">
        <f>IFERROR(__xludf.DUMMYFUNCTION("""COMPUTED_VALUE"""),"Anurag Mynam")</f>
        <v>Anurag Mynam</v>
      </c>
      <c r="G607" s="4" t="str">
        <f>IFERROR(__xludf.DUMMYFUNCTION("""COMPUTED_VALUE"""),"Portfolio - Thomas (AI)")</f>
        <v>Portfolio - Thomas (AI)</v>
      </c>
      <c r="H607" s="4" t="str">
        <f>IFERROR(__xludf.DUMMYFUNCTION("""COMPUTED_VALUE"""),"ONIHJVVS7")</f>
        <v>ONIHJVVS7</v>
      </c>
      <c r="I607" s="5">
        <f>IFERROR(__xludf.DUMMYFUNCTION("""COMPUTED_VALUE"""),9.0)</f>
        <v>9</v>
      </c>
      <c r="J607" s="4" t="str">
        <f>IFERROR(__xludf.DUMMYFUNCTION("""COMPUTED_VALUE"""),"Tier 4")</f>
        <v>Tier 4</v>
      </c>
      <c r="K607" s="4" t="str">
        <f>IFERROR(__xludf.DUMMYFUNCTION("""COMPUTED_VALUE"""),"Active")</f>
        <v>Active</v>
      </c>
      <c r="L607" s="4" t="str">
        <f>IFERROR(__xludf.DUMMYFUNCTION("""COMPUTED_VALUE"""),"Google Compute Engine")</f>
        <v>Google Compute Engine</v>
      </c>
    </row>
    <row r="608">
      <c r="A608" s="4" t="str">
        <f>IFERROR(__xludf.DUMMYFUNCTION("""COMPUTED_VALUE"""),"ONIX423")</f>
        <v>ONIX423</v>
      </c>
      <c r="B608" s="4" t="str">
        <f>IFERROR(__xludf.DUMMYFUNCTION("""COMPUTED_VALUE"""),"Jack Boone")</f>
        <v>Jack Boone</v>
      </c>
      <c r="C608" s="4" t="str">
        <f>IFERROR(__xludf.DUMMYFUNCTION("""COMPUTED_VALUE"""),"jeb.boone@onixnet.com")</f>
        <v>jeb.boone@onixnet.com</v>
      </c>
      <c r="D608" s="4" t="str">
        <f>IFERROR(__xludf.DUMMYFUNCTION("""COMPUTED_VALUE"""),"Active")</f>
        <v>Active</v>
      </c>
      <c r="E608" s="4" t="str">
        <f>IFERROR(__xludf.DUMMYFUNCTION("""COMPUTED_VALUE"""),"Services")</f>
        <v>Services</v>
      </c>
      <c r="F608" s="4" t="str">
        <f>IFERROR(__xludf.DUMMYFUNCTION("""COMPUTED_VALUE"""),"LeePatrick McIntire")</f>
        <v>LeePatrick McIntire</v>
      </c>
      <c r="G608" s="4" t="str">
        <f>IFERROR(__xludf.DUMMYFUNCTION("""COMPUTED_VALUE"""),"Portfolio - Scott")</f>
        <v>Portfolio - Scott</v>
      </c>
      <c r="H608" s="4" t="str">
        <f>IFERROR(__xludf.DUMMYFUNCTION("""COMPUTED_VALUE"""),"ONIJBLMJ1")</f>
        <v>ONIJBLMJ1</v>
      </c>
      <c r="I608" s="5">
        <f>IFERROR(__xludf.DUMMYFUNCTION("""COMPUTED_VALUE"""),0.0)</f>
        <v>0</v>
      </c>
      <c r="J608" s="4" t="str">
        <f>IFERROR(__xludf.DUMMYFUNCTION("""COMPUTED_VALUE"""),"Tier 4")</f>
        <v>Tier 4</v>
      </c>
      <c r="K608" s="4" t="str">
        <f>IFERROR(__xludf.DUMMYFUNCTION("""COMPUTED_VALUE"""),"ID Created DRP score 0")</f>
        <v>ID Created DRP score 0</v>
      </c>
      <c r="L608" s="4"/>
    </row>
    <row r="609">
      <c r="A609" s="4" t="str">
        <f>IFERROR(__xludf.DUMMYFUNCTION("""COMPUTED_VALUE"""),"ONIX411")</f>
        <v>ONIX411</v>
      </c>
      <c r="B609" s="4" t="str">
        <f>IFERROR(__xludf.DUMMYFUNCTION("""COMPUTED_VALUE"""),"James Vandermost")</f>
        <v>James Vandermost</v>
      </c>
      <c r="C609" s="4" t="str">
        <f>IFERROR(__xludf.DUMMYFUNCTION("""COMPUTED_VALUE"""),"james.vandermost@onixnet.com")</f>
        <v>james.vandermost@onixnet.com</v>
      </c>
      <c r="D609" s="4" t="str">
        <f>IFERROR(__xludf.DUMMYFUNCTION("""COMPUTED_VALUE"""),"Active")</f>
        <v>Active</v>
      </c>
      <c r="E609" s="4" t="str">
        <f>IFERROR(__xludf.DUMMYFUNCTION("""COMPUTED_VALUE"""),"Services")</f>
        <v>Services</v>
      </c>
      <c r="F609" s="4" t="str">
        <f>IFERROR(__xludf.DUMMYFUNCTION("""COMPUTED_VALUE"""),"Thomas Kraus")</f>
        <v>Thomas Kraus</v>
      </c>
      <c r="G609" s="4" t="str">
        <f>IFERROR(__xludf.DUMMYFUNCTION("""COMPUTED_VALUE"""),"Portfolio - Thomas (AI)")</f>
        <v>Portfolio - Thomas (AI)</v>
      </c>
      <c r="H609" s="4" t="str">
        <f>IFERROR(__xludf.DUMMYFUNCTION("""COMPUTED_VALUE"""),"ONIJVVFB6")</f>
        <v>ONIJVVFB6</v>
      </c>
      <c r="I609" s="5">
        <f>IFERROR(__xludf.DUMMYFUNCTION("""COMPUTED_VALUE"""),19.0)</f>
        <v>19</v>
      </c>
      <c r="J609" s="4" t="str">
        <f>IFERROR(__xludf.DUMMYFUNCTION("""COMPUTED_VALUE"""),"Tier 4")</f>
        <v>Tier 4</v>
      </c>
      <c r="K609" s="4" t="str">
        <f>IFERROR(__xludf.DUMMYFUNCTION("""COMPUTED_VALUE"""),"Active")</f>
        <v>Active</v>
      </c>
      <c r="L609" s="4" t="str">
        <f>IFERROR(__xludf.DUMMYFUNCTION("""COMPUTED_VALUE"""),"AI Applications")</f>
        <v>AI Applications</v>
      </c>
    </row>
    <row r="610">
      <c r="A610" s="4" t="str">
        <f>IFERROR(__xludf.DUMMYFUNCTION("""COMPUTED_VALUE"""),"ONIX077")</f>
        <v>ONIX077</v>
      </c>
      <c r="B610" s="4" t="str">
        <f>IFERROR(__xludf.DUMMYFUNCTION("""COMPUTED_VALUE"""),"Jared Ramirez")</f>
        <v>Jared Ramirez</v>
      </c>
      <c r="C610" s="4" t="str">
        <f>IFERROR(__xludf.DUMMYFUNCTION("""COMPUTED_VALUE"""),"jared@onixnet.com")</f>
        <v>jared@onixnet.com</v>
      </c>
      <c r="D610" s="4" t="str">
        <f>IFERROR(__xludf.DUMMYFUNCTION("""COMPUTED_VALUE"""),"Active")</f>
        <v>Active</v>
      </c>
      <c r="E610" s="4" t="str">
        <f>IFERROR(__xludf.DUMMYFUNCTION("""COMPUTED_VALUE"""),"Sales")</f>
        <v>Sales</v>
      </c>
      <c r="F610" s="4" t="str">
        <f>IFERROR(__xludf.DUMMYFUNCTION("""COMPUTED_VALUE"""),"Scott Fleming")</f>
        <v>Scott Fleming</v>
      </c>
      <c r="G610" s="4" t="str">
        <f>IFERROR(__xludf.DUMMYFUNCTION("""COMPUTED_VALUE"""),"Portfolio - Ankur (Sales)")</f>
        <v>Portfolio - Ankur (Sales)</v>
      </c>
      <c r="H610" s="4"/>
      <c r="I610" s="5"/>
      <c r="J610" s="4"/>
      <c r="K610" s="4" t="str">
        <f>IFERROR(__xludf.DUMMYFUNCTION("""COMPUTED_VALUE"""),"ID Not Created")</f>
        <v>ID Not Created</v>
      </c>
      <c r="L610" s="4"/>
    </row>
    <row r="611">
      <c r="A611" s="4" t="str">
        <f>IFERROR(__xludf.DUMMYFUNCTION("""COMPUTED_VALUE"""),"ONIX516")</f>
        <v>ONIX516</v>
      </c>
      <c r="B611" s="4" t="str">
        <f>IFERROR(__xludf.DUMMYFUNCTION("""COMPUTED_VALUE"""),"Jeremiah Jenkins")</f>
        <v>Jeremiah Jenkins</v>
      </c>
      <c r="C611" s="4" t="str">
        <f>IFERROR(__xludf.DUMMYFUNCTION("""COMPUTED_VALUE"""),"jjenkins@onixnet.com")</f>
        <v>jjenkins@onixnet.com</v>
      </c>
      <c r="D611" s="4" t="str">
        <f>IFERROR(__xludf.DUMMYFUNCTION("""COMPUTED_VALUE"""),"Active")</f>
        <v>Active</v>
      </c>
      <c r="E611" s="4" t="str">
        <f>IFERROR(__xludf.DUMMYFUNCTION("""COMPUTED_VALUE"""),"Services")</f>
        <v>Services</v>
      </c>
      <c r="F611" s="4" t="str">
        <f>IFERROR(__xludf.DUMMYFUNCTION("""COMPUTED_VALUE"""),"Scott Fleming")</f>
        <v>Scott Fleming</v>
      </c>
      <c r="G611" s="4" t="str">
        <f>IFERROR(__xludf.DUMMYFUNCTION("""COMPUTED_VALUE"""),"Portfolio - Scott")</f>
        <v>Portfolio - Scott</v>
      </c>
      <c r="H611" s="4" t="str">
        <f>IFERROR(__xludf.DUMMYFUNCTION("""COMPUTED_VALUE"""),"ONIJJEVO1")</f>
        <v>ONIJJEVO1</v>
      </c>
      <c r="I611" s="5">
        <f>IFERROR(__xludf.DUMMYFUNCTION("""COMPUTED_VALUE"""),49.0)</f>
        <v>49</v>
      </c>
      <c r="J611" s="4" t="str">
        <f>IFERROR(__xludf.DUMMYFUNCTION("""COMPUTED_VALUE"""),"Tier 2")</f>
        <v>Tier 2</v>
      </c>
      <c r="K611" s="4" t="str">
        <f>IFERROR(__xludf.DUMMYFUNCTION("""COMPUTED_VALUE"""),"Active")</f>
        <v>Active</v>
      </c>
      <c r="L611" s="4" t="str">
        <f>IFERROR(__xludf.DUMMYFUNCTION("""COMPUTED_VALUE"""),"Google Compute Engine")</f>
        <v>Google Compute Engine</v>
      </c>
    </row>
    <row r="612">
      <c r="A612" s="4" t="str">
        <f>IFERROR(__xludf.DUMMYFUNCTION("""COMPUTED_VALUE"""),"ONIX591")</f>
        <v>ONIX591</v>
      </c>
      <c r="B612" s="4" t="str">
        <f>IFERROR(__xludf.DUMMYFUNCTION("""COMPUTED_VALUE"""),"Jeremy Wegner")</f>
        <v>Jeremy Wegner</v>
      </c>
      <c r="C612" s="4" t="str">
        <f>IFERROR(__xludf.DUMMYFUNCTION("""COMPUTED_VALUE"""),"jeremy.wegner@onixnet.com")</f>
        <v>jeremy.wegner@onixnet.com</v>
      </c>
      <c r="D612" s="4" t="str">
        <f>IFERROR(__xludf.DUMMYFUNCTION("""COMPUTED_VALUE"""),"Active")</f>
        <v>Active</v>
      </c>
      <c r="E612" s="4" t="str">
        <f>IFERROR(__xludf.DUMMYFUNCTION("""COMPUTED_VALUE"""),"Services")</f>
        <v>Services</v>
      </c>
      <c r="F612" s="4" t="str">
        <f>IFERROR(__xludf.DUMMYFUNCTION("""COMPUTED_VALUE"""),"James Vandermost")</f>
        <v>James Vandermost</v>
      </c>
      <c r="G612" s="4" t="str">
        <f>IFERROR(__xludf.DUMMYFUNCTION("""COMPUTED_VALUE"""),"Portfolio - Thomas (AI)")</f>
        <v>Portfolio - Thomas (AI)</v>
      </c>
      <c r="H612" s="4" t="str">
        <f>IFERROR(__xludf.DUMMYFUNCTION("""COMPUTED_VALUE"""),"ONIJWHFH2")</f>
        <v>ONIJWHFH2</v>
      </c>
      <c r="I612" s="5">
        <f>IFERROR(__xludf.DUMMYFUNCTION("""COMPUTED_VALUE"""),9.0)</f>
        <v>9</v>
      </c>
      <c r="J612" s="4" t="str">
        <f>IFERROR(__xludf.DUMMYFUNCTION("""COMPUTED_VALUE"""),"Tier 4")</f>
        <v>Tier 4</v>
      </c>
      <c r="K612" s="4" t="str">
        <f>IFERROR(__xludf.DUMMYFUNCTION("""COMPUTED_VALUE"""),"Active")</f>
        <v>Active</v>
      </c>
      <c r="L612" s="4" t="str">
        <f>IFERROR(__xludf.DUMMYFUNCTION("""COMPUTED_VALUE"""),"GECX - CX Agent Studio")</f>
        <v>GECX - CX Agent Studio</v>
      </c>
    </row>
    <row r="613">
      <c r="A613" s="4" t="str">
        <f>IFERROR(__xludf.DUMMYFUNCTION("""COMPUTED_VALUE"""),"ONIX572")</f>
        <v>ONIX572</v>
      </c>
      <c r="B613" s="4" t="str">
        <f>IFERROR(__xludf.DUMMYFUNCTION("""COMPUTED_VALUE"""),"John McDonald")</f>
        <v>John McDonald</v>
      </c>
      <c r="C613" s="4" t="str">
        <f>IFERROR(__xludf.DUMMYFUNCTION("""COMPUTED_VALUE"""),"scott.mcdonald@onixnet.com")</f>
        <v>scott.mcdonald@onixnet.com</v>
      </c>
      <c r="D613" s="4" t="str">
        <f>IFERROR(__xludf.DUMMYFUNCTION("""COMPUTED_VALUE"""),"Active")</f>
        <v>Active</v>
      </c>
      <c r="E613" s="4" t="str">
        <f>IFERROR(__xludf.DUMMYFUNCTION("""COMPUTED_VALUE"""),"Services")</f>
        <v>Services</v>
      </c>
      <c r="F613" s="4" t="str">
        <f>IFERROR(__xludf.DUMMYFUNCTION("""COMPUTED_VALUE"""),"Scott Fleming")</f>
        <v>Scott Fleming</v>
      </c>
      <c r="G613" s="4" t="str">
        <f>IFERROR(__xludf.DUMMYFUNCTION("""COMPUTED_VALUE"""),"Portfolio - Thomas (AI)")</f>
        <v>Portfolio - Thomas (AI)</v>
      </c>
      <c r="H613" s="4" t="str">
        <f>IFERROR(__xludf.DUMMYFUNCTION("""COMPUTED_VALUE"""),"ONIJMPVC4")</f>
        <v>ONIJMPVC4</v>
      </c>
      <c r="I613" s="5">
        <f>IFERROR(__xludf.DUMMYFUNCTION("""COMPUTED_VALUE"""),24.0)</f>
        <v>24</v>
      </c>
      <c r="J613" s="4" t="str">
        <f>IFERROR(__xludf.DUMMYFUNCTION("""COMPUTED_VALUE"""),"Tier 3")</f>
        <v>Tier 3</v>
      </c>
      <c r="K613" s="4" t="str">
        <f>IFERROR(__xludf.DUMMYFUNCTION("""COMPUTED_VALUE"""),"Active")</f>
        <v>Active</v>
      </c>
      <c r="L613" s="4" t="str">
        <f>IFERROR(__xludf.DUMMYFUNCTION("""COMPUTED_VALUE"""),"BigQuery")</f>
        <v>BigQuery</v>
      </c>
    </row>
    <row r="614">
      <c r="A614" s="4" t="str">
        <f>IFERROR(__xludf.DUMMYFUNCTION("""COMPUTED_VALUE"""),"ONIX625")</f>
        <v>ONIX625</v>
      </c>
      <c r="B614" s="4" t="str">
        <f>IFERROR(__xludf.DUMMYFUNCTION("""COMPUTED_VALUE"""),"Joshua Shnider")</f>
        <v>Joshua Shnider</v>
      </c>
      <c r="C614" s="4" t="str">
        <f>IFERROR(__xludf.DUMMYFUNCTION("""COMPUTED_VALUE"""),"joshua.shnider@onixnet.com")</f>
        <v>joshua.shnider@onixnet.com</v>
      </c>
      <c r="D614" s="4" t="str">
        <f>IFERROR(__xludf.DUMMYFUNCTION("""COMPUTED_VALUE"""),"Active")</f>
        <v>Active</v>
      </c>
      <c r="E614" s="4" t="str">
        <f>IFERROR(__xludf.DUMMYFUNCTION("""COMPUTED_VALUE"""),"Services")</f>
        <v>Services</v>
      </c>
      <c r="F614" s="4" t="str">
        <f>IFERROR(__xludf.DUMMYFUNCTION("""COMPUTED_VALUE"""),"Kanth Nagapudi")</f>
        <v>Kanth Nagapudi</v>
      </c>
      <c r="G614" s="4" t="str">
        <f>IFERROR(__xludf.DUMMYFUNCTION("""COMPUTED_VALUE"""),"Portfolio - Kanth")</f>
        <v>Portfolio - Kanth</v>
      </c>
      <c r="H614" s="4"/>
      <c r="I614" s="5"/>
      <c r="J614" s="4"/>
      <c r="K614" s="4" t="str">
        <f>IFERROR(__xludf.DUMMYFUNCTION("""COMPUTED_VALUE"""),"ID Not Created")</f>
        <v>ID Not Created</v>
      </c>
      <c r="L614" s="4"/>
    </row>
    <row r="615">
      <c r="A615" s="4" t="str">
        <f>IFERROR(__xludf.DUMMYFUNCTION("""COMPUTED_VALUE"""),"ONIX126")</f>
        <v>ONIX126</v>
      </c>
      <c r="B615" s="4" t="str">
        <f>IFERROR(__xludf.DUMMYFUNCTION("""COMPUTED_VALUE"""),"Justin McKibben")</f>
        <v>Justin McKibben</v>
      </c>
      <c r="C615" s="4" t="str">
        <f>IFERROR(__xludf.DUMMYFUNCTION("""COMPUTED_VALUE"""),"justin@onixnet.com")</f>
        <v>justin@onixnet.com</v>
      </c>
      <c r="D615" s="4" t="str">
        <f>IFERROR(__xludf.DUMMYFUNCTION("""COMPUTED_VALUE"""),"Active")</f>
        <v>Active</v>
      </c>
      <c r="E615" s="4" t="str">
        <f>IFERROR(__xludf.DUMMYFUNCTION("""COMPUTED_VALUE"""),"Services")</f>
        <v>Services</v>
      </c>
      <c r="F615" s="4" t="str">
        <f>IFERROR(__xludf.DUMMYFUNCTION("""COMPUTED_VALUE"""),"Courtney Cline")</f>
        <v>Courtney Cline</v>
      </c>
      <c r="G615" s="4" t="str">
        <f>IFERROR(__xludf.DUMMYFUNCTION("""COMPUTED_VALUE"""),"Portfolio - Courtney (US East)")</f>
        <v>Portfolio - Courtney (US East)</v>
      </c>
      <c r="H615" s="4" t="str">
        <f>IFERROR(__xludf.DUMMYFUNCTION("""COMPUTED_VALUE"""),"ONIJMWXG9")</f>
        <v>ONIJMWXG9</v>
      </c>
      <c r="I615" s="5">
        <f>IFERROR(__xludf.DUMMYFUNCTION("""COMPUTED_VALUE"""),39.0)</f>
        <v>39</v>
      </c>
      <c r="J615" s="4" t="str">
        <f>IFERROR(__xludf.DUMMYFUNCTION("""COMPUTED_VALUE"""),"Tier 2")</f>
        <v>Tier 2</v>
      </c>
      <c r="K615" s="4" t="str">
        <f>IFERROR(__xludf.DUMMYFUNCTION("""COMPUTED_VALUE"""),"Active")</f>
        <v>Active</v>
      </c>
      <c r="L615" s="4"/>
    </row>
    <row r="616">
      <c r="A616" s="4" t="str">
        <f>IFERROR(__xludf.DUMMYFUNCTION("""COMPUTED_VALUE"""),"ONIX527")</f>
        <v>ONIX527</v>
      </c>
      <c r="B616" s="4" t="str">
        <f>IFERROR(__xludf.DUMMYFUNCTION("""COMPUTED_VALUE"""),"Justin Mound")</f>
        <v>Justin Mound</v>
      </c>
      <c r="C616" s="4" t="str">
        <f>IFERROR(__xludf.DUMMYFUNCTION("""COMPUTED_VALUE"""),"jmound@onixnet.com")</f>
        <v>jmound@onixnet.com</v>
      </c>
      <c r="D616" s="4" t="str">
        <f>IFERROR(__xludf.DUMMYFUNCTION("""COMPUTED_VALUE"""),"Active")</f>
        <v>Active</v>
      </c>
      <c r="E616" s="4" t="str">
        <f>IFERROR(__xludf.DUMMYFUNCTION("""COMPUTED_VALUE"""),"Services")</f>
        <v>Services</v>
      </c>
      <c r="F616" s="4" t="str">
        <f>IFERROR(__xludf.DUMMYFUNCTION("""COMPUTED_VALUE"""),"LeePatrick McIntire")</f>
        <v>LeePatrick McIntire</v>
      </c>
      <c r="G616" s="4" t="str">
        <f>IFERROR(__xludf.DUMMYFUNCTION("""COMPUTED_VALUE"""),"Portfolio - Thomas (AI)")</f>
        <v>Portfolio - Thomas (AI)</v>
      </c>
      <c r="H616" s="4" t="str">
        <f>IFERROR(__xludf.DUMMYFUNCTION("""COMPUTED_VALUE"""),"ONIJMSXU4")</f>
        <v>ONIJMSXU4</v>
      </c>
      <c r="I616" s="5">
        <f>IFERROR(__xludf.DUMMYFUNCTION("""COMPUTED_VALUE"""),29.0)</f>
        <v>29</v>
      </c>
      <c r="J616" s="4" t="str">
        <f>IFERROR(__xludf.DUMMYFUNCTION("""COMPUTED_VALUE"""),"Tier 3")</f>
        <v>Tier 3</v>
      </c>
      <c r="K616" s="4" t="str">
        <f>IFERROR(__xludf.DUMMYFUNCTION("""COMPUTED_VALUE"""),"Active")</f>
        <v>Active</v>
      </c>
      <c r="L616" s="4" t="str">
        <f>IFERROR(__xludf.DUMMYFUNCTION("""COMPUTED_VALUE"""),"Google Compute Engine")</f>
        <v>Google Compute Engine</v>
      </c>
    </row>
    <row r="617">
      <c r="A617" s="4" t="str">
        <f>IFERROR(__xludf.DUMMYFUNCTION("""COMPUTED_VALUE"""),"ONIX585")</f>
        <v>ONIX585</v>
      </c>
      <c r="B617" s="4" t="str">
        <f>IFERROR(__xludf.DUMMYFUNCTION("""COMPUTED_VALUE"""),"Kavindra Yerolkar")</f>
        <v>Kavindra Yerolkar</v>
      </c>
      <c r="C617" s="4" t="str">
        <f>IFERROR(__xludf.DUMMYFUNCTION("""COMPUTED_VALUE"""),"kavindra.yerolkar@onixnet.com")</f>
        <v>kavindra.yerolkar@onixnet.com</v>
      </c>
      <c r="D617" s="4" t="str">
        <f>IFERROR(__xludf.DUMMYFUNCTION("""COMPUTED_VALUE"""),"Active")</f>
        <v>Active</v>
      </c>
      <c r="E617" s="4" t="str">
        <f>IFERROR(__xludf.DUMMYFUNCTION("""COMPUTED_VALUE"""),"Services")</f>
        <v>Services</v>
      </c>
      <c r="F617" s="4" t="str">
        <f>IFERROR(__xludf.DUMMYFUNCTION("""COMPUTED_VALUE"""),"Rajesh Rai")</f>
        <v>Rajesh Rai</v>
      </c>
      <c r="G617" s="4" t="str">
        <f>IFERROR(__xludf.DUMMYFUNCTION("""COMPUTED_VALUE"""),"Portfolio - Rajesh")</f>
        <v>Portfolio - Rajesh</v>
      </c>
      <c r="H617" s="4" t="str">
        <f>IFERROR(__xludf.DUMMYFUNCTION("""COMPUTED_VALUE"""),"ONIKYCEM8")</f>
        <v>ONIKYCEM8</v>
      </c>
      <c r="I617" s="5">
        <f>IFERROR(__xludf.DUMMYFUNCTION("""COMPUTED_VALUE"""),24.0)</f>
        <v>24</v>
      </c>
      <c r="J617" s="4" t="str">
        <f>IFERROR(__xludf.DUMMYFUNCTION("""COMPUTED_VALUE"""),"Tier 3")</f>
        <v>Tier 3</v>
      </c>
      <c r="K617" s="4" t="str">
        <f>IFERROR(__xludf.DUMMYFUNCTION("""COMPUTED_VALUE"""),"Active")</f>
        <v>Active</v>
      </c>
      <c r="L617" s="4" t="str">
        <f>IFERROR(__xludf.DUMMYFUNCTION("""COMPUTED_VALUE"""),"BigQuery")</f>
        <v>BigQuery</v>
      </c>
    </row>
    <row r="618">
      <c r="A618" s="4" t="str">
        <f>IFERROR(__xludf.DUMMYFUNCTION("""COMPUTED_VALUE"""),"ONIX584")</f>
        <v>ONIX584</v>
      </c>
      <c r="B618" s="4" t="str">
        <f>IFERROR(__xludf.DUMMYFUNCTION("""COMPUTED_VALUE"""),"Kyle Clark")</f>
        <v>Kyle Clark</v>
      </c>
      <c r="C618" s="4" t="str">
        <f>IFERROR(__xludf.DUMMYFUNCTION("""COMPUTED_VALUE"""),"kyle.clark@onixnet.com")</f>
        <v>kyle.clark@onixnet.com</v>
      </c>
      <c r="D618" s="4" t="str">
        <f>IFERROR(__xludf.DUMMYFUNCTION("""COMPUTED_VALUE"""),"Active")</f>
        <v>Active</v>
      </c>
      <c r="E618" s="4" t="str">
        <f>IFERROR(__xludf.DUMMYFUNCTION("""COMPUTED_VALUE"""),"Services")</f>
        <v>Services</v>
      </c>
      <c r="F618" s="4" t="str">
        <f>IFERROR(__xludf.DUMMYFUNCTION("""COMPUTED_VALUE"""),"Thomas Kraus")</f>
        <v>Thomas Kraus</v>
      </c>
      <c r="G618" s="4" t="str">
        <f>IFERROR(__xludf.DUMMYFUNCTION("""COMPUTED_VALUE"""),"Portfolio - Thomas (AI)")</f>
        <v>Portfolio - Thomas (AI)</v>
      </c>
      <c r="H618" s="4" t="str">
        <f>IFERROR(__xludf.DUMMYFUNCTION("""COMPUTED_VALUE"""),"ONIKCFHX2")</f>
        <v>ONIKCFHX2</v>
      </c>
      <c r="I618" s="5">
        <f>IFERROR(__xludf.DUMMYFUNCTION("""COMPUTED_VALUE"""),23.0)</f>
        <v>23</v>
      </c>
      <c r="J618" s="4" t="str">
        <f>IFERROR(__xludf.DUMMYFUNCTION("""COMPUTED_VALUE"""),"Tier 3")</f>
        <v>Tier 3</v>
      </c>
      <c r="K618" s="4" t="str">
        <f>IFERROR(__xludf.DUMMYFUNCTION("""COMPUTED_VALUE"""),"Active")</f>
        <v>Active</v>
      </c>
      <c r="L618" s="4" t="str">
        <f>IFERROR(__xludf.DUMMYFUNCTION("""COMPUTED_VALUE"""),"GECX - CCaaS")</f>
        <v>GECX - CCaaS</v>
      </c>
    </row>
    <row r="619">
      <c r="A619" s="4" t="str">
        <f>IFERROR(__xludf.DUMMYFUNCTION("""COMPUTED_VALUE"""),"ONIX051")</f>
        <v>ONIX051</v>
      </c>
      <c r="B619" s="4" t="str">
        <f>IFERROR(__xludf.DUMMYFUNCTION("""COMPUTED_VALUE"""),"LaVia Allen")</f>
        <v>LaVia Allen</v>
      </c>
      <c r="C619" s="4" t="str">
        <f>IFERROR(__xludf.DUMMYFUNCTION("""COMPUTED_VALUE"""),"lavia@onixnet.com")</f>
        <v>lavia@onixnet.com</v>
      </c>
      <c r="D619" s="4" t="str">
        <f>IFERROR(__xludf.DUMMYFUNCTION("""COMPUTED_VALUE"""),"Active")</f>
        <v>Active</v>
      </c>
      <c r="E619" s="4" t="str">
        <f>IFERROR(__xludf.DUMMYFUNCTION("""COMPUTED_VALUE"""),"Sales")</f>
        <v>Sales</v>
      </c>
      <c r="F619" s="4" t="str">
        <f>IFERROR(__xludf.DUMMYFUNCTION("""COMPUTED_VALUE"""),"Samantha Schreiber")</f>
        <v>Samantha Schreiber</v>
      </c>
      <c r="G619" s="4" t="str">
        <f>IFERROR(__xludf.DUMMYFUNCTION("""COMPUTED_VALUE"""),"Portfolio - Ankur (Sales)")</f>
        <v>Portfolio - Ankur (Sales)</v>
      </c>
      <c r="H619" s="4"/>
      <c r="I619" s="5"/>
      <c r="J619" s="4"/>
      <c r="K619" s="4" t="str">
        <f>IFERROR(__xludf.DUMMYFUNCTION("""COMPUTED_VALUE"""),"ID Not Created")</f>
        <v>ID Not Created</v>
      </c>
      <c r="L619" s="4"/>
    </row>
    <row r="620">
      <c r="A620" s="4" t="str">
        <f>IFERROR(__xludf.DUMMYFUNCTION("""COMPUTED_VALUE"""),"ONIX055")</f>
        <v>ONIX055</v>
      </c>
      <c r="B620" s="4" t="str">
        <f>IFERROR(__xludf.DUMMYFUNCTION("""COMPUTED_VALUE"""),"Marco Pereira")</f>
        <v>Marco Pereira</v>
      </c>
      <c r="C620" s="4" t="str">
        <f>IFERROR(__xludf.DUMMYFUNCTION("""COMPUTED_VALUE"""),"marco@onixnet.com")</f>
        <v>marco@onixnet.com</v>
      </c>
      <c r="D620" s="4" t="str">
        <f>IFERROR(__xludf.DUMMYFUNCTION("""COMPUTED_VALUE"""),"Active")</f>
        <v>Active</v>
      </c>
      <c r="E620" s="4" t="str">
        <f>IFERROR(__xludf.DUMMYFUNCTION("""COMPUTED_VALUE"""),"Services")</f>
        <v>Services</v>
      </c>
      <c r="F620" s="4" t="str">
        <f>IFERROR(__xludf.DUMMYFUNCTION("""COMPUTED_VALUE"""),"Courtney Cline")</f>
        <v>Courtney Cline</v>
      </c>
      <c r="G620" s="4" t="str">
        <f>IFERROR(__xludf.DUMMYFUNCTION("""COMPUTED_VALUE"""),"Portfolio - Courtney (US East)")</f>
        <v>Portfolio - Courtney (US East)</v>
      </c>
      <c r="H620" s="4" t="str">
        <f>IFERROR(__xludf.DUMMYFUNCTION("""COMPUTED_VALUE"""),"ONIMPDPS4")</f>
        <v>ONIMPDPS4</v>
      </c>
      <c r="I620" s="5">
        <f>IFERROR(__xludf.DUMMYFUNCTION("""COMPUTED_VALUE"""),61.0)</f>
        <v>61</v>
      </c>
      <c r="J620" s="4" t="str">
        <f>IFERROR(__xludf.DUMMYFUNCTION("""COMPUTED_VALUE"""),"Tier 1")</f>
        <v>Tier 1</v>
      </c>
      <c r="K620" s="4" t="str">
        <f>IFERROR(__xludf.DUMMYFUNCTION("""COMPUTED_VALUE"""),"Active")</f>
        <v>Active</v>
      </c>
      <c r="L620" s="4" t="str">
        <f>IFERROR(__xludf.DUMMYFUNCTION("""COMPUTED_VALUE"""),"AI Applications")</f>
        <v>AI Applications</v>
      </c>
    </row>
    <row r="621">
      <c r="A621" s="4" t="str">
        <f>IFERROR(__xludf.DUMMYFUNCTION("""COMPUTED_VALUE"""),"ONIX667")</f>
        <v>ONIX667</v>
      </c>
      <c r="B621" s="4" t="str">
        <f>IFERROR(__xludf.DUMMYFUNCTION("""COMPUTED_VALUE"""),"Matteo Vaiente")</f>
        <v>Matteo Vaiente</v>
      </c>
      <c r="C621" s="4" t="str">
        <f>IFERROR(__xludf.DUMMYFUNCTION("""COMPUTED_VALUE"""),"matteo.vaiente@onixnet.com")</f>
        <v>matteo.vaiente@onixnet.com</v>
      </c>
      <c r="D621" s="4" t="str">
        <f>IFERROR(__xludf.DUMMYFUNCTION("""COMPUTED_VALUE"""),"Active")</f>
        <v>Active</v>
      </c>
      <c r="E621" s="4" t="str">
        <f>IFERROR(__xludf.DUMMYFUNCTION("""COMPUTED_VALUE"""),"Services")</f>
        <v>Services</v>
      </c>
      <c r="F621" s="4" t="str">
        <f>IFERROR(__xludf.DUMMYFUNCTION("""COMPUTED_VALUE"""),"Anurag Mynam")</f>
        <v>Anurag Mynam</v>
      </c>
      <c r="G621" s="4" t="str">
        <f>IFERROR(__xludf.DUMMYFUNCTION("""COMPUTED_VALUE"""),"Portfolio - Thomas (AI)")</f>
        <v>Portfolio - Thomas (AI)</v>
      </c>
      <c r="H621" s="4"/>
      <c r="I621" s="5"/>
      <c r="J621" s="4"/>
      <c r="K621" s="4" t="str">
        <f>IFERROR(__xludf.DUMMYFUNCTION("""COMPUTED_VALUE"""),"ID Not Created")</f>
        <v>ID Not Created</v>
      </c>
      <c r="L621" s="4"/>
    </row>
    <row r="622">
      <c r="A622" s="4" t="str">
        <f>IFERROR(__xludf.DUMMYFUNCTION("""COMPUTED_VALUE"""),"ONIX594")</f>
        <v>ONIX594</v>
      </c>
      <c r="B622" s="4" t="str">
        <f>IFERROR(__xludf.DUMMYFUNCTION("""COMPUTED_VALUE"""),"Milad Tabrizi")</f>
        <v>Milad Tabrizi</v>
      </c>
      <c r="C622" s="4" t="str">
        <f>IFERROR(__xludf.DUMMYFUNCTION("""COMPUTED_VALUE"""),"milad.tabrizi@onixnet.com")</f>
        <v>milad.tabrizi@onixnet.com</v>
      </c>
      <c r="D622" s="4" t="str">
        <f>IFERROR(__xludf.DUMMYFUNCTION("""COMPUTED_VALUE"""),"Active")</f>
        <v>Active</v>
      </c>
      <c r="E622" s="4" t="str">
        <f>IFERROR(__xludf.DUMMYFUNCTION("""COMPUTED_VALUE"""),"Services")</f>
        <v>Services</v>
      </c>
      <c r="F622" s="4" t="str">
        <f>IFERROR(__xludf.DUMMYFUNCTION("""COMPUTED_VALUE"""),"Philip Cummings")</f>
        <v>Philip Cummings</v>
      </c>
      <c r="G622" s="4" t="str">
        <f>IFERROR(__xludf.DUMMYFUNCTION("""COMPUTED_VALUE"""),"Portfolio - Rick")</f>
        <v>Portfolio - Rick</v>
      </c>
      <c r="H622" s="4" t="str">
        <f>IFERROR(__xludf.DUMMYFUNCTION("""COMPUTED_VALUE"""),"ONIMTTAD6")</f>
        <v>ONIMTTAD6</v>
      </c>
      <c r="I622" s="5">
        <f>IFERROR(__xludf.DUMMYFUNCTION("""COMPUTED_VALUE"""),24.0)</f>
        <v>24</v>
      </c>
      <c r="J622" s="4" t="str">
        <f>IFERROR(__xludf.DUMMYFUNCTION("""COMPUTED_VALUE"""),"Tier 3")</f>
        <v>Tier 3</v>
      </c>
      <c r="K622" s="4" t="str">
        <f>IFERROR(__xludf.DUMMYFUNCTION("""COMPUTED_VALUE"""),"Active")</f>
        <v>Active</v>
      </c>
      <c r="L622" s="4" t="str">
        <f>IFERROR(__xludf.DUMMYFUNCTION("""COMPUTED_VALUE"""),"Gemini Enterprise Agent Platform")</f>
        <v>Gemini Enterprise Agent Platform</v>
      </c>
    </row>
    <row r="623">
      <c r="A623" s="4" t="str">
        <f>IFERROR(__xludf.DUMMYFUNCTION("""COMPUTED_VALUE"""),"DMSI0081")</f>
        <v>DMSI0081</v>
      </c>
      <c r="B623" s="4" t="str">
        <f>IFERROR(__xludf.DUMMYFUNCTION("""COMPUTED_VALUE"""),"Namrata Mehta")</f>
        <v>Namrata Mehta</v>
      </c>
      <c r="C623" s="4" t="str">
        <f>IFERROR(__xludf.DUMMYFUNCTION("""COMPUTED_VALUE"""),"namrata.mehta@onixnet.com")</f>
        <v>namrata.mehta@onixnet.com</v>
      </c>
      <c r="D623" s="4" t="str">
        <f>IFERROR(__xludf.DUMMYFUNCTION("""COMPUTED_VALUE"""),"Active")</f>
        <v>Active</v>
      </c>
      <c r="E623" s="4" t="str">
        <f>IFERROR(__xludf.DUMMYFUNCTION("""COMPUTED_VALUE"""),"Services")</f>
        <v>Services</v>
      </c>
      <c r="F623" s="4" t="str">
        <f>IFERROR(__xludf.DUMMYFUNCTION("""COMPUTED_VALUE"""),"LeePatrick McIntire")</f>
        <v>LeePatrick McIntire</v>
      </c>
      <c r="G623" s="4" t="str">
        <f>IFERROR(__xludf.DUMMYFUNCTION("""COMPUTED_VALUE"""),"Portfolio - Thomas (AI)")</f>
        <v>Portfolio - Thomas (AI)</v>
      </c>
      <c r="H623" s="4" t="str">
        <f>IFERROR(__xludf.DUMMYFUNCTION("""COMPUTED_VALUE"""),"ONINMFCY9")</f>
        <v>ONINMFCY9</v>
      </c>
      <c r="I623" s="5">
        <f>IFERROR(__xludf.DUMMYFUNCTION("""COMPUTED_VALUE"""),0.0)</f>
        <v>0</v>
      </c>
      <c r="J623" s="4" t="str">
        <f>IFERROR(__xludf.DUMMYFUNCTION("""COMPUTED_VALUE"""),"Tier 4")</f>
        <v>Tier 4</v>
      </c>
      <c r="K623" s="4" t="str">
        <f>IFERROR(__xludf.DUMMYFUNCTION("""COMPUTED_VALUE"""),"ID Created DRP score 0")</f>
        <v>ID Created DRP score 0</v>
      </c>
      <c r="L623" s="4"/>
    </row>
    <row r="624">
      <c r="A624" s="4" t="str">
        <f>IFERROR(__xludf.DUMMYFUNCTION("""COMPUTED_VALUE"""),"DMSI0088")</f>
        <v>DMSI0088</v>
      </c>
      <c r="B624" s="4" t="str">
        <f>IFERROR(__xludf.DUMMYFUNCTION("""COMPUTED_VALUE"""),"Niyanta Shashikant Lad")</f>
        <v>Niyanta Shashikant Lad</v>
      </c>
      <c r="C624" s="4" t="str">
        <f>IFERROR(__xludf.DUMMYFUNCTION("""COMPUTED_VALUE"""),"niyanta.lad@onixnet.com")</f>
        <v>niyanta.lad@onixnet.com</v>
      </c>
      <c r="D624" s="4" t="str">
        <f>IFERROR(__xludf.DUMMYFUNCTION("""COMPUTED_VALUE"""),"Active")</f>
        <v>Active</v>
      </c>
      <c r="E624" s="4" t="str">
        <f>IFERROR(__xludf.DUMMYFUNCTION("""COMPUTED_VALUE"""),"Services")</f>
        <v>Services</v>
      </c>
      <c r="F624" s="4" t="str">
        <f>IFERROR(__xludf.DUMMYFUNCTION("""COMPUTED_VALUE"""),"Venkat Srinivasan")</f>
        <v>Venkat Srinivasan</v>
      </c>
      <c r="G624" s="4" t="str">
        <f>IFERROR(__xludf.DUMMYFUNCTION("""COMPUTED_VALUE"""),"Portfolio - Rajesh")</f>
        <v>Portfolio - Rajesh</v>
      </c>
      <c r="H624" s="4" t="str">
        <f>IFERROR(__xludf.DUMMYFUNCTION("""COMPUTED_VALUE"""),"ONINLGIQ7")</f>
        <v>ONINLGIQ7</v>
      </c>
      <c r="I624" s="5">
        <f>IFERROR(__xludf.DUMMYFUNCTION("""COMPUTED_VALUE"""),11.0)</f>
        <v>11</v>
      </c>
      <c r="J624" s="4" t="str">
        <f>IFERROR(__xludf.DUMMYFUNCTION("""COMPUTED_VALUE"""),"Tier 4")</f>
        <v>Tier 4</v>
      </c>
      <c r="K624" s="4" t="str">
        <f>IFERROR(__xludf.DUMMYFUNCTION("""COMPUTED_VALUE"""),"Active")</f>
        <v>Active</v>
      </c>
      <c r="L624" s="4" t="str">
        <f>IFERROR(__xludf.DUMMYFUNCTION("""COMPUTED_VALUE"""),"Google Kubernetes Engine")</f>
        <v>Google Kubernetes Engine</v>
      </c>
    </row>
    <row r="625">
      <c r="A625" s="4" t="str">
        <f>IFERROR(__xludf.DUMMYFUNCTION("""COMPUTED_VALUE"""),"ONIX273")</f>
        <v>ONIX273</v>
      </c>
      <c r="B625" s="4" t="str">
        <f>IFERROR(__xludf.DUMMYFUNCTION("""COMPUTED_VALUE"""),"Patricia Alfaro")</f>
        <v>Patricia Alfaro</v>
      </c>
      <c r="C625" s="4" t="str">
        <f>IFERROR(__xludf.DUMMYFUNCTION("""COMPUTED_VALUE"""),"patricia.alfaro@onixnet.com")</f>
        <v>patricia.alfaro@onixnet.com</v>
      </c>
      <c r="D625" s="4" t="str">
        <f>IFERROR(__xludf.DUMMYFUNCTION("""COMPUTED_VALUE"""),"Active")</f>
        <v>Active</v>
      </c>
      <c r="E625" s="4" t="str">
        <f>IFERROR(__xludf.DUMMYFUNCTION("""COMPUTED_VALUE"""),"Sales")</f>
        <v>Sales</v>
      </c>
      <c r="F625" s="4" t="str">
        <f>IFERROR(__xludf.DUMMYFUNCTION("""COMPUTED_VALUE"""),"Samantha Schreiber")</f>
        <v>Samantha Schreiber</v>
      </c>
      <c r="G625" s="4" t="str">
        <f>IFERROR(__xludf.DUMMYFUNCTION("""COMPUTED_VALUE"""),"Portfolio - Ankur (Sales)")</f>
        <v>Portfolio - Ankur (Sales)</v>
      </c>
      <c r="H625" s="4" t="str">
        <f>IFERROR(__xludf.DUMMYFUNCTION("""COMPUTED_VALUE"""),"ONIPAUBF5")</f>
        <v>ONIPAUBF5</v>
      </c>
      <c r="I625" s="5">
        <f>IFERROR(__xludf.DUMMYFUNCTION("""COMPUTED_VALUE"""),0.0)</f>
        <v>0</v>
      </c>
      <c r="J625" s="4" t="str">
        <f>IFERROR(__xludf.DUMMYFUNCTION("""COMPUTED_VALUE"""),"Tier 4")</f>
        <v>Tier 4</v>
      </c>
      <c r="K625" s="4" t="str">
        <f>IFERROR(__xludf.DUMMYFUNCTION("""COMPUTED_VALUE"""),"ID Created DRP score 0")</f>
        <v>ID Created DRP score 0</v>
      </c>
      <c r="L625" s="4"/>
    </row>
    <row r="626">
      <c r="A626" s="4" t="str">
        <f>IFERROR(__xludf.DUMMYFUNCTION("""COMPUTED_VALUE"""),"ONIX545")</f>
        <v>ONIX545</v>
      </c>
      <c r="B626" s="4" t="str">
        <f>IFERROR(__xludf.DUMMYFUNCTION("""COMPUTED_VALUE"""),"Paula Mannarino")</f>
        <v>Paula Mannarino</v>
      </c>
      <c r="C626" s="4" t="str">
        <f>IFERROR(__xludf.DUMMYFUNCTION("""COMPUTED_VALUE"""),"paula.mannarino@onixnet.com")</f>
        <v>paula.mannarino@onixnet.com</v>
      </c>
      <c r="D626" s="4" t="str">
        <f>IFERROR(__xludf.DUMMYFUNCTION("""COMPUTED_VALUE"""),"Active")</f>
        <v>Active</v>
      </c>
      <c r="E626" s="4" t="str">
        <f>IFERROR(__xludf.DUMMYFUNCTION("""COMPUTED_VALUE"""),"Services")</f>
        <v>Services</v>
      </c>
      <c r="F626" s="4" t="str">
        <f>IFERROR(__xludf.DUMMYFUNCTION("""COMPUTED_VALUE"""),"Patrick Schablitzki")</f>
        <v>Patrick Schablitzki</v>
      </c>
      <c r="G626" s="4" t="str">
        <f>IFERROR(__xludf.DUMMYFUNCTION("""COMPUTED_VALUE"""),"Portfolio - Patrick")</f>
        <v>Portfolio - Patrick</v>
      </c>
      <c r="H626" s="4" t="str">
        <f>IFERROR(__xludf.DUMMYFUNCTION("""COMPUTED_VALUE"""),"ONIPMXVV3")</f>
        <v>ONIPMXVV3</v>
      </c>
      <c r="I626" s="5">
        <f>IFERROR(__xludf.DUMMYFUNCTION("""COMPUTED_VALUE"""),0.0)</f>
        <v>0</v>
      </c>
      <c r="J626" s="4" t="str">
        <f>IFERROR(__xludf.DUMMYFUNCTION("""COMPUTED_VALUE"""),"Tier 4")</f>
        <v>Tier 4</v>
      </c>
      <c r="K626" s="4" t="str">
        <f>IFERROR(__xludf.DUMMYFUNCTION("""COMPUTED_VALUE"""),"ID Created DRP score 0")</f>
        <v>ID Created DRP score 0</v>
      </c>
      <c r="L626" s="4"/>
    </row>
    <row r="627">
      <c r="A627" s="4" t="str">
        <f>IFERROR(__xludf.DUMMYFUNCTION("""COMPUTED_VALUE"""),"ONIX106")</f>
        <v>ONIX106</v>
      </c>
      <c r="B627" s="4" t="str">
        <f>IFERROR(__xludf.DUMMYFUNCTION("""COMPUTED_VALUE"""),"Peter Luci")</f>
        <v>Peter Luci</v>
      </c>
      <c r="C627" s="4" t="str">
        <f>IFERROR(__xludf.DUMMYFUNCTION("""COMPUTED_VALUE"""),"peter@onixnet.com")</f>
        <v>peter@onixnet.com</v>
      </c>
      <c r="D627" s="4" t="str">
        <f>IFERROR(__xludf.DUMMYFUNCTION("""COMPUTED_VALUE"""),"Active")</f>
        <v>Active</v>
      </c>
      <c r="E627" s="4" t="str">
        <f>IFERROR(__xludf.DUMMYFUNCTION("""COMPUTED_VALUE"""),"Sales")</f>
        <v>Sales</v>
      </c>
      <c r="F627" s="4" t="str">
        <f>IFERROR(__xludf.DUMMYFUNCTION("""COMPUTED_VALUE"""),"Kathleen Hansen")</f>
        <v>Kathleen Hansen</v>
      </c>
      <c r="G627" s="4" t="str">
        <f>IFERROR(__xludf.DUMMYFUNCTION("""COMPUTED_VALUE"""),"Portfolio - Ankur (Sales)")</f>
        <v>Portfolio - Ankur (Sales)</v>
      </c>
      <c r="H627" s="4"/>
      <c r="I627" s="5"/>
      <c r="J627" s="4"/>
      <c r="K627" s="4" t="str">
        <f>IFERROR(__xludf.DUMMYFUNCTION("""COMPUTED_VALUE"""),"ID Not Created")</f>
        <v>ID Not Created</v>
      </c>
      <c r="L627" s="4"/>
    </row>
    <row r="628">
      <c r="A628" s="4" t="str">
        <f>IFERROR(__xludf.DUMMYFUNCTION("""COMPUTED_VALUE"""),"ONIX558")</f>
        <v>ONIX558</v>
      </c>
      <c r="B628" s="4" t="str">
        <f>IFERROR(__xludf.DUMMYFUNCTION("""COMPUTED_VALUE"""),"Pooja Aphale")</f>
        <v>Pooja Aphale</v>
      </c>
      <c r="C628" s="4" t="str">
        <f>IFERROR(__xludf.DUMMYFUNCTION("""COMPUTED_VALUE"""),"pooja.aphale@onixnet.com")</f>
        <v>pooja.aphale@onixnet.com</v>
      </c>
      <c r="D628" s="4" t="str">
        <f>IFERROR(__xludf.DUMMYFUNCTION("""COMPUTED_VALUE"""),"Active")</f>
        <v>Active</v>
      </c>
      <c r="E628" s="4" t="str">
        <f>IFERROR(__xludf.DUMMYFUNCTION("""COMPUTED_VALUE"""),"Services")</f>
        <v>Services</v>
      </c>
      <c r="F628" s="4" t="str">
        <f>IFERROR(__xludf.DUMMYFUNCTION("""COMPUTED_VALUE"""),"Rajeev Singh")</f>
        <v>Rajeev Singh</v>
      </c>
      <c r="G628" s="4" t="str">
        <f>IFERROR(__xludf.DUMMYFUNCTION("""COMPUTED_VALUE"""),"Portfolio - Ankur (Sales)")</f>
        <v>Portfolio - Ankur (Sales)</v>
      </c>
      <c r="H628" s="4"/>
      <c r="I628" s="5"/>
      <c r="J628" s="4"/>
      <c r="K628" s="4" t="str">
        <f>IFERROR(__xludf.DUMMYFUNCTION("""COMPUTED_VALUE"""),"ID Not Created")</f>
        <v>ID Not Created</v>
      </c>
      <c r="L628" s="4"/>
    </row>
    <row r="629">
      <c r="A629" s="4" t="str">
        <f>IFERROR(__xludf.DUMMYFUNCTION("""COMPUTED_VALUE"""),"DMSI0117")</f>
        <v>DMSI0117</v>
      </c>
      <c r="B629" s="4" t="str">
        <f>IFERROR(__xludf.DUMMYFUNCTION("""COMPUTED_VALUE"""),"Prashant Ahire")</f>
        <v>Prashant Ahire</v>
      </c>
      <c r="C629" s="4" t="str">
        <f>IFERROR(__xludf.DUMMYFUNCTION("""COMPUTED_VALUE"""),"prashant.ahire@onixnet.com")</f>
        <v>prashant.ahire@onixnet.com</v>
      </c>
      <c r="D629" s="4" t="str">
        <f>IFERROR(__xludf.DUMMYFUNCTION("""COMPUTED_VALUE"""),"Active")</f>
        <v>Active</v>
      </c>
      <c r="E629" s="4" t="str">
        <f>IFERROR(__xludf.DUMMYFUNCTION("""COMPUTED_VALUE"""),"Services")</f>
        <v>Services</v>
      </c>
      <c r="F629" s="4" t="str">
        <f>IFERROR(__xludf.DUMMYFUNCTION("""COMPUTED_VALUE"""),"Kavindra Yerolkar")</f>
        <v>Kavindra Yerolkar</v>
      </c>
      <c r="G629" s="4" t="str">
        <f>IFERROR(__xludf.DUMMYFUNCTION("""COMPUTED_VALUE"""),"Portfolio - Rajesh")</f>
        <v>Portfolio - Rajesh</v>
      </c>
      <c r="H629" s="4" t="str">
        <f>IFERROR(__xludf.DUMMYFUNCTION("""COMPUTED_VALUE"""),"DATPABWB5")</f>
        <v>DATPABWB5</v>
      </c>
      <c r="I629" s="5">
        <f>IFERROR(__xludf.DUMMYFUNCTION("""COMPUTED_VALUE"""),14.0)</f>
        <v>14</v>
      </c>
      <c r="J629" s="4" t="str">
        <f>IFERROR(__xludf.DUMMYFUNCTION("""COMPUTED_VALUE"""),"Tier 4")</f>
        <v>Tier 4</v>
      </c>
      <c r="K629" s="4" t="str">
        <f>IFERROR(__xludf.DUMMYFUNCTION("""COMPUTED_VALUE"""),"Active")</f>
        <v>Active</v>
      </c>
      <c r="L629" s="4" t="str">
        <f>IFERROR(__xludf.DUMMYFUNCTION("""COMPUTED_VALUE"""),"BigQuery")</f>
        <v>BigQuery</v>
      </c>
    </row>
    <row r="630">
      <c r="A630" s="4" t="str">
        <f>IFERROR(__xludf.DUMMYFUNCTION("""COMPUTED_VALUE"""),"DMSI0111")</f>
        <v>DMSI0111</v>
      </c>
      <c r="B630" s="4" t="str">
        <f>IFERROR(__xludf.DUMMYFUNCTION("""COMPUTED_VALUE"""),"Pratap Das")</f>
        <v>Pratap Das</v>
      </c>
      <c r="C630" s="4" t="str">
        <f>IFERROR(__xludf.DUMMYFUNCTION("""COMPUTED_VALUE"""),"pratap.das@onixnet.com")</f>
        <v>pratap.das@onixnet.com</v>
      </c>
      <c r="D630" s="4" t="str">
        <f>IFERROR(__xludf.DUMMYFUNCTION("""COMPUTED_VALUE"""),"Active")</f>
        <v>Active</v>
      </c>
      <c r="E630" s="4" t="str">
        <f>IFERROR(__xludf.DUMMYFUNCTION("""COMPUTED_VALUE"""),"Services")</f>
        <v>Services</v>
      </c>
      <c r="F630" s="4" t="str">
        <f>IFERROR(__xludf.DUMMYFUNCTION("""COMPUTED_VALUE"""),"Venkata Naresh Kajjayam")</f>
        <v>Venkata Naresh Kajjayam</v>
      </c>
      <c r="G630" s="4" t="str">
        <f>IFERROR(__xludf.DUMMYFUNCTION("""COMPUTED_VALUE"""),"Portfolio - Kanth")</f>
        <v>Portfolio - Kanth</v>
      </c>
      <c r="H630" s="4" t="str">
        <f>IFERROR(__xludf.DUMMYFUNCTION("""COMPUTED_VALUE"""),"ONIPDZPH4")</f>
        <v>ONIPDZPH4</v>
      </c>
      <c r="I630" s="5">
        <f>IFERROR(__xludf.DUMMYFUNCTION("""COMPUTED_VALUE"""),24.0)</f>
        <v>24</v>
      </c>
      <c r="J630" s="4" t="str">
        <f>IFERROR(__xludf.DUMMYFUNCTION("""COMPUTED_VALUE"""),"Tier 3")</f>
        <v>Tier 3</v>
      </c>
      <c r="K630" s="4" t="str">
        <f>IFERROR(__xludf.DUMMYFUNCTION("""COMPUTED_VALUE"""),"Active")</f>
        <v>Active</v>
      </c>
      <c r="L630" s="4" t="str">
        <f>IFERROR(__xludf.DUMMYFUNCTION("""COMPUTED_VALUE"""),"BigQuery")</f>
        <v>BigQuery</v>
      </c>
    </row>
    <row r="631">
      <c r="A631" s="4" t="str">
        <f>IFERROR(__xludf.DUMMYFUNCTION("""COMPUTED_VALUE"""),"ONIX546")</f>
        <v>ONIX546</v>
      </c>
      <c r="B631" s="4" t="str">
        <f>IFERROR(__xludf.DUMMYFUNCTION("""COMPUTED_VALUE"""),"Rajan Shrestha")</f>
        <v>Rajan Shrestha</v>
      </c>
      <c r="C631" s="4" t="str">
        <f>IFERROR(__xludf.DUMMYFUNCTION("""COMPUTED_VALUE"""),"rj.shrestha@onixnet.com")</f>
        <v>rj.shrestha@onixnet.com</v>
      </c>
      <c r="D631" s="4" t="str">
        <f>IFERROR(__xludf.DUMMYFUNCTION("""COMPUTED_VALUE"""),"Active")</f>
        <v>Active</v>
      </c>
      <c r="E631" s="4" t="str">
        <f>IFERROR(__xludf.DUMMYFUNCTION("""COMPUTED_VALUE"""),"Services")</f>
        <v>Services</v>
      </c>
      <c r="F631" s="4" t="str">
        <f>IFERROR(__xludf.DUMMYFUNCTION("""COMPUTED_VALUE"""),"Anurag Mynam")</f>
        <v>Anurag Mynam</v>
      </c>
      <c r="G631" s="4" t="str">
        <f>IFERROR(__xludf.DUMMYFUNCTION("""COMPUTED_VALUE"""),"Portfolio - Thomas (AI)")</f>
        <v>Portfolio - Thomas (AI)</v>
      </c>
      <c r="H631" s="4" t="str">
        <f>IFERROR(__xludf.DUMMYFUNCTION("""COMPUTED_VALUE"""),"ONIRSFQY2")</f>
        <v>ONIRSFQY2</v>
      </c>
      <c r="I631" s="5">
        <f>IFERROR(__xludf.DUMMYFUNCTION("""COMPUTED_VALUE"""),14.0)</f>
        <v>14</v>
      </c>
      <c r="J631" s="4" t="str">
        <f>IFERROR(__xludf.DUMMYFUNCTION("""COMPUTED_VALUE"""),"Tier 4")</f>
        <v>Tier 4</v>
      </c>
      <c r="K631" s="4" t="str">
        <f>IFERROR(__xludf.DUMMYFUNCTION("""COMPUTED_VALUE"""),"Active")</f>
        <v>Active</v>
      </c>
      <c r="L631" s="4" t="str">
        <f>IFERROR(__xludf.DUMMYFUNCTION("""COMPUTED_VALUE"""),"Google Compute Engine")</f>
        <v>Google Compute Engine</v>
      </c>
    </row>
    <row r="632">
      <c r="A632" s="4" t="str">
        <f>IFERROR(__xludf.DUMMYFUNCTION("""COMPUTED_VALUE"""),"ONIX590")</f>
        <v>ONIX590</v>
      </c>
      <c r="B632" s="4" t="str">
        <f>IFERROR(__xludf.DUMMYFUNCTION("""COMPUTED_VALUE"""),"Rajeev Singh")</f>
        <v>Rajeev Singh</v>
      </c>
      <c r="C632" s="4" t="str">
        <f>IFERROR(__xludf.DUMMYFUNCTION("""COMPUTED_VALUE"""),"rajeev.singh@onixnet.com")</f>
        <v>rajeev.singh@onixnet.com</v>
      </c>
      <c r="D632" s="4" t="str">
        <f>IFERROR(__xludf.DUMMYFUNCTION("""COMPUTED_VALUE"""),"Active")</f>
        <v>Active</v>
      </c>
      <c r="E632" s="4" t="str">
        <f>IFERROR(__xludf.DUMMYFUNCTION("""COMPUTED_VALUE"""),"Sales")</f>
        <v>Sales</v>
      </c>
      <c r="F632" s="4" t="str">
        <f>IFERROR(__xludf.DUMMYFUNCTION("""COMPUTED_VALUE"""),"Ankur Kashyap")</f>
        <v>Ankur Kashyap</v>
      </c>
      <c r="G632" s="4" t="str">
        <f>IFERROR(__xludf.DUMMYFUNCTION("""COMPUTED_VALUE"""),"Portfolio - Ankur (Sales)")</f>
        <v>Portfolio - Ankur (Sales)</v>
      </c>
      <c r="H632" s="4" t="str">
        <f>IFERROR(__xludf.DUMMYFUNCTION("""COMPUTED_VALUE"""),"ONIRSBBQ8")</f>
        <v>ONIRSBBQ8</v>
      </c>
      <c r="I632" s="5">
        <f>IFERROR(__xludf.DUMMYFUNCTION("""COMPUTED_VALUE"""),0.0)</f>
        <v>0</v>
      </c>
      <c r="J632" s="4" t="str">
        <f>IFERROR(__xludf.DUMMYFUNCTION("""COMPUTED_VALUE"""),"Tier 4")</f>
        <v>Tier 4</v>
      </c>
      <c r="K632" s="4" t="str">
        <f>IFERROR(__xludf.DUMMYFUNCTION("""COMPUTED_VALUE"""),"ID Created DRP score 0")</f>
        <v>ID Created DRP score 0</v>
      </c>
      <c r="L632" s="4"/>
    </row>
    <row r="633">
      <c r="A633" s="4" t="str">
        <f>IFERROR(__xludf.DUMMYFUNCTION("""COMPUTED_VALUE"""),"DMSI0046")</f>
        <v>DMSI0046</v>
      </c>
      <c r="B633" s="4" t="str">
        <f>IFERROR(__xludf.DUMMYFUNCTION("""COMPUTED_VALUE"""),"Rajesh Rai")</f>
        <v>Rajesh Rai</v>
      </c>
      <c r="C633" s="4" t="str">
        <f>IFERROR(__xludf.DUMMYFUNCTION("""COMPUTED_VALUE"""),"rajesh.rai@onixnet.com")</f>
        <v>rajesh.rai@onixnet.com</v>
      </c>
      <c r="D633" s="4" t="str">
        <f>IFERROR(__xludf.DUMMYFUNCTION("""COMPUTED_VALUE"""),"Active")</f>
        <v>Active</v>
      </c>
      <c r="E633" s="4" t="str">
        <f>IFERROR(__xludf.DUMMYFUNCTION("""COMPUTED_VALUE"""),"Services")</f>
        <v>Services</v>
      </c>
      <c r="F633" s="4" t="str">
        <f>IFERROR(__xludf.DUMMYFUNCTION("""COMPUTED_VALUE"""),"Patrick Schablitzki")</f>
        <v>Patrick Schablitzki</v>
      </c>
      <c r="G633" s="4" t="str">
        <f>IFERROR(__xludf.DUMMYFUNCTION("""COMPUTED_VALUE"""),"Portfolio - Patrick")</f>
        <v>Portfolio - Patrick</v>
      </c>
      <c r="H633" s="4" t="str">
        <f>IFERROR(__xludf.DUMMYFUNCTION("""COMPUTED_VALUE"""),"ONIRRGHW0")</f>
        <v>ONIRRGHW0</v>
      </c>
      <c r="I633" s="5">
        <f>IFERROR(__xludf.DUMMYFUNCTION("""COMPUTED_VALUE"""),0.0)</f>
        <v>0</v>
      </c>
      <c r="J633" s="4" t="str">
        <f>IFERROR(__xludf.DUMMYFUNCTION("""COMPUTED_VALUE"""),"Tier 4")</f>
        <v>Tier 4</v>
      </c>
      <c r="K633" s="4" t="str">
        <f>IFERROR(__xludf.DUMMYFUNCTION("""COMPUTED_VALUE"""),"ID Created DRP score 0")</f>
        <v>ID Created DRP score 0</v>
      </c>
      <c r="L633" s="4"/>
    </row>
    <row r="634">
      <c r="A634" s="4" t="str">
        <f>IFERROR(__xludf.DUMMYFUNCTION("""COMPUTED_VALUE"""),"DMSI0060")</f>
        <v>DMSI0060</v>
      </c>
      <c r="B634" s="4" t="str">
        <f>IFERROR(__xludf.DUMMYFUNCTION("""COMPUTED_VALUE"""),"Ramesh Kumar")</f>
        <v>Ramesh Kumar</v>
      </c>
      <c r="C634" s="4" t="str">
        <f>IFERROR(__xludf.DUMMYFUNCTION("""COMPUTED_VALUE"""),"ramesh.kumar@onixnet.com")</f>
        <v>ramesh.kumar@onixnet.com</v>
      </c>
      <c r="D634" s="4" t="str">
        <f>IFERROR(__xludf.DUMMYFUNCTION("""COMPUTED_VALUE"""),"Active")</f>
        <v>Active</v>
      </c>
      <c r="E634" s="4" t="str">
        <f>IFERROR(__xludf.DUMMYFUNCTION("""COMPUTED_VALUE"""),"Services")</f>
        <v>Services</v>
      </c>
      <c r="F634" s="4" t="str">
        <f>IFERROR(__xludf.DUMMYFUNCTION("""COMPUTED_VALUE"""),"Neeraj Arora")</f>
        <v>Neeraj Arora</v>
      </c>
      <c r="G634" s="4" t="str">
        <f>IFERROR(__xludf.DUMMYFUNCTION("""COMPUTED_VALUE"""),"Portfolio - Kanth")</f>
        <v>Portfolio - Kanth</v>
      </c>
      <c r="H634" s="4" t="str">
        <f>IFERROR(__xludf.DUMMYFUNCTION("""COMPUTED_VALUE"""),"ONIRKCXH2")</f>
        <v>ONIRKCXH2</v>
      </c>
      <c r="I634" s="5">
        <f>IFERROR(__xludf.DUMMYFUNCTION("""COMPUTED_VALUE"""),25.0)</f>
        <v>25</v>
      </c>
      <c r="J634" s="4" t="str">
        <f>IFERROR(__xludf.DUMMYFUNCTION("""COMPUTED_VALUE"""),"Tier 3")</f>
        <v>Tier 3</v>
      </c>
      <c r="K634" s="4" t="str">
        <f>IFERROR(__xludf.DUMMYFUNCTION("""COMPUTED_VALUE"""),"Active")</f>
        <v>Active</v>
      </c>
      <c r="L634" s="4" t="str">
        <f>IFERROR(__xludf.DUMMYFUNCTION("""COMPUTED_VALUE"""),"BigQuery")</f>
        <v>BigQuery</v>
      </c>
    </row>
    <row r="635">
      <c r="A635" s="4" t="str">
        <f>IFERROR(__xludf.DUMMYFUNCTION("""COMPUTED_VALUE"""),"DMSI0079")</f>
        <v>DMSI0079</v>
      </c>
      <c r="B635" s="4" t="str">
        <f>IFERROR(__xludf.DUMMYFUNCTION("""COMPUTED_VALUE"""),"Rashi Bagga")</f>
        <v>Rashi Bagga</v>
      </c>
      <c r="C635" s="4" t="str">
        <f>IFERROR(__xludf.DUMMYFUNCTION("""COMPUTED_VALUE"""),"rashi.bagga@onixnet.com")</f>
        <v>rashi.bagga@onixnet.com</v>
      </c>
      <c r="D635" s="4" t="str">
        <f>IFERROR(__xludf.DUMMYFUNCTION("""COMPUTED_VALUE"""),"Active")</f>
        <v>Active</v>
      </c>
      <c r="E635" s="4" t="str">
        <f>IFERROR(__xludf.DUMMYFUNCTION("""COMPUTED_VALUE"""),"Services")</f>
        <v>Services</v>
      </c>
      <c r="F635" s="4" t="str">
        <f>IFERROR(__xludf.DUMMYFUNCTION("""COMPUTED_VALUE"""),"Venkat Srinivasan")</f>
        <v>Venkat Srinivasan</v>
      </c>
      <c r="G635" s="4" t="str">
        <f>IFERROR(__xludf.DUMMYFUNCTION("""COMPUTED_VALUE"""),"Portfolio - Rajesh")</f>
        <v>Portfolio - Rajesh</v>
      </c>
      <c r="H635" s="4" t="str">
        <f>IFERROR(__xludf.DUMMYFUNCTION("""COMPUTED_VALUE"""),"ONIRBSSD6")</f>
        <v>ONIRBSSD6</v>
      </c>
      <c r="I635" s="5">
        <f>IFERROR(__xludf.DUMMYFUNCTION("""COMPUTED_VALUE"""),29.0)</f>
        <v>29</v>
      </c>
      <c r="J635" s="4" t="str">
        <f>IFERROR(__xludf.DUMMYFUNCTION("""COMPUTED_VALUE"""),"Tier 3")</f>
        <v>Tier 3</v>
      </c>
      <c r="K635" s="4" t="str">
        <f>IFERROR(__xludf.DUMMYFUNCTION("""COMPUTED_VALUE"""),"Active")</f>
        <v>Active</v>
      </c>
      <c r="L635" s="4" t="str">
        <f>IFERROR(__xludf.DUMMYFUNCTION("""COMPUTED_VALUE"""),"BigQuery")</f>
        <v>BigQuery</v>
      </c>
    </row>
    <row r="636">
      <c r="A636" s="4" t="str">
        <f>IFERROR(__xludf.DUMMYFUNCTION("""COMPUTED_VALUE"""),"ONIX492")</f>
        <v>ONIX492</v>
      </c>
      <c r="B636" s="4" t="str">
        <f>IFERROR(__xludf.DUMMYFUNCTION("""COMPUTED_VALUE"""),"Rylie Mansker")</f>
        <v>Rylie Mansker</v>
      </c>
      <c r="C636" s="4" t="str">
        <f>IFERROR(__xludf.DUMMYFUNCTION("""COMPUTED_VALUE"""),"rylie.mansker@onixnet.com")</f>
        <v>rylie.mansker@onixnet.com</v>
      </c>
      <c r="D636" s="4" t="str">
        <f>IFERROR(__xludf.DUMMYFUNCTION("""COMPUTED_VALUE"""),"Active")</f>
        <v>Active</v>
      </c>
      <c r="E636" s="4" t="str">
        <f>IFERROR(__xludf.DUMMYFUNCTION("""COMPUTED_VALUE"""),"Services")</f>
        <v>Services</v>
      </c>
      <c r="F636" s="4" t="str">
        <f>IFERROR(__xludf.DUMMYFUNCTION("""COMPUTED_VALUE"""),"Courtney Cline")</f>
        <v>Courtney Cline</v>
      </c>
      <c r="G636" s="4" t="str">
        <f>IFERROR(__xludf.DUMMYFUNCTION("""COMPUTED_VALUE"""),"Portfolio - Courtney (US East)")</f>
        <v>Portfolio - Courtney (US East)</v>
      </c>
      <c r="H636" s="4" t="str">
        <f>IFERROR(__xludf.DUMMYFUNCTION("""COMPUTED_VALUE"""),"ONIRMVEH1")</f>
        <v>ONIRMVEH1</v>
      </c>
      <c r="I636" s="5">
        <f>IFERROR(__xludf.DUMMYFUNCTION("""COMPUTED_VALUE"""),0.0)</f>
        <v>0</v>
      </c>
      <c r="J636" s="4" t="str">
        <f>IFERROR(__xludf.DUMMYFUNCTION("""COMPUTED_VALUE"""),"Tier 4")</f>
        <v>Tier 4</v>
      </c>
      <c r="K636" s="4" t="str">
        <f>IFERROR(__xludf.DUMMYFUNCTION("""COMPUTED_VALUE"""),"ID Created DRP score 0")</f>
        <v>ID Created DRP score 0</v>
      </c>
      <c r="L636" s="4"/>
    </row>
    <row r="637">
      <c r="A637" s="4" t="str">
        <f>IFERROR(__xludf.DUMMYFUNCTION("""COMPUTED_VALUE"""),"ONIX073")</f>
        <v>ONIX073</v>
      </c>
      <c r="B637" s="4" t="str">
        <f>IFERROR(__xludf.DUMMYFUNCTION("""COMPUTED_VALUE"""),"Samantha Schreiber")</f>
        <v>Samantha Schreiber</v>
      </c>
      <c r="C637" s="4" t="str">
        <f>IFERROR(__xludf.DUMMYFUNCTION("""COMPUTED_VALUE"""),"samantha@onixnet.com")</f>
        <v>samantha@onixnet.com</v>
      </c>
      <c r="D637" s="4" t="str">
        <f>IFERROR(__xludf.DUMMYFUNCTION("""COMPUTED_VALUE"""),"Active")</f>
        <v>Active</v>
      </c>
      <c r="E637" s="4" t="str">
        <f>IFERROR(__xludf.DUMMYFUNCTION("""COMPUTED_VALUE"""),"Sales")</f>
        <v>Sales</v>
      </c>
      <c r="F637" s="4" t="str">
        <f>IFERROR(__xludf.DUMMYFUNCTION("""COMPUTED_VALUE"""),"Scott Fleming")</f>
        <v>Scott Fleming</v>
      </c>
      <c r="G637" s="4" t="str">
        <f>IFERROR(__xludf.DUMMYFUNCTION("""COMPUTED_VALUE"""),"Portfolio - Ankur (Sales)")</f>
        <v>Portfolio - Ankur (Sales)</v>
      </c>
      <c r="H637" s="4"/>
      <c r="I637" s="5"/>
      <c r="J637" s="4"/>
      <c r="K637" s="4" t="str">
        <f>IFERROR(__xludf.DUMMYFUNCTION("""COMPUTED_VALUE"""),"ID Not Created")</f>
        <v>ID Not Created</v>
      </c>
      <c r="L637" s="4"/>
    </row>
    <row r="638">
      <c r="A638" s="4" t="str">
        <f>IFERROR(__xludf.DUMMYFUNCTION("""COMPUTED_VALUE"""),"ONIX661")</f>
        <v>ONIX661</v>
      </c>
      <c r="B638" s="4" t="str">
        <f>IFERROR(__xludf.DUMMYFUNCTION("""COMPUTED_VALUE"""),"Sandeep Bibekar")</f>
        <v>Sandeep Bibekar</v>
      </c>
      <c r="C638" s="4" t="str">
        <f>IFERROR(__xludf.DUMMYFUNCTION("""COMPUTED_VALUE"""),"sandeep.bibekar@onixnet.com")</f>
        <v>sandeep.bibekar@onixnet.com</v>
      </c>
      <c r="D638" s="4" t="str">
        <f>IFERROR(__xludf.DUMMYFUNCTION("""COMPUTED_VALUE"""),"Active")</f>
        <v>Active</v>
      </c>
      <c r="E638" s="4" t="str">
        <f>IFERROR(__xludf.DUMMYFUNCTION("""COMPUTED_VALUE"""),"Services")</f>
        <v>Services</v>
      </c>
      <c r="F638" s="4" t="str">
        <f>IFERROR(__xludf.DUMMYFUNCTION("""COMPUTED_VALUE"""),"Venkata Naresh Kajjayam")</f>
        <v>Venkata Naresh Kajjayam</v>
      </c>
      <c r="G638" s="4" t="str">
        <f>IFERROR(__xludf.DUMMYFUNCTION("""COMPUTED_VALUE"""),"Portfolio - Kanth")</f>
        <v>Portfolio - Kanth</v>
      </c>
      <c r="H638" s="4" t="str">
        <f>IFERROR(__xludf.DUMMYFUNCTION("""COMPUTED_VALUE"""),"DATSBAEW0")</f>
        <v>DATSBAEW0</v>
      </c>
      <c r="I638" s="5">
        <f>IFERROR(__xludf.DUMMYFUNCTION("""COMPUTED_VALUE"""),19.0)</f>
        <v>19</v>
      </c>
      <c r="J638" s="4" t="str">
        <f>IFERROR(__xludf.DUMMYFUNCTION("""COMPUTED_VALUE"""),"Tier 4")</f>
        <v>Tier 4</v>
      </c>
      <c r="K638" s="4" t="str">
        <f>IFERROR(__xludf.DUMMYFUNCTION("""COMPUTED_VALUE"""),"Active")</f>
        <v>Active</v>
      </c>
      <c r="L638" s="4" t="str">
        <f>IFERROR(__xludf.DUMMYFUNCTION("""COMPUTED_VALUE"""),"BigQuery")</f>
        <v>BigQuery</v>
      </c>
    </row>
    <row r="639">
      <c r="A639" s="4" t="str">
        <f>IFERROR(__xludf.DUMMYFUNCTION("""COMPUTED_VALUE"""),"ONIX461")</f>
        <v>ONIX461</v>
      </c>
      <c r="B639" s="4" t="str">
        <f>IFERROR(__xludf.DUMMYFUNCTION("""COMPUTED_VALUE"""),"Sarah Rerko")</f>
        <v>Sarah Rerko</v>
      </c>
      <c r="C639" s="4" t="str">
        <f>IFERROR(__xludf.DUMMYFUNCTION("""COMPUTED_VALUE"""),"sarah.rerko@onixnet.com")</f>
        <v>sarah.rerko@onixnet.com</v>
      </c>
      <c r="D639" s="4" t="str">
        <f>IFERROR(__xludf.DUMMYFUNCTION("""COMPUTED_VALUE"""),"Active")</f>
        <v>Active</v>
      </c>
      <c r="E639" s="4" t="str">
        <f>IFERROR(__xludf.DUMMYFUNCTION("""COMPUTED_VALUE"""),"Sales")</f>
        <v>Sales</v>
      </c>
      <c r="F639" s="4" t="str">
        <f>IFERROR(__xludf.DUMMYFUNCTION("""COMPUTED_VALUE"""),"Samantha Schreiber")</f>
        <v>Samantha Schreiber</v>
      </c>
      <c r="G639" s="4" t="str">
        <f>IFERROR(__xludf.DUMMYFUNCTION("""COMPUTED_VALUE"""),"Portfolio - Ankur (Sales)")</f>
        <v>Portfolio - Ankur (Sales)</v>
      </c>
      <c r="H639" s="4"/>
      <c r="I639" s="5"/>
      <c r="J639" s="4"/>
      <c r="K639" s="4" t="str">
        <f>IFERROR(__xludf.DUMMYFUNCTION("""COMPUTED_VALUE"""),"ID Not Created")</f>
        <v>ID Not Created</v>
      </c>
      <c r="L639" s="4"/>
    </row>
    <row r="640">
      <c r="A640" s="4" t="str">
        <f>IFERROR(__xludf.DUMMYFUNCTION("""COMPUTED_VALUE"""),"ONIX502")</f>
        <v>ONIX502</v>
      </c>
      <c r="B640" s="4" t="str">
        <f>IFERROR(__xludf.DUMMYFUNCTION("""COMPUTED_VALUE"""),"Scott Fleming")</f>
        <v>Scott Fleming</v>
      </c>
      <c r="C640" s="4" t="str">
        <f>IFERROR(__xludf.DUMMYFUNCTION("""COMPUTED_VALUE"""),"scottfleming@onixnet.com")</f>
        <v>scottfleming@onixnet.com</v>
      </c>
      <c r="D640" s="4" t="str">
        <f>IFERROR(__xludf.DUMMYFUNCTION("""COMPUTED_VALUE"""),"Active")</f>
        <v>Active</v>
      </c>
      <c r="E640" s="4" t="str">
        <f>IFERROR(__xludf.DUMMYFUNCTION("""COMPUTED_VALUE"""),"Services")</f>
        <v>Services</v>
      </c>
      <c r="F640" s="4" t="str">
        <f>IFERROR(__xludf.DUMMYFUNCTION("""COMPUTED_VALUE"""),"Ankur Kashyap")</f>
        <v>Ankur Kashyap</v>
      </c>
      <c r="G640" s="4" t="str">
        <f>IFERROR(__xludf.DUMMYFUNCTION("""COMPUTED_VALUE"""),"Portfolio - Ankur (Sales)")</f>
        <v>Portfolio - Ankur (Sales)</v>
      </c>
      <c r="H640" s="4" t="str">
        <f>IFERROR(__xludf.DUMMYFUNCTION("""COMPUTED_VALUE"""),"ONISFQUC5")</f>
        <v>ONISFQUC5</v>
      </c>
      <c r="I640" s="5">
        <f>IFERROR(__xludf.DUMMYFUNCTION("""COMPUTED_VALUE"""),15.0)</f>
        <v>15</v>
      </c>
      <c r="J640" s="4" t="str">
        <f>IFERROR(__xludf.DUMMYFUNCTION("""COMPUTED_VALUE"""),"Tier 4")</f>
        <v>Tier 4</v>
      </c>
      <c r="K640" s="4" t="str">
        <f>IFERROR(__xludf.DUMMYFUNCTION("""COMPUTED_VALUE"""),"Active")</f>
        <v>Active</v>
      </c>
      <c r="L640" s="4"/>
    </row>
    <row r="641">
      <c r="A641" s="4" t="str">
        <f>IFERROR(__xludf.DUMMYFUNCTION("""COMPUTED_VALUE"""),"ONIX624")</f>
        <v>ONIX624</v>
      </c>
      <c r="B641" s="4" t="str">
        <f>IFERROR(__xludf.DUMMYFUNCTION("""COMPUTED_VALUE"""),"Sean O Neil")</f>
        <v>Sean O Neil</v>
      </c>
      <c r="C641" s="4" t="str">
        <f>IFERROR(__xludf.DUMMYFUNCTION("""COMPUTED_VALUE"""),"sean.oneil@onixnet.com")</f>
        <v>sean.oneil@onixnet.com</v>
      </c>
      <c r="D641" s="4" t="str">
        <f>IFERROR(__xludf.DUMMYFUNCTION("""COMPUTED_VALUE"""),"Active")</f>
        <v>Active</v>
      </c>
      <c r="E641" s="4" t="str">
        <f>IFERROR(__xludf.DUMMYFUNCTION("""COMPUTED_VALUE"""),"Services")</f>
        <v>Services</v>
      </c>
      <c r="F641" s="4" t="str">
        <f>IFERROR(__xludf.DUMMYFUNCTION("""COMPUTED_VALUE"""),"James Vandermost")</f>
        <v>James Vandermost</v>
      </c>
      <c r="G641" s="4" t="str">
        <f>IFERROR(__xludf.DUMMYFUNCTION("""COMPUTED_VALUE"""),"Portfolio - Thomas (AI)")</f>
        <v>Portfolio - Thomas (AI)</v>
      </c>
      <c r="H641" s="4" t="str">
        <f>IFERROR(__xludf.DUMMYFUNCTION("""COMPUTED_VALUE"""),"ONISOXXF6")</f>
        <v>ONISOXXF6</v>
      </c>
      <c r="I641" s="5">
        <f>IFERROR(__xludf.DUMMYFUNCTION("""COMPUTED_VALUE"""),23.0)</f>
        <v>23</v>
      </c>
      <c r="J641" s="4" t="str">
        <f>IFERROR(__xludf.DUMMYFUNCTION("""COMPUTED_VALUE"""),"Tier 3")</f>
        <v>Tier 3</v>
      </c>
      <c r="K641" s="4" t="str">
        <f>IFERROR(__xludf.DUMMYFUNCTION("""COMPUTED_VALUE"""),"Active")</f>
        <v>Active</v>
      </c>
      <c r="L641" s="4" t="str">
        <f>IFERROR(__xludf.DUMMYFUNCTION("""COMPUTED_VALUE"""),"AI Applications")</f>
        <v>AI Applications</v>
      </c>
    </row>
    <row r="642">
      <c r="A642" s="4" t="str">
        <f>IFERROR(__xludf.DUMMYFUNCTION("""COMPUTED_VALUE"""),"ONIX424")</f>
        <v>ONIX424</v>
      </c>
      <c r="B642" s="4" t="str">
        <f>IFERROR(__xludf.DUMMYFUNCTION("""COMPUTED_VALUE"""),"Shannon Barnes Smoot")</f>
        <v>Shannon Barnes Smoot</v>
      </c>
      <c r="C642" s="4" t="str">
        <f>IFERROR(__xludf.DUMMYFUNCTION("""COMPUTED_VALUE"""),"shannon.smoot@Onixnet.com")</f>
        <v>shannon.smoot@Onixnet.com</v>
      </c>
      <c r="D642" s="4" t="str">
        <f>IFERROR(__xludf.DUMMYFUNCTION("""COMPUTED_VALUE"""),"Active")</f>
        <v>Active</v>
      </c>
      <c r="E642" s="4" t="str">
        <f>IFERROR(__xludf.DUMMYFUNCTION("""COMPUTED_VALUE"""),"Sales")</f>
        <v>Sales</v>
      </c>
      <c r="F642" s="4" t="str">
        <f>IFERROR(__xludf.DUMMYFUNCTION("""COMPUTED_VALUE"""),"Samantha Schreiber")</f>
        <v>Samantha Schreiber</v>
      </c>
      <c r="G642" s="4" t="str">
        <f>IFERROR(__xludf.DUMMYFUNCTION("""COMPUTED_VALUE"""),"Portfolio - Ankur (Sales)")</f>
        <v>Portfolio - Ankur (Sales)</v>
      </c>
      <c r="H642" s="4"/>
      <c r="I642" s="5"/>
      <c r="J642" s="4"/>
      <c r="K642" s="4" t="str">
        <f>IFERROR(__xludf.DUMMYFUNCTION("""COMPUTED_VALUE"""),"ID Not Created")</f>
        <v>ID Not Created</v>
      </c>
      <c r="L642" s="4"/>
    </row>
    <row r="643">
      <c r="A643" s="4" t="str">
        <f>IFERROR(__xludf.DUMMYFUNCTION("""COMPUTED_VALUE"""),"ONIX609")</f>
        <v>ONIX609</v>
      </c>
      <c r="B643" s="4" t="str">
        <f>IFERROR(__xludf.DUMMYFUNCTION("""COMPUTED_VALUE"""),"Shashikant Vishwakarma")</f>
        <v>Shashikant Vishwakarma</v>
      </c>
      <c r="C643" s="4" t="str">
        <f>IFERROR(__xludf.DUMMYFUNCTION("""COMPUTED_VALUE"""),"shashi.vishwakarma@onixnet.com")</f>
        <v>shashi.vishwakarma@onixnet.com</v>
      </c>
      <c r="D643" s="4" t="str">
        <f>IFERROR(__xludf.DUMMYFUNCTION("""COMPUTED_VALUE"""),"Active")</f>
        <v>Active</v>
      </c>
      <c r="E643" s="4" t="str">
        <f>IFERROR(__xludf.DUMMYFUNCTION("""COMPUTED_VALUE"""),"Services")</f>
        <v>Services</v>
      </c>
      <c r="F643" s="4" t="str">
        <f>IFERROR(__xludf.DUMMYFUNCTION("""COMPUTED_VALUE"""),"Venkata Naresh Kajjayam")</f>
        <v>Venkata Naresh Kajjayam</v>
      </c>
      <c r="G643" s="4" t="str">
        <f>IFERROR(__xludf.DUMMYFUNCTION("""COMPUTED_VALUE"""),"Portfolio - Kanth")</f>
        <v>Portfolio - Kanth</v>
      </c>
      <c r="H643" s="4" t="str">
        <f>IFERROR(__xludf.DUMMYFUNCTION("""COMPUTED_VALUE"""),"ONISVLIW8")</f>
        <v>ONISVLIW8</v>
      </c>
      <c r="I643" s="5">
        <f>IFERROR(__xludf.DUMMYFUNCTION("""COMPUTED_VALUE"""),0.0)</f>
        <v>0</v>
      </c>
      <c r="J643" s="4" t="str">
        <f>IFERROR(__xludf.DUMMYFUNCTION("""COMPUTED_VALUE"""),"Tier 4")</f>
        <v>Tier 4</v>
      </c>
      <c r="K643" s="4" t="str">
        <f>IFERROR(__xludf.DUMMYFUNCTION("""COMPUTED_VALUE"""),"ID Created DRP score 0")</f>
        <v>ID Created DRP score 0</v>
      </c>
      <c r="L643" s="4"/>
    </row>
    <row r="644">
      <c r="A644" s="4" t="str">
        <f>IFERROR(__xludf.DUMMYFUNCTION("""COMPUTED_VALUE"""),"DMSI0109")</f>
        <v>DMSI0109</v>
      </c>
      <c r="B644" s="4" t="str">
        <f>IFERROR(__xludf.DUMMYFUNCTION("""COMPUTED_VALUE"""),"Sujay Patil")</f>
        <v>Sujay Patil</v>
      </c>
      <c r="C644" s="4" t="str">
        <f>IFERROR(__xludf.DUMMYFUNCTION("""COMPUTED_VALUE"""),"sujay.patil@onixnet.com")</f>
        <v>sujay.patil@onixnet.com</v>
      </c>
      <c r="D644" s="4" t="str">
        <f>IFERROR(__xludf.DUMMYFUNCTION("""COMPUTED_VALUE"""),"Active")</f>
        <v>Active</v>
      </c>
      <c r="E644" s="4" t="str">
        <f>IFERROR(__xludf.DUMMYFUNCTION("""COMPUTED_VALUE"""),"Services")</f>
        <v>Services</v>
      </c>
      <c r="F644" s="4" t="str">
        <f>IFERROR(__xludf.DUMMYFUNCTION("""COMPUTED_VALUE"""),"Venkat Srinivasan")</f>
        <v>Venkat Srinivasan</v>
      </c>
      <c r="G644" s="4" t="str">
        <f>IFERROR(__xludf.DUMMYFUNCTION("""COMPUTED_VALUE"""),"Portfolio - Rajesh")</f>
        <v>Portfolio - Rajesh</v>
      </c>
      <c r="H644" s="4" t="str">
        <f>IFERROR(__xludf.DUMMYFUNCTION("""COMPUTED_VALUE"""),"ONISPJIN9")</f>
        <v>ONISPJIN9</v>
      </c>
      <c r="I644" s="5">
        <f>IFERROR(__xludf.DUMMYFUNCTION("""COMPUTED_VALUE"""),59.0)</f>
        <v>59</v>
      </c>
      <c r="J644" s="4" t="str">
        <f>IFERROR(__xludf.DUMMYFUNCTION("""COMPUTED_VALUE"""),"Tier 1")</f>
        <v>Tier 1</v>
      </c>
      <c r="K644" s="4" t="str">
        <f>IFERROR(__xludf.DUMMYFUNCTION("""COMPUTED_VALUE"""),"Active")</f>
        <v>Active</v>
      </c>
      <c r="L644" s="4" t="str">
        <f>IFERROR(__xludf.DUMMYFUNCTION("""COMPUTED_VALUE"""),"BigQuery")</f>
        <v>BigQuery</v>
      </c>
    </row>
    <row r="645">
      <c r="A645" s="4" t="str">
        <f>IFERROR(__xludf.DUMMYFUNCTION("""COMPUTED_VALUE"""),"DMSI0080")</f>
        <v>DMSI0080</v>
      </c>
      <c r="B645" s="4" t="str">
        <f>IFERROR(__xludf.DUMMYFUNCTION("""COMPUTED_VALUE"""),"Sumit Kumar Singh")</f>
        <v>Sumit Kumar Singh</v>
      </c>
      <c r="C645" s="4" t="str">
        <f>IFERROR(__xludf.DUMMYFUNCTION("""COMPUTED_VALUE"""),"sumit.singh@onixnet.com")</f>
        <v>sumit.singh@onixnet.com</v>
      </c>
      <c r="D645" s="4" t="str">
        <f>IFERROR(__xludf.DUMMYFUNCTION("""COMPUTED_VALUE"""),"Active")</f>
        <v>Active</v>
      </c>
      <c r="E645" s="4" t="str">
        <f>IFERROR(__xludf.DUMMYFUNCTION("""COMPUTED_VALUE"""),"Services")</f>
        <v>Services</v>
      </c>
      <c r="F645" s="4" t="str">
        <f>IFERROR(__xludf.DUMMYFUNCTION("""COMPUTED_VALUE"""),"Venkat Srinivasan")</f>
        <v>Venkat Srinivasan</v>
      </c>
      <c r="G645" s="4" t="str">
        <f>IFERROR(__xludf.DUMMYFUNCTION("""COMPUTED_VALUE"""),"Portfolio - Rajesh")</f>
        <v>Portfolio - Rajesh</v>
      </c>
      <c r="H645" s="4"/>
      <c r="I645" s="5"/>
      <c r="J645" s="4"/>
      <c r="K645" s="4" t="str">
        <f>IFERROR(__xludf.DUMMYFUNCTION("""COMPUTED_VALUE"""),"ID Not Created")</f>
        <v>ID Not Created</v>
      </c>
      <c r="L645" s="4"/>
    </row>
    <row r="646">
      <c r="A646" s="4" t="str">
        <f>IFERROR(__xludf.DUMMYFUNCTION("""COMPUTED_VALUE"""),"ONIX577")</f>
        <v>ONIX577</v>
      </c>
      <c r="B646" s="4" t="str">
        <f>IFERROR(__xludf.DUMMYFUNCTION("""COMPUTED_VALUE"""),"Swetha Sri Kulachari")</f>
        <v>Swetha Sri Kulachari</v>
      </c>
      <c r="C646" s="4" t="str">
        <f>IFERROR(__xludf.DUMMYFUNCTION("""COMPUTED_VALUE"""),"swetha.marakani@onixnet.com")</f>
        <v>swetha.marakani@onixnet.com</v>
      </c>
      <c r="D646" s="4" t="str">
        <f>IFERROR(__xludf.DUMMYFUNCTION("""COMPUTED_VALUE"""),"Active")</f>
        <v>Active</v>
      </c>
      <c r="E646" s="4" t="str">
        <f>IFERROR(__xludf.DUMMYFUNCTION("""COMPUTED_VALUE"""),"Services")</f>
        <v>Services</v>
      </c>
      <c r="F646" s="4" t="str">
        <f>IFERROR(__xludf.DUMMYFUNCTION("""COMPUTED_VALUE"""),"Anurag Mynam")</f>
        <v>Anurag Mynam</v>
      </c>
      <c r="G646" s="4" t="str">
        <f>IFERROR(__xludf.DUMMYFUNCTION("""COMPUTED_VALUE"""),"Portfolio - Thomas (AI)")</f>
        <v>Portfolio - Thomas (AI)</v>
      </c>
      <c r="H646" s="4" t="str">
        <f>IFERROR(__xludf.DUMMYFUNCTION("""COMPUTED_VALUE"""),"ONISKKAO4")</f>
        <v>ONISKKAO4</v>
      </c>
      <c r="I646" s="5">
        <f>IFERROR(__xludf.DUMMYFUNCTION("""COMPUTED_VALUE"""),0.0)</f>
        <v>0</v>
      </c>
      <c r="J646" s="4" t="str">
        <f>IFERROR(__xludf.DUMMYFUNCTION("""COMPUTED_VALUE"""),"Tier 4")</f>
        <v>Tier 4</v>
      </c>
      <c r="K646" s="4" t="str">
        <f>IFERROR(__xludf.DUMMYFUNCTION("""COMPUTED_VALUE"""),"ID Created DRP score 0")</f>
        <v>ID Created DRP score 0</v>
      </c>
      <c r="L646" s="4"/>
    </row>
    <row r="647">
      <c r="A647" s="4" t="str">
        <f>IFERROR(__xludf.DUMMYFUNCTION("""COMPUTED_VALUE"""),"DMSI0105")</f>
        <v>DMSI0105</v>
      </c>
      <c r="B647" s="4" t="str">
        <f>IFERROR(__xludf.DUMMYFUNCTION("""COMPUTED_VALUE"""),"Tanush Singh")</f>
        <v>Tanush Singh</v>
      </c>
      <c r="C647" s="4" t="str">
        <f>IFERROR(__xludf.DUMMYFUNCTION("""COMPUTED_VALUE"""),"tanush.singh@onixnet.com")</f>
        <v>tanush.singh@onixnet.com</v>
      </c>
      <c r="D647" s="4" t="str">
        <f>IFERROR(__xludf.DUMMYFUNCTION("""COMPUTED_VALUE"""),"Active")</f>
        <v>Active</v>
      </c>
      <c r="E647" s="4" t="str">
        <f>IFERROR(__xludf.DUMMYFUNCTION("""COMPUTED_VALUE"""),"Services")</f>
        <v>Services</v>
      </c>
      <c r="F647" s="4" t="str">
        <f>IFERROR(__xludf.DUMMYFUNCTION("""COMPUTED_VALUE"""),"Venkat Srinivasan")</f>
        <v>Venkat Srinivasan</v>
      </c>
      <c r="G647" s="4" t="str">
        <f>IFERROR(__xludf.DUMMYFUNCTION("""COMPUTED_VALUE"""),"Portfolio - Rajesh")</f>
        <v>Portfolio - Rajesh</v>
      </c>
      <c r="H647" s="4" t="str">
        <f>IFERROR(__xludf.DUMMYFUNCTION("""COMPUTED_VALUE"""),"ONITSEAW4")</f>
        <v>ONITSEAW4</v>
      </c>
      <c r="I647" s="5">
        <f>IFERROR(__xludf.DUMMYFUNCTION("""COMPUTED_VALUE"""),55.0)</f>
        <v>55</v>
      </c>
      <c r="J647" s="4" t="str">
        <f>IFERROR(__xludf.DUMMYFUNCTION("""COMPUTED_VALUE"""),"Tier 1")</f>
        <v>Tier 1</v>
      </c>
      <c r="K647" s="4" t="str">
        <f>IFERROR(__xludf.DUMMYFUNCTION("""COMPUTED_VALUE"""),"Active")</f>
        <v>Active</v>
      </c>
      <c r="L647" s="4" t="str">
        <f>IFERROR(__xludf.DUMMYFUNCTION("""COMPUTED_VALUE"""),"BigQuery")</f>
        <v>BigQuery</v>
      </c>
    </row>
    <row r="648">
      <c r="A648" s="4" t="str">
        <f>IFERROR(__xludf.DUMMYFUNCTION("""COMPUTED_VALUE"""),"ONIX666")</f>
        <v>ONIX666</v>
      </c>
      <c r="B648" s="4" t="str">
        <f>IFERROR(__xludf.DUMMYFUNCTION("""COMPUTED_VALUE"""),"Thomas Kraus")</f>
        <v>Thomas Kraus</v>
      </c>
      <c r="C648" s="4" t="str">
        <f>IFERROR(__xludf.DUMMYFUNCTION("""COMPUTED_VALUE"""),"thomas.kraus@onixnet.com")</f>
        <v>thomas.kraus@onixnet.com</v>
      </c>
      <c r="D648" s="4" t="str">
        <f>IFERROR(__xludf.DUMMYFUNCTION("""COMPUTED_VALUE"""),"Active")</f>
        <v>Active</v>
      </c>
      <c r="E648" s="4" t="str">
        <f>IFERROR(__xludf.DUMMYFUNCTION("""COMPUTED_VALUE"""),"Sales")</f>
        <v>Sales</v>
      </c>
      <c r="F648" s="4" t="str">
        <f>IFERROR(__xludf.DUMMYFUNCTION("""COMPUTED_VALUE"""),"Ankur Kashyap")</f>
        <v>Ankur Kashyap</v>
      </c>
      <c r="G648" s="4" t="str">
        <f>IFERROR(__xludf.DUMMYFUNCTION("""COMPUTED_VALUE"""),"Portfolio - Ankur (Sales)")</f>
        <v>Portfolio - Ankur (Sales)</v>
      </c>
      <c r="H648" s="4" t="str">
        <f>IFERROR(__xludf.DUMMYFUNCTION("""COMPUTED_VALUE"""),"ONITKISX7")</f>
        <v>ONITKISX7</v>
      </c>
      <c r="I648" s="5">
        <f>IFERROR(__xludf.DUMMYFUNCTION("""COMPUTED_VALUE"""),0.0)</f>
        <v>0</v>
      </c>
      <c r="J648" s="4" t="str">
        <f>IFERROR(__xludf.DUMMYFUNCTION("""COMPUTED_VALUE"""),"Tier 4")</f>
        <v>Tier 4</v>
      </c>
      <c r="K648" s="4" t="str">
        <f>IFERROR(__xludf.DUMMYFUNCTION("""COMPUTED_VALUE"""),"ID Created DRP score 0")</f>
        <v>ID Created DRP score 0</v>
      </c>
      <c r="L648" s="4"/>
    </row>
    <row r="649">
      <c r="A649" s="4" t="str">
        <f>IFERROR(__xludf.DUMMYFUNCTION("""COMPUTED_VALUE"""),"ONIX210")</f>
        <v>ONIX210</v>
      </c>
      <c r="B649" s="4" t="str">
        <f>IFERROR(__xludf.DUMMYFUNCTION("""COMPUTED_VALUE"""),"Timothy Yuras")</f>
        <v>Timothy Yuras</v>
      </c>
      <c r="C649" s="4" t="str">
        <f>IFERROR(__xludf.DUMMYFUNCTION("""COMPUTED_VALUE"""),"yuras@onixnet.com")</f>
        <v>yuras@onixnet.com</v>
      </c>
      <c r="D649" s="4" t="str">
        <f>IFERROR(__xludf.DUMMYFUNCTION("""COMPUTED_VALUE"""),"Active")</f>
        <v>Active</v>
      </c>
      <c r="E649" s="4" t="str">
        <f>IFERROR(__xludf.DUMMYFUNCTION("""COMPUTED_VALUE"""),"Services")</f>
        <v>Services</v>
      </c>
      <c r="F649" s="4" t="str">
        <f>IFERROR(__xludf.DUMMYFUNCTION("""COMPUTED_VALUE"""),"Justin McKibben")</f>
        <v>Justin McKibben</v>
      </c>
      <c r="G649" s="4" t="str">
        <f>IFERROR(__xludf.DUMMYFUNCTION("""COMPUTED_VALUE"""),"Portfolio - Courtney (US East)")</f>
        <v>Portfolio - Courtney (US East)</v>
      </c>
      <c r="H649" s="4" t="str">
        <f>IFERROR(__xludf.DUMMYFUNCTION("""COMPUTED_VALUE"""),"ONITYNVG2")</f>
        <v>ONITYNVG2</v>
      </c>
      <c r="I649" s="5">
        <f>IFERROR(__xludf.DUMMYFUNCTION("""COMPUTED_VALUE"""),0.0)</f>
        <v>0</v>
      </c>
      <c r="J649" s="4" t="str">
        <f>IFERROR(__xludf.DUMMYFUNCTION("""COMPUTED_VALUE"""),"Tier 4")</f>
        <v>Tier 4</v>
      </c>
      <c r="K649" s="4" t="str">
        <f>IFERROR(__xludf.DUMMYFUNCTION("""COMPUTED_VALUE"""),"ID Created DRP score 0")</f>
        <v>ID Created DRP score 0</v>
      </c>
      <c r="L649" s="4"/>
    </row>
    <row r="650">
      <c r="A650" s="4" t="str">
        <f>IFERROR(__xludf.DUMMYFUNCTION("""COMPUTED_VALUE"""),"ONIX520")</f>
        <v>ONIX520</v>
      </c>
      <c r="B650" s="4" t="str">
        <f>IFERROR(__xludf.DUMMYFUNCTION("""COMPUTED_VALUE"""),"Vasanth Mohan")</f>
        <v>Vasanth Mohan</v>
      </c>
      <c r="C650" s="4" t="str">
        <f>IFERROR(__xludf.DUMMYFUNCTION("""COMPUTED_VALUE"""),"vasanth.mohan@onixnet.com")</f>
        <v>vasanth.mohan@onixnet.com</v>
      </c>
      <c r="D650" s="4" t="str">
        <f>IFERROR(__xludf.DUMMYFUNCTION("""COMPUTED_VALUE"""),"Active")</f>
        <v>Active</v>
      </c>
      <c r="E650" s="4" t="str">
        <f>IFERROR(__xludf.DUMMYFUNCTION("""COMPUTED_VALUE"""),"Services")</f>
        <v>Services</v>
      </c>
      <c r="F650" s="4" t="str">
        <f>IFERROR(__xludf.DUMMYFUNCTION("""COMPUTED_VALUE"""),"Courtney Cline")</f>
        <v>Courtney Cline</v>
      </c>
      <c r="G650" s="4" t="str">
        <f>IFERROR(__xludf.DUMMYFUNCTION("""COMPUTED_VALUE"""),"Portfolio - Courtney (US East)")</f>
        <v>Portfolio - Courtney (US East)</v>
      </c>
      <c r="H650" s="4" t="str">
        <f>IFERROR(__xludf.DUMMYFUNCTION("""COMPUTED_VALUE"""),"ONIVMDRV8")</f>
        <v>ONIVMDRV8</v>
      </c>
      <c r="I650" s="5">
        <f>IFERROR(__xludf.DUMMYFUNCTION("""COMPUTED_VALUE"""),19.0)</f>
        <v>19</v>
      </c>
      <c r="J650" s="4" t="str">
        <f>IFERROR(__xludf.DUMMYFUNCTION("""COMPUTED_VALUE"""),"Tier 4")</f>
        <v>Tier 4</v>
      </c>
      <c r="K650" s="4" t="str">
        <f>IFERROR(__xludf.DUMMYFUNCTION("""COMPUTED_VALUE"""),"Active")</f>
        <v>Active</v>
      </c>
      <c r="L650" s="4" t="str">
        <f>IFERROR(__xludf.DUMMYFUNCTION("""COMPUTED_VALUE"""),"Gemini Enterprise")</f>
        <v>Gemini Enterprise</v>
      </c>
    </row>
    <row r="651">
      <c r="A651" s="4" t="str">
        <f>IFERROR(__xludf.DUMMYFUNCTION("""COMPUTED_VALUE"""),"ONIX535")</f>
        <v>ONIX535</v>
      </c>
      <c r="B651" s="4" t="str">
        <f>IFERROR(__xludf.DUMMYFUNCTION("""COMPUTED_VALUE"""),"Venkat Mynam")</f>
        <v>Venkat Mynam</v>
      </c>
      <c r="C651" s="4" t="str">
        <f>IFERROR(__xludf.DUMMYFUNCTION("""COMPUTED_VALUE"""),"anurag.mynam@onixnet.com")</f>
        <v>anurag.mynam@onixnet.com</v>
      </c>
      <c r="D651" s="4" t="str">
        <f>IFERROR(__xludf.DUMMYFUNCTION("""COMPUTED_VALUE"""),"Active")</f>
        <v>Active</v>
      </c>
      <c r="E651" s="4" t="str">
        <f>IFERROR(__xludf.DUMMYFUNCTION("""COMPUTED_VALUE"""),"Services")</f>
        <v>Services</v>
      </c>
      <c r="F651" s="4" t="str">
        <f>IFERROR(__xludf.DUMMYFUNCTION("""COMPUTED_VALUE"""),"Thomas Kraus")</f>
        <v>Thomas Kraus</v>
      </c>
      <c r="G651" s="4" t="str">
        <f>IFERROR(__xludf.DUMMYFUNCTION("""COMPUTED_VALUE"""),"Portfolio - Thomas (AI)")</f>
        <v>Portfolio - Thomas (AI)</v>
      </c>
      <c r="H651" s="4" t="str">
        <f>IFERROR(__xludf.DUMMYFUNCTION("""COMPUTED_VALUE"""),"ONIVMKEF9")</f>
        <v>ONIVMKEF9</v>
      </c>
      <c r="I651" s="5">
        <f>IFERROR(__xludf.DUMMYFUNCTION("""COMPUTED_VALUE"""),0.0)</f>
        <v>0</v>
      </c>
      <c r="J651" s="4" t="str">
        <f>IFERROR(__xludf.DUMMYFUNCTION("""COMPUTED_VALUE"""),"Tier 4")</f>
        <v>Tier 4</v>
      </c>
      <c r="K651" s="4" t="str">
        <f>IFERROR(__xludf.DUMMYFUNCTION("""COMPUTED_VALUE"""),"ID Created DRP score 0")</f>
        <v>ID Created DRP score 0</v>
      </c>
      <c r="L651" s="4"/>
    </row>
    <row r="652">
      <c r="A652" s="4" t="str">
        <f>IFERROR(__xludf.DUMMYFUNCTION("""COMPUTED_VALUE"""),"DMSI0103")</f>
        <v>DMSI0103</v>
      </c>
      <c r="B652" s="4" t="str">
        <f>IFERROR(__xludf.DUMMYFUNCTION("""COMPUTED_VALUE"""),"Venkata Hari Krishna Malyala")</f>
        <v>Venkata Hari Krishna Malyala</v>
      </c>
      <c r="C652" s="4" t="str">
        <f>IFERROR(__xludf.DUMMYFUNCTION("""COMPUTED_VALUE"""),"venkata.malyala@onixnet.com")</f>
        <v>venkata.malyala@onixnet.com</v>
      </c>
      <c r="D652" s="4" t="str">
        <f>IFERROR(__xludf.DUMMYFUNCTION("""COMPUTED_VALUE"""),"Active")</f>
        <v>Active</v>
      </c>
      <c r="E652" s="4" t="str">
        <f>IFERROR(__xludf.DUMMYFUNCTION("""COMPUTED_VALUE"""),"Services")</f>
        <v>Services</v>
      </c>
      <c r="F652" s="4" t="str">
        <f>IFERROR(__xludf.DUMMYFUNCTION("""COMPUTED_VALUE"""),"Vrushali Srivastava")</f>
        <v>Vrushali Srivastava</v>
      </c>
      <c r="G652" s="4" t="str">
        <f>IFERROR(__xludf.DUMMYFUNCTION("""COMPUTED_VALUE"""),"Portfolio - Rajesh")</f>
        <v>Portfolio - Rajesh</v>
      </c>
      <c r="H652" s="4" t="str">
        <f>IFERROR(__xludf.DUMMYFUNCTION("""COMPUTED_VALUE"""),"ONIVMWBI5")</f>
        <v>ONIVMWBI5</v>
      </c>
      <c r="I652" s="5">
        <f>IFERROR(__xludf.DUMMYFUNCTION("""COMPUTED_VALUE"""),10.0)</f>
        <v>10</v>
      </c>
      <c r="J652" s="4" t="str">
        <f>IFERROR(__xludf.DUMMYFUNCTION("""COMPUTED_VALUE"""),"Tier 4")</f>
        <v>Tier 4</v>
      </c>
      <c r="K652" s="4" t="str">
        <f>IFERROR(__xludf.DUMMYFUNCTION("""COMPUTED_VALUE"""),"Active")</f>
        <v>Active</v>
      </c>
      <c r="L652" s="4" t="str">
        <f>IFERROR(__xludf.DUMMYFUNCTION("""COMPUTED_VALUE"""),"Dataflow")</f>
        <v>Dataflow</v>
      </c>
    </row>
    <row r="653">
      <c r="A653" s="4" t="str">
        <f>IFERROR(__xludf.DUMMYFUNCTION("""COMPUTED_VALUE"""),"DMSI0019")</f>
        <v>DMSI0019</v>
      </c>
      <c r="B653" s="4" t="str">
        <f>IFERROR(__xludf.DUMMYFUNCTION("""COMPUTED_VALUE"""),"Vrushali Srivastava")</f>
        <v>Vrushali Srivastava</v>
      </c>
      <c r="C653" s="4" t="str">
        <f>IFERROR(__xludf.DUMMYFUNCTION("""COMPUTED_VALUE"""),"vrushali.srivastava@onixnet.com")</f>
        <v>vrushali.srivastava@onixnet.com</v>
      </c>
      <c r="D653" s="4" t="str">
        <f>IFERROR(__xludf.DUMMYFUNCTION("""COMPUTED_VALUE"""),"Active")</f>
        <v>Active</v>
      </c>
      <c r="E653" s="4" t="str">
        <f>IFERROR(__xludf.DUMMYFUNCTION("""COMPUTED_VALUE"""),"Services")</f>
        <v>Services</v>
      </c>
      <c r="F653" s="4" t="str">
        <f>IFERROR(__xludf.DUMMYFUNCTION("""COMPUTED_VALUE"""),"Rajesh Rai")</f>
        <v>Rajesh Rai</v>
      </c>
      <c r="G653" s="4" t="str">
        <f>IFERROR(__xludf.DUMMYFUNCTION("""COMPUTED_VALUE"""),"Portfolio - Rajesh")</f>
        <v>Portfolio - Rajesh</v>
      </c>
      <c r="H653" s="4"/>
      <c r="I653" s="5"/>
      <c r="J653" s="4"/>
      <c r="K653" s="4" t="str">
        <f>IFERROR(__xludf.DUMMYFUNCTION("""COMPUTED_VALUE"""),"ID Not Created")</f>
        <v>ID Not Created</v>
      </c>
      <c r="L653" s="4"/>
    </row>
    <row r="654">
      <c r="A654" s="4" t="str">
        <f>IFERROR(__xludf.DUMMYFUNCTION("""COMPUTED_VALUE"""),"ONIX562")</f>
        <v>ONIX562</v>
      </c>
      <c r="B654" s="4" t="str">
        <f>IFERROR(__xludf.DUMMYFUNCTION("""COMPUTED_VALUE"""),"Zhanna Rohalska")</f>
        <v>Zhanna Rohalska</v>
      </c>
      <c r="C654" s="4" t="str">
        <f>IFERROR(__xludf.DUMMYFUNCTION("""COMPUTED_VALUE"""),"zhanna.rohalska@onixnet.com")</f>
        <v>zhanna.rohalska@onixnet.com</v>
      </c>
      <c r="D654" s="4" t="str">
        <f>IFERROR(__xludf.DUMMYFUNCTION("""COMPUTED_VALUE"""),"Active")</f>
        <v>Active</v>
      </c>
      <c r="E654" s="4" t="str">
        <f>IFERROR(__xludf.DUMMYFUNCTION("""COMPUTED_VALUE"""),"Services")</f>
        <v>Services</v>
      </c>
      <c r="F654" s="4" t="str">
        <f>IFERROR(__xludf.DUMMYFUNCTION("""COMPUTED_VALUE"""),"Kyle Clark")</f>
        <v>Kyle Clark</v>
      </c>
      <c r="G654" s="4" t="str">
        <f>IFERROR(__xludf.DUMMYFUNCTION("""COMPUTED_VALUE"""),"Portfolio - Thomas (AI)")</f>
        <v>Portfolio - Thomas (AI)</v>
      </c>
      <c r="H654" s="4" t="str">
        <f>IFERROR(__xludf.DUMMYFUNCTION("""COMPUTED_VALUE"""),"ONIZRZTL3")</f>
        <v>ONIZRZTL3</v>
      </c>
      <c r="I654" s="5">
        <f>IFERROR(__xludf.DUMMYFUNCTION("""COMPUTED_VALUE"""),11.0)</f>
        <v>11</v>
      </c>
      <c r="J654" s="4" t="str">
        <f>IFERROR(__xludf.DUMMYFUNCTION("""COMPUTED_VALUE"""),"Tier 4")</f>
        <v>Tier 4</v>
      </c>
      <c r="K654" s="4" t="str">
        <f>IFERROR(__xludf.DUMMYFUNCTION("""COMPUTED_VALUE"""),"Active")</f>
        <v>Active</v>
      </c>
      <c r="L654" s="4" t="str">
        <f>IFERROR(__xludf.DUMMYFUNCTION("""COMPUTED_VALUE"""),"GECX - CCaaS")</f>
        <v>GECX - CCaaS</v>
      </c>
    </row>
    <row r="655">
      <c r="A655" s="4" t="str">
        <f>IFERROR(__xludf.DUMMYFUNCTION("""COMPUTED_VALUE"""),"DMSI0098")</f>
        <v>DMSI0098</v>
      </c>
      <c r="B655" s="4" t="str">
        <f>IFERROR(__xludf.DUMMYFUNCTION("""COMPUTED_VALUE"""),"Divya Nanda")</f>
        <v>Divya Nanda</v>
      </c>
      <c r="C655" s="4" t="str">
        <f>IFERROR(__xludf.DUMMYFUNCTION("""COMPUTED_VALUE"""),"divya.nanda@onixnet.com")</f>
        <v>divya.nanda@onixnet.com</v>
      </c>
      <c r="D655" s="4" t="str">
        <f>IFERROR(__xludf.DUMMYFUNCTION("""COMPUTED_VALUE"""),"Active")</f>
        <v>Active</v>
      </c>
      <c r="E655" s="4" t="str">
        <f>IFERROR(__xludf.DUMMYFUNCTION("""COMPUTED_VALUE"""),"Services")</f>
        <v>Services</v>
      </c>
      <c r="F655" s="4" t="str">
        <f>IFERROR(__xludf.DUMMYFUNCTION("""COMPUTED_VALUE"""),"Kavindra Yerolkar")</f>
        <v>Kavindra Yerolkar</v>
      </c>
      <c r="G655" s="4" t="str">
        <f>IFERROR(__xludf.DUMMYFUNCTION("""COMPUTED_VALUE"""),"Portfolio - Rajesh")</f>
        <v>Portfolio - Rajesh</v>
      </c>
      <c r="H655" s="4" t="str">
        <f>IFERROR(__xludf.DUMMYFUNCTION("""COMPUTED_VALUE"""),"ONIDNRKN7")</f>
        <v>ONIDNRKN7</v>
      </c>
      <c r="I655" s="5">
        <f>IFERROR(__xludf.DUMMYFUNCTION("""COMPUTED_VALUE"""),15.0)</f>
        <v>15</v>
      </c>
      <c r="J655" s="4" t="str">
        <f>IFERROR(__xludf.DUMMYFUNCTION("""COMPUTED_VALUE"""),"Tier 4")</f>
        <v>Tier 4</v>
      </c>
      <c r="K655" s="4" t="str">
        <f>IFERROR(__xludf.DUMMYFUNCTION("""COMPUTED_VALUE"""),"Active")</f>
        <v>Active</v>
      </c>
      <c r="L655" s="4" t="str">
        <f>IFERROR(__xludf.DUMMYFUNCTION("""COMPUTED_VALUE"""),"BigQuery")</f>
        <v>BigQuery</v>
      </c>
    </row>
    <row r="656">
      <c r="A656" s="4" t="str">
        <f>IFERROR(__xludf.DUMMYFUNCTION("""COMPUTED_VALUE"""),"DMUK0005")</f>
        <v>DMUK0005</v>
      </c>
      <c r="B656" s="4" t="str">
        <f>IFERROR(__xludf.DUMMYFUNCTION("""COMPUTED_VALUE"""),"Satyendrakumar Rajendra Prasad Gupta")</f>
        <v>Satyendrakumar Rajendra Prasad Gupta</v>
      </c>
      <c r="C656" s="4" t="str">
        <f>IFERROR(__xludf.DUMMYFUNCTION("""COMPUTED_VALUE"""),"satyendra.gupta@onixnet.com")</f>
        <v>satyendra.gupta@onixnet.com</v>
      </c>
      <c r="D656" s="4" t="str">
        <f>IFERROR(__xludf.DUMMYFUNCTION("""COMPUTED_VALUE"""),"Active")</f>
        <v>Active</v>
      </c>
      <c r="E656" s="4" t="str">
        <f>IFERROR(__xludf.DUMMYFUNCTION("""COMPUTED_VALUE"""),"Delivery Services")</f>
        <v>Delivery Services</v>
      </c>
      <c r="F656" s="4" t="str">
        <f>IFERROR(__xludf.DUMMYFUNCTION("""COMPUTED_VALUE"""),"Siddharth Bhandari")</f>
        <v>Siddharth Bhandari</v>
      </c>
      <c r="G656" s="4" t="str">
        <f>IFERROR(__xludf.DUMMYFUNCTION("""COMPUTED_VALUE"""),"Portfolio - Siddharth")</f>
        <v>Portfolio - Siddharth</v>
      </c>
      <c r="H656" s="4" t="str">
        <f>IFERROR(__xludf.DUMMYFUNCTION("""COMPUTED_VALUE"""),"ONISGCMB2")</f>
        <v>ONISGCMB2</v>
      </c>
      <c r="I656" s="5">
        <f>IFERROR(__xludf.DUMMYFUNCTION("""COMPUTED_VALUE"""),10.0)</f>
        <v>10</v>
      </c>
      <c r="J656" s="4" t="str">
        <f>IFERROR(__xludf.DUMMYFUNCTION("""COMPUTED_VALUE"""),"Tier 4")</f>
        <v>Tier 4</v>
      </c>
      <c r="K656" s="4" t="str">
        <f>IFERROR(__xludf.DUMMYFUNCTION("""COMPUTED_VALUE"""),"Active")</f>
        <v>Active</v>
      </c>
      <c r="L656" s="4" t="str">
        <f>IFERROR(__xludf.DUMMYFUNCTION("""COMPUTED_VALUE"""),"Apigee API Management")</f>
        <v>Apigee API Management</v>
      </c>
    </row>
    <row r="657">
      <c r="A657" s="4" t="str">
        <f>IFERROR(__xludf.DUMMYFUNCTION("""COMPUTED_VALUE"""),"DME2617")</f>
        <v>DME2617</v>
      </c>
      <c r="B657" s="4" t="str">
        <f>IFERROR(__xludf.DUMMYFUNCTION("""COMPUTED_VALUE"""),"Shantanu Gajanan Mapari")</f>
        <v>Shantanu Gajanan Mapari</v>
      </c>
      <c r="C657" s="4" t="str">
        <f>IFERROR(__xludf.DUMMYFUNCTION("""COMPUTED_VALUE"""),"shantanu.mapari@onixnet.com")</f>
        <v>shantanu.mapari@onixnet.com</v>
      </c>
      <c r="D657" s="4" t="str">
        <f>IFERROR(__xludf.DUMMYFUNCTION("""COMPUTED_VALUE"""),"Active")</f>
        <v>Active</v>
      </c>
      <c r="E657" s="4" t="str">
        <f>IFERROR(__xludf.DUMMYFUNCTION("""COMPUTED_VALUE"""),"Product Engineering")</f>
        <v>Product Engineering</v>
      </c>
      <c r="F657" s="4" t="str">
        <f>IFERROR(__xludf.DUMMYFUNCTION("""COMPUTED_VALUE"""),"Yogendra Singh")</f>
        <v>Yogendra Singh</v>
      </c>
      <c r="G657" s="4" t="str">
        <f>IFERROR(__xludf.DUMMYFUNCTION("""COMPUTED_VALUE"""),"Cluster - Mayur")</f>
        <v>Cluster - Mayur</v>
      </c>
      <c r="H657" s="4"/>
      <c r="I657" s="5"/>
      <c r="J657" s="4"/>
      <c r="K657" s="4" t="str">
        <f>IFERROR(__xludf.DUMMYFUNCTION("""COMPUTED_VALUE"""),"ID Not Created")</f>
        <v>ID Not Created</v>
      </c>
      <c r="L657" s="4"/>
    </row>
    <row r="658">
      <c r="A658" s="4" t="str">
        <f>IFERROR(__xludf.DUMMYFUNCTION("""COMPUTED_VALUE"""),"DMUK0008")</f>
        <v>DMUK0008</v>
      </c>
      <c r="B658" s="4" t="str">
        <f>IFERROR(__xludf.DUMMYFUNCTION("""COMPUTED_VALUE"""),"Siddharth Bhandari")</f>
        <v>Siddharth Bhandari</v>
      </c>
      <c r="C658" s="4" t="str">
        <f>IFERROR(__xludf.DUMMYFUNCTION("""COMPUTED_VALUE"""),"siddharth.bhandari@onixnet.com")</f>
        <v>siddharth.bhandari@onixnet.com</v>
      </c>
      <c r="D658" s="4" t="str">
        <f>IFERROR(__xludf.DUMMYFUNCTION("""COMPUTED_VALUE"""),"Active")</f>
        <v>Active</v>
      </c>
      <c r="E658" s="4" t="str">
        <f>IFERROR(__xludf.DUMMYFUNCTION("""COMPUTED_VALUE"""),"Solutions and Pre-Sales")</f>
        <v>Solutions and Pre-Sales</v>
      </c>
      <c r="F658" s="4" t="str">
        <f>IFERROR(__xludf.DUMMYFUNCTION("""COMPUTED_VALUE"""),"Patrick Schablitzki")</f>
        <v>Patrick Schablitzki</v>
      </c>
      <c r="G658" s="4" t="str">
        <f>IFERROR(__xludf.DUMMYFUNCTION("""COMPUTED_VALUE"""),"Portfolio - Gaurav A (Presales)")</f>
        <v>Portfolio - Gaurav A (Presales)</v>
      </c>
      <c r="H658" s="4" t="str">
        <f>IFERROR(__xludf.DUMMYFUNCTION("""COMPUTED_VALUE"""),"ONISBWOT4")</f>
        <v>ONISBWOT4</v>
      </c>
      <c r="I658" s="5">
        <f>IFERROR(__xludf.DUMMYFUNCTION("""COMPUTED_VALUE"""),39.0)</f>
        <v>39</v>
      </c>
      <c r="J658" s="4" t="str">
        <f>IFERROR(__xludf.DUMMYFUNCTION("""COMPUTED_VALUE"""),"Tier 2")</f>
        <v>Tier 2</v>
      </c>
      <c r="K658" s="4" t="str">
        <f>IFERROR(__xludf.DUMMYFUNCTION("""COMPUTED_VALUE"""),"Active")</f>
        <v>Active</v>
      </c>
      <c r="L658" s="4" t="str">
        <f>IFERROR(__xludf.DUMMYFUNCTION("""COMPUTED_VALUE"""),"BigQuery")</f>
        <v>BigQuery</v>
      </c>
    </row>
    <row r="659">
      <c r="A659" s="4" t="str">
        <f>IFERROR(__xludf.DUMMYFUNCTION("""COMPUTED_VALUE"""),"DME2621")</f>
        <v>DME2621</v>
      </c>
      <c r="B659" s="4" t="str">
        <f>IFERROR(__xludf.DUMMYFUNCTION("""COMPUTED_VALUE"""),"Yash Kumar")</f>
        <v>Yash Kumar</v>
      </c>
      <c r="C659" s="4" t="str">
        <f>IFERROR(__xludf.DUMMYFUNCTION("""COMPUTED_VALUE"""),"yash.kumar@onixnet.com")</f>
        <v>yash.kumar@onixnet.com</v>
      </c>
      <c r="D659" s="4" t="str">
        <f>IFERROR(__xludf.DUMMYFUNCTION("""COMPUTED_VALUE"""),"Active")</f>
        <v>Active</v>
      </c>
      <c r="E659" s="4" t="str">
        <f>IFERROR(__xludf.DUMMYFUNCTION("""COMPUTED_VALUE"""),"Delivery Services")</f>
        <v>Delivery Services</v>
      </c>
      <c r="F659" s="4" t="str">
        <f>IFERROR(__xludf.DUMMYFUNCTION("""COMPUTED_VALUE"""),"Varun Katyal")</f>
        <v>Varun Katyal</v>
      </c>
      <c r="G659" s="4" t="str">
        <f>IFERROR(__xludf.DUMMYFUNCTION("""COMPUTED_VALUE"""),"Cluster - Varun")</f>
        <v>Cluster - Varun</v>
      </c>
      <c r="H659" s="4" t="str">
        <f>IFERROR(__xludf.DUMMYFUNCTION("""COMPUTED_VALUE"""),"ONIYKGZY6")</f>
        <v>ONIYKGZY6</v>
      </c>
      <c r="I659" s="5">
        <f>IFERROR(__xludf.DUMMYFUNCTION("""COMPUTED_VALUE"""),9.0)</f>
        <v>9</v>
      </c>
      <c r="J659" s="4" t="str">
        <f>IFERROR(__xludf.DUMMYFUNCTION("""COMPUTED_VALUE"""),"Tier 4")</f>
        <v>Tier 4</v>
      </c>
      <c r="K659" s="4" t="str">
        <f>IFERROR(__xludf.DUMMYFUNCTION("""COMPUTED_VALUE"""),"Active")</f>
        <v>Active</v>
      </c>
      <c r="L659" s="4" t="str">
        <f>IFERROR(__xludf.DUMMYFUNCTION("""COMPUTED_VALUE"""),"Google Kubernetes Engine")</f>
        <v>Google Kubernetes Engine</v>
      </c>
    </row>
    <row r="660">
      <c r="A660" s="4" t="str">
        <f>IFERROR(__xludf.DUMMYFUNCTION("""COMPUTED_VALUE"""),"DMUK0009")</f>
        <v>DMUK0009</v>
      </c>
      <c r="B660" s="4" t="str">
        <f>IFERROR(__xludf.DUMMYFUNCTION("""COMPUTED_VALUE"""),"Pratik Bhangale")</f>
        <v>Pratik Bhangale</v>
      </c>
      <c r="C660" s="4" t="str">
        <f>IFERROR(__xludf.DUMMYFUNCTION("""COMPUTED_VALUE"""),"pratik.Bhangale@onixnet.com")</f>
        <v>pratik.Bhangale@onixnet.com</v>
      </c>
      <c r="D660" s="4" t="str">
        <f>IFERROR(__xludf.DUMMYFUNCTION("""COMPUTED_VALUE"""),"Active")</f>
        <v>Active</v>
      </c>
      <c r="E660" s="4" t="str">
        <f>IFERROR(__xludf.DUMMYFUNCTION("""COMPUTED_VALUE"""),"Delivery Services")</f>
        <v>Delivery Services</v>
      </c>
      <c r="F660" s="4" t="str">
        <f>IFERROR(__xludf.DUMMYFUNCTION("""COMPUTED_VALUE"""),"Siddharth Bhandari")</f>
        <v>Siddharth Bhandari</v>
      </c>
      <c r="G660" s="4" t="str">
        <f>IFERROR(__xludf.DUMMYFUNCTION("""COMPUTED_VALUE"""),"Portfolio - Siddharth")</f>
        <v>Portfolio - Siddharth</v>
      </c>
      <c r="H660" s="4" t="str">
        <f>IFERROR(__xludf.DUMMYFUNCTION("""COMPUTED_VALUE"""),"ONIPBUUQ9")</f>
        <v>ONIPBUUQ9</v>
      </c>
      <c r="I660" s="5">
        <f>IFERROR(__xludf.DUMMYFUNCTION("""COMPUTED_VALUE"""),28.0)</f>
        <v>28</v>
      </c>
      <c r="J660" s="4" t="str">
        <f>IFERROR(__xludf.DUMMYFUNCTION("""COMPUTED_VALUE"""),"Tier 3")</f>
        <v>Tier 3</v>
      </c>
      <c r="K660" s="4" t="str">
        <f>IFERROR(__xludf.DUMMYFUNCTION("""COMPUTED_VALUE"""),"Active")</f>
        <v>Active</v>
      </c>
      <c r="L660" s="4" t="str">
        <f>IFERROR(__xludf.DUMMYFUNCTION("""COMPUTED_VALUE"""),"GECX - CX Agent Studio")</f>
        <v>GECX - CX Agent Studio</v>
      </c>
    </row>
    <row r="661">
      <c r="A661" s="4" t="str">
        <f>IFERROR(__xludf.DUMMYFUNCTION("""COMPUTED_VALUE"""),"DME2628")</f>
        <v>DME2628</v>
      </c>
      <c r="B661" s="4" t="str">
        <f>IFERROR(__xludf.DUMMYFUNCTION("""COMPUTED_VALUE"""),"Arati Girish Kshirsagar")</f>
        <v>Arati Girish Kshirsagar</v>
      </c>
      <c r="C661" s="4" t="str">
        <f>IFERROR(__xludf.DUMMYFUNCTION("""COMPUTED_VALUE"""),"arati.kshirsagar@onixnet.com")</f>
        <v>arati.kshirsagar@onixnet.com</v>
      </c>
      <c r="D661" s="4" t="str">
        <f>IFERROR(__xludf.DUMMYFUNCTION("""COMPUTED_VALUE"""),"Active")</f>
        <v>Active</v>
      </c>
      <c r="E661" s="4" t="str">
        <f>IFERROR(__xludf.DUMMYFUNCTION("""COMPUTED_VALUE"""),"Delivery Services")</f>
        <v>Delivery Services</v>
      </c>
      <c r="F661" s="4" t="str">
        <f>IFERROR(__xludf.DUMMYFUNCTION("""COMPUTED_VALUE"""),"Akash Morey")</f>
        <v>Akash Morey</v>
      </c>
      <c r="G661" s="4" t="str">
        <f>IFERROR(__xludf.DUMMYFUNCTION("""COMPUTED_VALUE"""),"Cluster - Sandeep")</f>
        <v>Cluster - Sandeep</v>
      </c>
      <c r="H661" s="4" t="str">
        <f>IFERROR(__xludf.DUMMYFUNCTION("""COMPUTED_VALUE"""),"ONIAKXBP7")</f>
        <v>ONIAKXBP7</v>
      </c>
      <c r="I661" s="5">
        <f>IFERROR(__xludf.DUMMYFUNCTION("""COMPUTED_VALUE"""),5.0)</f>
        <v>5</v>
      </c>
      <c r="J661" s="4" t="str">
        <f>IFERROR(__xludf.DUMMYFUNCTION("""COMPUTED_VALUE"""),"Tier 4")</f>
        <v>Tier 4</v>
      </c>
      <c r="K661" s="4" t="str">
        <f>IFERROR(__xludf.DUMMYFUNCTION("""COMPUTED_VALUE"""),"Active")</f>
        <v>Active</v>
      </c>
      <c r="L661" s="4" t="str">
        <f>IFERROR(__xludf.DUMMYFUNCTION("""COMPUTED_VALUE"""),"Gemini Enterprise Agent Platform")</f>
        <v>Gemini Enterprise Agent Platform</v>
      </c>
    </row>
    <row r="662">
      <c r="A662" s="4" t="str">
        <f>IFERROR(__xludf.DUMMYFUNCTION("""COMPUTED_VALUE"""),"DME2624")</f>
        <v>DME2624</v>
      </c>
      <c r="B662" s="4" t="str">
        <f>IFERROR(__xludf.DUMMYFUNCTION("""COMPUTED_VALUE"""),"Ashish Shaligram Tiwari")</f>
        <v>Ashish Shaligram Tiwari</v>
      </c>
      <c r="C662" s="4" t="str">
        <f>IFERROR(__xludf.DUMMYFUNCTION("""COMPUTED_VALUE"""),"ashish.tiwari@onixnet.com")</f>
        <v>ashish.tiwari@onixnet.com</v>
      </c>
      <c r="D662" s="4" t="str">
        <f>IFERROR(__xludf.DUMMYFUNCTION("""COMPUTED_VALUE"""),"Active")</f>
        <v>Active</v>
      </c>
      <c r="E662" s="4" t="str">
        <f>IFERROR(__xludf.DUMMYFUNCTION("""COMPUTED_VALUE"""),"Delivery Services")</f>
        <v>Delivery Services</v>
      </c>
      <c r="F662" s="4" t="str">
        <f>IFERROR(__xludf.DUMMYFUNCTION("""COMPUTED_VALUE"""),"Sheela Sawant")</f>
        <v>Sheela Sawant</v>
      </c>
      <c r="G662" s="4" t="str">
        <f>IFERROR(__xludf.DUMMYFUNCTION("""COMPUTED_VALUE"""),"Cluster - Sachin")</f>
        <v>Cluster - Sachin</v>
      </c>
      <c r="H662" s="4" t="str">
        <f>IFERROR(__xludf.DUMMYFUNCTION("""COMPUTED_VALUE"""),"ONIATRBR6")</f>
        <v>ONIATRBR6</v>
      </c>
      <c r="I662" s="5">
        <f>IFERROR(__xludf.DUMMYFUNCTION("""COMPUTED_VALUE"""),10.0)</f>
        <v>10</v>
      </c>
      <c r="J662" s="4" t="str">
        <f>IFERROR(__xludf.DUMMYFUNCTION("""COMPUTED_VALUE"""),"Tier 4")</f>
        <v>Tier 4</v>
      </c>
      <c r="K662" s="4" t="str">
        <f>IFERROR(__xludf.DUMMYFUNCTION("""COMPUTED_VALUE"""),"Active")</f>
        <v>Active</v>
      </c>
      <c r="L662" s="4" t="str">
        <f>IFERROR(__xludf.DUMMYFUNCTION("""COMPUTED_VALUE"""),"AI Applications")</f>
        <v>AI Applications</v>
      </c>
    </row>
    <row r="663">
      <c r="A663" s="4" t="str">
        <f>IFERROR(__xludf.DUMMYFUNCTION("""COMPUTED_VALUE"""),"DME2625")</f>
        <v>DME2625</v>
      </c>
      <c r="B663" s="4" t="str">
        <f>IFERROR(__xludf.DUMMYFUNCTION("""COMPUTED_VALUE"""),"G Venkatramana")</f>
        <v>G Venkatramana</v>
      </c>
      <c r="C663" s="4" t="str">
        <f>IFERROR(__xludf.DUMMYFUNCTION("""COMPUTED_VALUE"""),"venkataramana.g@onixnet.com")</f>
        <v>venkataramana.g@onixnet.com</v>
      </c>
      <c r="D663" s="4" t="str">
        <f>IFERROR(__xludf.DUMMYFUNCTION("""COMPUTED_VALUE"""),"Active")</f>
        <v>Active</v>
      </c>
      <c r="E663" s="4" t="str">
        <f>IFERROR(__xludf.DUMMYFUNCTION("""COMPUTED_VALUE"""),"Delivery Services")</f>
        <v>Delivery Services</v>
      </c>
      <c r="F663" s="4" t="str">
        <f>IFERROR(__xludf.DUMMYFUNCTION("""COMPUTED_VALUE"""),"Sheela Sawant")</f>
        <v>Sheela Sawant</v>
      </c>
      <c r="G663" s="4" t="str">
        <f>IFERROR(__xludf.DUMMYFUNCTION("""COMPUTED_VALUE"""),"Cluster - Sagar")</f>
        <v>Cluster - Sagar</v>
      </c>
      <c r="H663" s="4" t="str">
        <f>IFERROR(__xludf.DUMMYFUNCTION("""COMPUTED_VALUE"""),"ONIVGQXG5")</f>
        <v>ONIVGQXG5</v>
      </c>
      <c r="I663" s="5">
        <f>IFERROR(__xludf.DUMMYFUNCTION("""COMPUTED_VALUE"""),0.0)</f>
        <v>0</v>
      </c>
      <c r="J663" s="4" t="str">
        <f>IFERROR(__xludf.DUMMYFUNCTION("""COMPUTED_VALUE"""),"Tier 4")</f>
        <v>Tier 4</v>
      </c>
      <c r="K663" s="4" t="str">
        <f>IFERROR(__xludf.DUMMYFUNCTION("""COMPUTED_VALUE"""),"ID Created DRP score 0")</f>
        <v>ID Created DRP score 0</v>
      </c>
      <c r="L663" s="4"/>
    </row>
    <row r="664">
      <c r="A664" s="4" t="str">
        <f>IFERROR(__xludf.DUMMYFUNCTION("""COMPUTED_VALUE"""),"DME2627")</f>
        <v>DME2627</v>
      </c>
      <c r="B664" s="4" t="str">
        <f>IFERROR(__xludf.DUMMYFUNCTION("""COMPUTED_VALUE"""),"Abhishek Sharma")</f>
        <v>Abhishek Sharma</v>
      </c>
      <c r="C664" s="4" t="str">
        <f>IFERROR(__xludf.DUMMYFUNCTION("""COMPUTED_VALUE"""),"abhishek.sharma@onixnet.com")</f>
        <v>abhishek.sharma@onixnet.com</v>
      </c>
      <c r="D664" s="4" t="str">
        <f>IFERROR(__xludf.DUMMYFUNCTION("""COMPUTED_VALUE"""),"Active")</f>
        <v>Active</v>
      </c>
      <c r="E664" s="4" t="str">
        <f>IFERROR(__xludf.DUMMYFUNCTION("""COMPUTED_VALUE"""),"Delivery Services")</f>
        <v>Delivery Services</v>
      </c>
      <c r="F664" s="4" t="str">
        <f>IFERROR(__xludf.DUMMYFUNCTION("""COMPUTED_VALUE"""),"Shashank Shekhar")</f>
        <v>Shashank Shekhar</v>
      </c>
      <c r="G664" s="4" t="str">
        <f>IFERROR(__xludf.DUMMYFUNCTION("""COMPUTED_VALUE"""),"Cluster - Sachin")</f>
        <v>Cluster - Sachin</v>
      </c>
      <c r="H664" s="4" t="str">
        <f>IFERROR(__xludf.DUMMYFUNCTION("""COMPUTED_VALUE"""),"ONIASYVC7")</f>
        <v>ONIASYVC7</v>
      </c>
      <c r="I664" s="5">
        <f>IFERROR(__xludf.DUMMYFUNCTION("""COMPUTED_VALUE"""),25.0)</f>
        <v>25</v>
      </c>
      <c r="J664" s="4" t="str">
        <f>IFERROR(__xludf.DUMMYFUNCTION("""COMPUTED_VALUE"""),"Tier 3")</f>
        <v>Tier 3</v>
      </c>
      <c r="K664" s="4" t="str">
        <f>IFERROR(__xludf.DUMMYFUNCTION("""COMPUTED_VALUE"""),"Active")</f>
        <v>Active</v>
      </c>
      <c r="L664" s="4" t="str">
        <f>IFERROR(__xludf.DUMMYFUNCTION("""COMPUTED_VALUE"""),"BigQuery")</f>
        <v>BigQuery</v>
      </c>
    </row>
    <row r="665">
      <c r="A665" s="4" t="str">
        <f>IFERROR(__xludf.DUMMYFUNCTION("""COMPUTED_VALUE"""),"DME2633")</f>
        <v>DME2633</v>
      </c>
      <c r="B665" s="4" t="str">
        <f>IFERROR(__xludf.DUMMYFUNCTION("""COMPUTED_VALUE"""),"Aditya Vitthal Chavan")</f>
        <v>Aditya Vitthal Chavan</v>
      </c>
      <c r="C665" s="4" t="str">
        <f>IFERROR(__xludf.DUMMYFUNCTION("""COMPUTED_VALUE"""),"aditya.chavan@onixnet.com")</f>
        <v>aditya.chavan@onixnet.com</v>
      </c>
      <c r="D665" s="4" t="str">
        <f>IFERROR(__xludf.DUMMYFUNCTION("""COMPUTED_VALUE"""),"Active")</f>
        <v>Active</v>
      </c>
      <c r="E665" s="4" t="str">
        <f>IFERROR(__xludf.DUMMYFUNCTION("""COMPUTED_VALUE"""),"Delivery Services")</f>
        <v>Delivery Services</v>
      </c>
      <c r="F665" s="4" t="str">
        <f>IFERROR(__xludf.DUMMYFUNCTION("""COMPUTED_VALUE"""),"Prabhat Jain")</f>
        <v>Prabhat Jain</v>
      </c>
      <c r="G665" s="4" t="str">
        <f>IFERROR(__xludf.DUMMYFUNCTION("""COMPUTED_VALUE"""),"Cluster - Gaurav")</f>
        <v>Cluster - Gaurav</v>
      </c>
      <c r="H665" s="4" t="str">
        <f>IFERROR(__xludf.DUMMYFUNCTION("""COMPUTED_VALUE"""),"ONIACTRK7")</f>
        <v>ONIACTRK7</v>
      </c>
      <c r="I665" s="5">
        <f>IFERROR(__xludf.DUMMYFUNCTION("""COMPUTED_VALUE"""),12.0)</f>
        <v>12</v>
      </c>
      <c r="J665" s="4" t="str">
        <f>IFERROR(__xludf.DUMMYFUNCTION("""COMPUTED_VALUE"""),"Tier 4")</f>
        <v>Tier 4</v>
      </c>
      <c r="K665" s="4" t="str">
        <f>IFERROR(__xludf.DUMMYFUNCTION("""COMPUTED_VALUE"""),"Active")</f>
        <v>Active</v>
      </c>
      <c r="L665" s="4" t="str">
        <f>IFERROR(__xludf.DUMMYFUNCTION("""COMPUTED_VALUE"""),"Google Kubernetes Engine")</f>
        <v>Google Kubernetes Engine</v>
      </c>
    </row>
    <row r="666">
      <c r="A666" s="4" t="str">
        <f>IFERROR(__xludf.DUMMYFUNCTION("""COMPUTED_VALUE"""),"DME2636")</f>
        <v>DME2636</v>
      </c>
      <c r="B666" s="4" t="str">
        <f>IFERROR(__xludf.DUMMYFUNCTION("""COMPUTED_VALUE"""),"Manav Chandrakant Shinde")</f>
        <v>Manav Chandrakant Shinde</v>
      </c>
      <c r="C666" s="4" t="str">
        <f>IFERROR(__xludf.DUMMYFUNCTION("""COMPUTED_VALUE"""),"manav.shinde@onixnet.com")</f>
        <v>manav.shinde@onixnet.com</v>
      </c>
      <c r="D666" s="4" t="str">
        <f>IFERROR(__xludf.DUMMYFUNCTION("""COMPUTED_VALUE"""),"Active")</f>
        <v>Active</v>
      </c>
      <c r="E666" s="4" t="str">
        <f>IFERROR(__xludf.DUMMYFUNCTION("""COMPUTED_VALUE"""),"Delivery Services")</f>
        <v>Delivery Services</v>
      </c>
      <c r="F666" s="4" t="str">
        <f>IFERROR(__xludf.DUMMYFUNCTION("""COMPUTED_VALUE"""),"Pratik Gajanan Maske")</f>
        <v>Pratik Gajanan Maske</v>
      </c>
      <c r="G666" s="4" t="str">
        <f>IFERROR(__xludf.DUMMYFUNCTION("""COMPUTED_VALUE"""),"Cluster - Gaurav")</f>
        <v>Cluster - Gaurav</v>
      </c>
      <c r="H666" s="4" t="str">
        <f>IFERROR(__xludf.DUMMYFUNCTION("""COMPUTED_VALUE"""),"ONIMSKIN7")</f>
        <v>ONIMSKIN7</v>
      </c>
      <c r="I666" s="5">
        <f>IFERROR(__xludf.DUMMYFUNCTION("""COMPUTED_VALUE"""),16.0)</f>
        <v>16</v>
      </c>
      <c r="J666" s="4" t="str">
        <f>IFERROR(__xludf.DUMMYFUNCTION("""COMPUTED_VALUE"""),"Tier 4")</f>
        <v>Tier 4</v>
      </c>
      <c r="K666" s="4" t="str">
        <f>IFERROR(__xludf.DUMMYFUNCTION("""COMPUTED_VALUE"""),"Active")</f>
        <v>Active</v>
      </c>
      <c r="L666" s="4" t="str">
        <f>IFERROR(__xludf.DUMMYFUNCTION("""COMPUTED_VALUE"""),"BigQuery")</f>
        <v>BigQuery</v>
      </c>
    </row>
    <row r="667">
      <c r="A667" s="4" t="str">
        <f>IFERROR(__xludf.DUMMYFUNCTION("""COMPUTED_VALUE"""),"DME2637")</f>
        <v>DME2637</v>
      </c>
      <c r="B667" s="4" t="str">
        <f>IFERROR(__xludf.DUMMYFUNCTION("""COMPUTED_VALUE"""),"Niranjan Sambhaji Deshmukh")</f>
        <v>Niranjan Sambhaji Deshmukh</v>
      </c>
      <c r="C667" s="4" t="str">
        <f>IFERROR(__xludf.DUMMYFUNCTION("""COMPUTED_VALUE"""),"niranjan.deshmukh@onixnet.com")</f>
        <v>niranjan.deshmukh@onixnet.com</v>
      </c>
      <c r="D667" s="4" t="str">
        <f>IFERROR(__xludf.DUMMYFUNCTION("""COMPUTED_VALUE"""),"Active")</f>
        <v>Active</v>
      </c>
      <c r="E667" s="4" t="str">
        <f>IFERROR(__xludf.DUMMYFUNCTION("""COMPUTED_VALUE"""),"Delivery Services")</f>
        <v>Delivery Services</v>
      </c>
      <c r="F667" s="4" t="str">
        <f>IFERROR(__xludf.DUMMYFUNCTION("""COMPUTED_VALUE"""),"Pratik Gajanan Maske")</f>
        <v>Pratik Gajanan Maske</v>
      </c>
      <c r="G667" s="4" t="str">
        <f>IFERROR(__xludf.DUMMYFUNCTION("""COMPUTED_VALUE"""),"Cluster - Gaurav")</f>
        <v>Cluster - Gaurav</v>
      </c>
      <c r="H667" s="4" t="str">
        <f>IFERROR(__xludf.DUMMYFUNCTION("""COMPUTED_VALUE"""),"ONINDVCD5")</f>
        <v>ONINDVCD5</v>
      </c>
      <c r="I667" s="5">
        <f>IFERROR(__xludf.DUMMYFUNCTION("""COMPUTED_VALUE"""),16.0)</f>
        <v>16</v>
      </c>
      <c r="J667" s="4" t="str">
        <f>IFERROR(__xludf.DUMMYFUNCTION("""COMPUTED_VALUE"""),"Tier 4")</f>
        <v>Tier 4</v>
      </c>
      <c r="K667" s="4" t="str">
        <f>IFERROR(__xludf.DUMMYFUNCTION("""COMPUTED_VALUE"""),"Active")</f>
        <v>Active</v>
      </c>
      <c r="L667" s="4" t="str">
        <f>IFERROR(__xludf.DUMMYFUNCTION("""COMPUTED_VALUE"""),"BigQuery")</f>
        <v>BigQuery</v>
      </c>
    </row>
    <row r="668">
      <c r="A668" s="4" t="str">
        <f>IFERROR(__xludf.DUMMYFUNCTION("""COMPUTED_VALUE"""),"DME2638")</f>
        <v>DME2638</v>
      </c>
      <c r="B668" s="4" t="str">
        <f>IFERROR(__xludf.DUMMYFUNCTION("""COMPUTED_VALUE"""),"Prakalp Sanjay Pande")</f>
        <v>Prakalp Sanjay Pande</v>
      </c>
      <c r="C668" s="4" t="str">
        <f>IFERROR(__xludf.DUMMYFUNCTION("""COMPUTED_VALUE"""),"prakalp.pande@onixnet.com")</f>
        <v>prakalp.pande@onixnet.com</v>
      </c>
      <c r="D668" s="4" t="str">
        <f>IFERROR(__xludf.DUMMYFUNCTION("""COMPUTED_VALUE"""),"Active")</f>
        <v>Active</v>
      </c>
      <c r="E668" s="4" t="str">
        <f>IFERROR(__xludf.DUMMYFUNCTION("""COMPUTED_VALUE"""),"Delivery Services")</f>
        <v>Delivery Services</v>
      </c>
      <c r="F668" s="4" t="str">
        <f>IFERROR(__xludf.DUMMYFUNCTION("""COMPUTED_VALUE"""),"Prabhat Jain")</f>
        <v>Prabhat Jain</v>
      </c>
      <c r="G668" s="4" t="str">
        <f>IFERROR(__xludf.DUMMYFUNCTION("""COMPUTED_VALUE"""),"Cluster - Gaurav")</f>
        <v>Cluster - Gaurav</v>
      </c>
      <c r="H668" s="4" t="str">
        <f>IFERROR(__xludf.DUMMYFUNCTION("""COMPUTED_VALUE"""),"ONIPPAYZ7")</f>
        <v>ONIPPAYZ7</v>
      </c>
      <c r="I668" s="5">
        <f>IFERROR(__xludf.DUMMYFUNCTION("""COMPUTED_VALUE"""),41.0)</f>
        <v>41</v>
      </c>
      <c r="J668" s="4" t="str">
        <f>IFERROR(__xludf.DUMMYFUNCTION("""COMPUTED_VALUE"""),"Tier 2")</f>
        <v>Tier 2</v>
      </c>
      <c r="K668" s="4" t="str">
        <f>IFERROR(__xludf.DUMMYFUNCTION("""COMPUTED_VALUE"""),"Active")</f>
        <v>Active</v>
      </c>
      <c r="L668" s="4" t="str">
        <f>IFERROR(__xludf.DUMMYFUNCTION("""COMPUTED_VALUE"""),"Dataflow")</f>
        <v>Dataflow</v>
      </c>
    </row>
    <row r="669">
      <c r="A669" s="4" t="str">
        <f>IFERROR(__xludf.DUMMYFUNCTION("""COMPUTED_VALUE"""),"DME2641")</f>
        <v>DME2641</v>
      </c>
      <c r="B669" s="4" t="str">
        <f>IFERROR(__xludf.DUMMYFUNCTION("""COMPUTED_VALUE"""),"Siddharth Sanjay Solankure")</f>
        <v>Siddharth Sanjay Solankure</v>
      </c>
      <c r="C669" s="4" t="str">
        <f>IFERROR(__xludf.DUMMYFUNCTION("""COMPUTED_VALUE"""),"siddharth.solankure@onixnet.com")</f>
        <v>siddharth.solankure@onixnet.com</v>
      </c>
      <c r="D669" s="4" t="str">
        <f>IFERROR(__xludf.DUMMYFUNCTION("""COMPUTED_VALUE"""),"Active")</f>
        <v>Active</v>
      </c>
      <c r="E669" s="4" t="str">
        <f>IFERROR(__xludf.DUMMYFUNCTION("""COMPUTED_VALUE"""),"Delivery Services")</f>
        <v>Delivery Services</v>
      </c>
      <c r="F669" s="4" t="str">
        <f>IFERROR(__xludf.DUMMYFUNCTION("""COMPUTED_VALUE"""),"Pratik Karpe")</f>
        <v>Pratik Karpe</v>
      </c>
      <c r="G669" s="4" t="str">
        <f>IFERROR(__xludf.DUMMYFUNCTION("""COMPUTED_VALUE"""),"Cluster - Gaurav")</f>
        <v>Cluster - Gaurav</v>
      </c>
      <c r="H669" s="4" t="str">
        <f>IFERROR(__xludf.DUMMYFUNCTION("""COMPUTED_VALUE"""),"ONISSYMI6")</f>
        <v>ONISSYMI6</v>
      </c>
      <c r="I669" s="5">
        <f>IFERROR(__xludf.DUMMYFUNCTION("""COMPUTED_VALUE"""),26.0)</f>
        <v>26</v>
      </c>
      <c r="J669" s="4" t="str">
        <f>IFERROR(__xludf.DUMMYFUNCTION("""COMPUTED_VALUE"""),"Tier 3")</f>
        <v>Tier 3</v>
      </c>
      <c r="K669" s="4" t="str">
        <f>IFERROR(__xludf.DUMMYFUNCTION("""COMPUTED_VALUE"""),"Active")</f>
        <v>Active</v>
      </c>
      <c r="L669" s="4" t="str">
        <f>IFERROR(__xludf.DUMMYFUNCTION("""COMPUTED_VALUE"""),"BigQuery")</f>
        <v>BigQuery</v>
      </c>
    </row>
    <row r="670">
      <c r="A670" s="4" t="str">
        <f>IFERROR(__xludf.DUMMYFUNCTION("""COMPUTED_VALUE"""),"DME2642")</f>
        <v>DME2642</v>
      </c>
      <c r="B670" s="4" t="str">
        <f>IFERROR(__xludf.DUMMYFUNCTION("""COMPUTED_VALUE"""),"Swapnil Purushottam Yerguntala")</f>
        <v>Swapnil Purushottam Yerguntala</v>
      </c>
      <c r="C670" s="4" t="str">
        <f>IFERROR(__xludf.DUMMYFUNCTION("""COMPUTED_VALUE"""),"swapnil.yerguntala@onixnet.com")</f>
        <v>swapnil.yerguntala@onixnet.com</v>
      </c>
      <c r="D670" s="4" t="str">
        <f>IFERROR(__xludf.DUMMYFUNCTION("""COMPUTED_VALUE"""),"Active")</f>
        <v>Active</v>
      </c>
      <c r="E670" s="4" t="str">
        <f>IFERROR(__xludf.DUMMYFUNCTION("""COMPUTED_VALUE"""),"Delivery Services")</f>
        <v>Delivery Services</v>
      </c>
      <c r="F670" s="4" t="str">
        <f>IFERROR(__xludf.DUMMYFUNCTION("""COMPUTED_VALUE"""),"Anushri Agrawal")</f>
        <v>Anushri Agrawal</v>
      </c>
      <c r="G670" s="4" t="str">
        <f>IFERROR(__xludf.DUMMYFUNCTION("""COMPUTED_VALUE"""),"Cluster - Gaurav")</f>
        <v>Cluster - Gaurav</v>
      </c>
      <c r="H670" s="4" t="str">
        <f>IFERROR(__xludf.DUMMYFUNCTION("""COMPUTED_VALUE"""),"ONISYMLQ3")</f>
        <v>ONISYMLQ3</v>
      </c>
      <c r="I670" s="5">
        <f>IFERROR(__xludf.DUMMYFUNCTION("""COMPUTED_VALUE"""),10.0)</f>
        <v>10</v>
      </c>
      <c r="J670" s="4" t="str">
        <f>IFERROR(__xludf.DUMMYFUNCTION("""COMPUTED_VALUE"""),"Tier 4")</f>
        <v>Tier 4</v>
      </c>
      <c r="K670" s="4" t="str">
        <f>IFERROR(__xludf.DUMMYFUNCTION("""COMPUTED_VALUE"""),"Active")</f>
        <v>Active</v>
      </c>
      <c r="L670" s="4" t="str">
        <f>IFERROR(__xludf.DUMMYFUNCTION("""COMPUTED_VALUE"""),"Google Kubernetes Engine")</f>
        <v>Google Kubernetes Engine</v>
      </c>
    </row>
    <row r="671">
      <c r="A671" s="4" t="str">
        <f>IFERROR(__xludf.DUMMYFUNCTION("""COMPUTED_VALUE"""),"DME2632")</f>
        <v>DME2632</v>
      </c>
      <c r="B671" s="4" t="str">
        <f>IFERROR(__xludf.DUMMYFUNCTION("""COMPUTED_VALUE"""),"Anitha Kumari M S")</f>
        <v>Anitha Kumari M S</v>
      </c>
      <c r="C671" s="4" t="str">
        <f>IFERROR(__xludf.DUMMYFUNCTION("""COMPUTED_VALUE"""),"anitha.ms@onixnet.com")</f>
        <v>anitha.ms@onixnet.com</v>
      </c>
      <c r="D671" s="4" t="str">
        <f>IFERROR(__xludf.DUMMYFUNCTION("""COMPUTED_VALUE"""),"Active")</f>
        <v>Active</v>
      </c>
      <c r="E671" s="4" t="str">
        <f>IFERROR(__xludf.DUMMYFUNCTION("""COMPUTED_VALUE"""),"Delivery Services")</f>
        <v>Delivery Services</v>
      </c>
      <c r="F671" s="4" t="str">
        <f>IFERROR(__xludf.DUMMYFUNCTION("""COMPUTED_VALUE"""),"Rahul Chandak")</f>
        <v>Rahul Chandak</v>
      </c>
      <c r="G671" s="4" t="str">
        <f>IFERROR(__xludf.DUMMYFUNCTION("""COMPUTED_VALUE"""),"Cluster - Sagar")</f>
        <v>Cluster - Sagar</v>
      </c>
      <c r="H671" s="4" t="str">
        <f>IFERROR(__xludf.DUMMYFUNCTION("""COMPUTED_VALUE"""),"ONIAKRHW4")</f>
        <v>ONIAKRHW4</v>
      </c>
      <c r="I671" s="5">
        <f>IFERROR(__xludf.DUMMYFUNCTION("""COMPUTED_VALUE"""),0.0)</f>
        <v>0</v>
      </c>
      <c r="J671" s="4" t="str">
        <f>IFERROR(__xludf.DUMMYFUNCTION("""COMPUTED_VALUE"""),"Tier 4")</f>
        <v>Tier 4</v>
      </c>
      <c r="K671" s="4" t="str">
        <f>IFERROR(__xludf.DUMMYFUNCTION("""COMPUTED_VALUE"""),"ID Created DRP score 0")</f>
        <v>ID Created DRP score 0</v>
      </c>
      <c r="L671" s="4"/>
    </row>
    <row r="672">
      <c r="A672" s="4" t="str">
        <f>IFERROR(__xludf.DUMMYFUNCTION("""COMPUTED_VALUE"""),"DME2644")</f>
        <v>DME2644</v>
      </c>
      <c r="B672" s="4" t="str">
        <f>IFERROR(__xludf.DUMMYFUNCTION("""COMPUTED_VALUE"""),"Satish Kumar N")</f>
        <v>Satish Kumar N</v>
      </c>
      <c r="C672" s="4" t="str">
        <f>IFERROR(__xludf.DUMMYFUNCTION("""COMPUTED_VALUE"""),"satish.kumar1@onixnet.com")</f>
        <v>satish.kumar1@onixnet.com</v>
      </c>
      <c r="D672" s="4" t="str">
        <f>IFERROR(__xludf.DUMMYFUNCTION("""COMPUTED_VALUE"""),"Active")</f>
        <v>Active</v>
      </c>
      <c r="E672" s="4" t="str">
        <f>IFERROR(__xludf.DUMMYFUNCTION("""COMPUTED_VALUE"""),"Delivery Services")</f>
        <v>Delivery Services</v>
      </c>
      <c r="F672" s="4" t="str">
        <f>IFERROR(__xludf.DUMMYFUNCTION("""COMPUTED_VALUE"""),"Sachin Jakhar")</f>
        <v>Sachin Jakhar</v>
      </c>
      <c r="G672" s="4" t="str">
        <f>IFERROR(__xludf.DUMMYFUNCTION("""COMPUTED_VALUE"""),"Cluster - Sachin")</f>
        <v>Cluster - Sachin</v>
      </c>
      <c r="H672" s="4" t="str">
        <f>IFERROR(__xludf.DUMMYFUNCTION("""COMPUTED_VALUE"""),"ONISKRRE9")</f>
        <v>ONISKRRE9</v>
      </c>
      <c r="I672" s="5">
        <f>IFERROR(__xludf.DUMMYFUNCTION("""COMPUTED_VALUE"""),29.0)</f>
        <v>29</v>
      </c>
      <c r="J672" s="4" t="str">
        <f>IFERROR(__xludf.DUMMYFUNCTION("""COMPUTED_VALUE"""),"Tier 3")</f>
        <v>Tier 3</v>
      </c>
      <c r="K672" s="4" t="str">
        <f>IFERROR(__xludf.DUMMYFUNCTION("""COMPUTED_VALUE"""),"Active")</f>
        <v>Active</v>
      </c>
      <c r="L672" s="4" t="str">
        <f>IFERROR(__xludf.DUMMYFUNCTION("""COMPUTED_VALUE"""),"GECX - Agent Assist")</f>
        <v>GECX - Agent Assist</v>
      </c>
    </row>
    <row r="673">
      <c r="A673" s="4" t="str">
        <f>IFERROR(__xludf.DUMMYFUNCTION("""COMPUTED_VALUE"""),"DME2645")</f>
        <v>DME2645</v>
      </c>
      <c r="B673" s="4" t="str">
        <f>IFERROR(__xludf.DUMMYFUNCTION("""COMPUTED_VALUE"""),"Ayush")</f>
        <v>Ayush</v>
      </c>
      <c r="C673" s="4" t="str">
        <f>IFERROR(__xludf.DUMMYFUNCTION("""COMPUTED_VALUE"""),"ayush.sinha@onixnet.com")</f>
        <v>ayush.sinha@onixnet.com</v>
      </c>
      <c r="D673" s="4" t="str">
        <f>IFERROR(__xludf.DUMMYFUNCTION("""COMPUTED_VALUE"""),"Active")</f>
        <v>Active</v>
      </c>
      <c r="E673" s="4" t="str">
        <f>IFERROR(__xludf.DUMMYFUNCTION("""COMPUTED_VALUE"""),"Delivery Services")</f>
        <v>Delivery Services</v>
      </c>
      <c r="F673" s="4" t="str">
        <f>IFERROR(__xludf.DUMMYFUNCTION("""COMPUTED_VALUE"""),"Hemanth Kolluru")</f>
        <v>Hemanth Kolluru</v>
      </c>
      <c r="G673" s="4" t="str">
        <f>IFERROR(__xludf.DUMMYFUNCTION("""COMPUTED_VALUE"""),"Cluster - Sachin")</f>
        <v>Cluster - Sachin</v>
      </c>
      <c r="H673" s="4" t="str">
        <f>IFERROR(__xludf.DUMMYFUNCTION("""COMPUTED_VALUE"""),"ONIAUKYX7")</f>
        <v>ONIAUKYX7</v>
      </c>
      <c r="I673" s="5">
        <f>IFERROR(__xludf.DUMMYFUNCTION("""COMPUTED_VALUE"""),9.0)</f>
        <v>9</v>
      </c>
      <c r="J673" s="4" t="str">
        <f>IFERROR(__xludf.DUMMYFUNCTION("""COMPUTED_VALUE"""),"Tier 4")</f>
        <v>Tier 4</v>
      </c>
      <c r="K673" s="4" t="str">
        <f>IFERROR(__xludf.DUMMYFUNCTION("""COMPUTED_VALUE"""),"Active")</f>
        <v>Active</v>
      </c>
      <c r="L673" s="4" t="str">
        <f>IFERROR(__xludf.DUMMYFUNCTION("""COMPUTED_VALUE"""),"AI Applications")</f>
        <v>AI Applications</v>
      </c>
    </row>
    <row r="674">
      <c r="A674" s="4" t="str">
        <f>IFERROR(__xludf.DUMMYFUNCTION("""COMPUTED_VALUE"""),"DME2646")</f>
        <v>DME2646</v>
      </c>
      <c r="B674" s="4" t="str">
        <f>IFERROR(__xludf.DUMMYFUNCTION("""COMPUTED_VALUE"""),"Tushar Narayan Jagtap")</f>
        <v>Tushar Narayan Jagtap</v>
      </c>
      <c r="C674" s="4" t="str">
        <f>IFERROR(__xludf.DUMMYFUNCTION("""COMPUTED_VALUE"""),"tushar.jagtap@onixnet.com")</f>
        <v>tushar.jagtap@onixnet.com</v>
      </c>
      <c r="D674" s="4" t="str">
        <f>IFERROR(__xludf.DUMMYFUNCTION("""COMPUTED_VALUE"""),"Active")</f>
        <v>Active</v>
      </c>
      <c r="E674" s="4" t="str">
        <f>IFERROR(__xludf.DUMMYFUNCTION("""COMPUTED_VALUE"""),"Delivery Services")</f>
        <v>Delivery Services</v>
      </c>
      <c r="F674" s="4" t="str">
        <f>IFERROR(__xludf.DUMMYFUNCTION("""COMPUTED_VALUE"""),"Sneha Bhatambrekar")</f>
        <v>Sneha Bhatambrekar</v>
      </c>
      <c r="G674" s="4" t="str">
        <f>IFERROR(__xludf.DUMMYFUNCTION("""COMPUTED_VALUE"""),"Cluster - Sandeep")</f>
        <v>Cluster - Sandeep</v>
      </c>
      <c r="H674" s="4" t="str">
        <f>IFERROR(__xludf.DUMMYFUNCTION("""COMPUTED_VALUE"""),"ONITJPCI7")</f>
        <v>ONITJPCI7</v>
      </c>
      <c r="I674" s="5">
        <f>IFERROR(__xludf.DUMMYFUNCTION("""COMPUTED_VALUE"""),17.0)</f>
        <v>17</v>
      </c>
      <c r="J674" s="4" t="str">
        <f>IFERROR(__xludf.DUMMYFUNCTION("""COMPUTED_VALUE"""),"Tier 4")</f>
        <v>Tier 4</v>
      </c>
      <c r="K674" s="4" t="str">
        <f>IFERROR(__xludf.DUMMYFUNCTION("""COMPUTED_VALUE"""),"Active")</f>
        <v>Active</v>
      </c>
      <c r="L674" s="4" t="str">
        <f>IFERROR(__xludf.DUMMYFUNCTION("""COMPUTED_VALUE"""),"BigQuery")</f>
        <v>BigQuery</v>
      </c>
    </row>
    <row r="675">
      <c r="A675" s="4" t="str">
        <f>IFERROR(__xludf.DUMMYFUNCTION("""COMPUTED_VALUE"""),"DME2648")</f>
        <v>DME2648</v>
      </c>
      <c r="B675" s="4" t="str">
        <f>IFERROR(__xludf.DUMMYFUNCTION("""COMPUTED_VALUE"""),"Mithilesh Kanhaiyasinh Pardeshi")</f>
        <v>Mithilesh Kanhaiyasinh Pardeshi</v>
      </c>
      <c r="C675" s="4" t="str">
        <f>IFERROR(__xludf.DUMMYFUNCTION("""COMPUTED_VALUE"""),"mithilesh.pardeshi@onixnet.com")</f>
        <v>mithilesh.pardeshi@onixnet.com</v>
      </c>
      <c r="D675" s="4" t="str">
        <f>IFERROR(__xludf.DUMMYFUNCTION("""COMPUTED_VALUE"""),"Active")</f>
        <v>Active</v>
      </c>
      <c r="E675" s="4" t="str">
        <f>IFERROR(__xludf.DUMMYFUNCTION("""COMPUTED_VALUE"""),"Delivery Services")</f>
        <v>Delivery Services</v>
      </c>
      <c r="F675" s="4" t="str">
        <f>IFERROR(__xludf.DUMMYFUNCTION("""COMPUTED_VALUE"""),"Sheela Sawant")</f>
        <v>Sheela Sawant</v>
      </c>
      <c r="G675" s="4" t="str">
        <f>IFERROR(__xludf.DUMMYFUNCTION("""COMPUTED_VALUE"""),"Cluster - Sagar")</f>
        <v>Cluster - Sagar</v>
      </c>
      <c r="H675" s="4" t="str">
        <f>IFERROR(__xludf.DUMMYFUNCTION("""COMPUTED_VALUE"""),"ONIMPJIY4")</f>
        <v>ONIMPJIY4</v>
      </c>
      <c r="I675" s="5">
        <f>IFERROR(__xludf.DUMMYFUNCTION("""COMPUTED_VALUE"""),20.0)</f>
        <v>20</v>
      </c>
      <c r="J675" s="4" t="str">
        <f>IFERROR(__xludf.DUMMYFUNCTION("""COMPUTED_VALUE"""),"Tier 3")</f>
        <v>Tier 3</v>
      </c>
      <c r="K675" s="4" t="str">
        <f>IFERROR(__xludf.DUMMYFUNCTION("""COMPUTED_VALUE"""),"Active")</f>
        <v>Active</v>
      </c>
      <c r="L675" s="4" t="str">
        <f>IFERROR(__xludf.DUMMYFUNCTION("""COMPUTED_VALUE"""),"BigQuery")</f>
        <v>BigQuery</v>
      </c>
    </row>
    <row r="676">
      <c r="A676" s="4" t="str">
        <f>IFERROR(__xludf.DUMMYFUNCTION("""COMPUTED_VALUE"""),"DME2650")</f>
        <v>DME2650</v>
      </c>
      <c r="B676" s="4" t="str">
        <f>IFERROR(__xludf.DUMMYFUNCTION("""COMPUTED_VALUE"""),"Shubham Agnihotri")</f>
        <v>Shubham Agnihotri</v>
      </c>
      <c r="C676" s="4" t="str">
        <f>IFERROR(__xludf.DUMMYFUNCTION("""COMPUTED_VALUE"""),"shubham.agnihotri@onixnet.com")</f>
        <v>shubham.agnihotri@onixnet.com</v>
      </c>
      <c r="D676" s="4" t="str">
        <f>IFERROR(__xludf.DUMMYFUNCTION("""COMPUTED_VALUE"""),"Active")</f>
        <v>Active</v>
      </c>
      <c r="E676" s="4" t="str">
        <f>IFERROR(__xludf.DUMMYFUNCTION("""COMPUTED_VALUE"""),"Delivery Services")</f>
        <v>Delivery Services</v>
      </c>
      <c r="F676" s="4" t="str">
        <f>IFERROR(__xludf.DUMMYFUNCTION("""COMPUTED_VALUE"""),"Amish Ojha")</f>
        <v>Amish Ojha</v>
      </c>
      <c r="G676" s="4" t="str">
        <f>IFERROR(__xludf.DUMMYFUNCTION("""COMPUTED_VALUE"""),"Cluster - Gaurav")</f>
        <v>Cluster - Gaurav</v>
      </c>
      <c r="H676" s="4" t="str">
        <f>IFERROR(__xludf.DUMMYFUNCTION("""COMPUTED_VALUE"""),"ONISAYXW4")</f>
        <v>ONISAYXW4</v>
      </c>
      <c r="I676" s="5">
        <f>IFERROR(__xludf.DUMMYFUNCTION("""COMPUTED_VALUE"""),0.0)</f>
        <v>0</v>
      </c>
      <c r="J676" s="4" t="str">
        <f>IFERROR(__xludf.DUMMYFUNCTION("""COMPUTED_VALUE"""),"Tier 4")</f>
        <v>Tier 4</v>
      </c>
      <c r="K676" s="4" t="str">
        <f>IFERROR(__xludf.DUMMYFUNCTION("""COMPUTED_VALUE"""),"ID Created DRP score 0")</f>
        <v>ID Created DRP score 0</v>
      </c>
      <c r="L676" s="4"/>
    </row>
    <row r="677">
      <c r="A677" s="4" t="str">
        <f>IFERROR(__xludf.DUMMYFUNCTION("""COMPUTED_VALUE"""),"DME2652")</f>
        <v>DME2652</v>
      </c>
      <c r="B677" s="4" t="str">
        <f>IFERROR(__xludf.DUMMYFUNCTION("""COMPUTED_VALUE"""),"Ankit Srivastava")</f>
        <v>Ankit Srivastava</v>
      </c>
      <c r="C677" s="4" t="str">
        <f>IFERROR(__xludf.DUMMYFUNCTION("""COMPUTED_VALUE"""),"ankit.srivastava@onixnet.com")</f>
        <v>ankit.srivastava@onixnet.com</v>
      </c>
      <c r="D677" s="4" t="str">
        <f>IFERROR(__xludf.DUMMYFUNCTION("""COMPUTED_VALUE"""),"Active")</f>
        <v>Active</v>
      </c>
      <c r="E677" s="4" t="str">
        <f>IFERROR(__xludf.DUMMYFUNCTION("""COMPUTED_VALUE"""),"Delivery Services")</f>
        <v>Delivery Services</v>
      </c>
      <c r="F677" s="4" t="str">
        <f>IFERROR(__xludf.DUMMYFUNCTION("""COMPUTED_VALUE"""),"Hemanth Kolluru")</f>
        <v>Hemanth Kolluru</v>
      </c>
      <c r="G677" s="4" t="str">
        <f>IFERROR(__xludf.DUMMYFUNCTION("""COMPUTED_VALUE"""),"Cluster - Sachin")</f>
        <v>Cluster - Sachin</v>
      </c>
      <c r="H677" s="4" t="str">
        <f>IFERROR(__xludf.DUMMYFUNCTION("""COMPUTED_VALUE"""),"ONIASPRS1")</f>
        <v>ONIASPRS1</v>
      </c>
      <c r="I677" s="5">
        <f>IFERROR(__xludf.DUMMYFUNCTION("""COMPUTED_VALUE"""),14.0)</f>
        <v>14</v>
      </c>
      <c r="J677" s="4" t="str">
        <f>IFERROR(__xludf.DUMMYFUNCTION("""COMPUTED_VALUE"""),"Tier 4")</f>
        <v>Tier 4</v>
      </c>
      <c r="K677" s="4" t="str">
        <f>IFERROR(__xludf.DUMMYFUNCTION("""COMPUTED_VALUE"""),"Active")</f>
        <v>Active</v>
      </c>
      <c r="L677" s="4" t="str">
        <f>IFERROR(__xludf.DUMMYFUNCTION("""COMPUTED_VALUE"""),"BigQuery")</f>
        <v>BigQuery</v>
      </c>
    </row>
    <row r="678">
      <c r="A678" s="4" t="str">
        <f>IFERROR(__xludf.DUMMYFUNCTION("""COMPUTED_VALUE"""),"DME2653")</f>
        <v>DME2653</v>
      </c>
      <c r="B678" s="4" t="str">
        <f>IFERROR(__xludf.DUMMYFUNCTION("""COMPUTED_VALUE"""),"Mangesh Haridas Mane")</f>
        <v>Mangesh Haridas Mane</v>
      </c>
      <c r="C678" s="4" t="str">
        <f>IFERROR(__xludf.DUMMYFUNCTION("""COMPUTED_VALUE"""),"mangesh.mane@onixnet.com")</f>
        <v>mangesh.mane@onixnet.com</v>
      </c>
      <c r="D678" s="4" t="str">
        <f>IFERROR(__xludf.DUMMYFUNCTION("""COMPUTED_VALUE"""),"Active")</f>
        <v>Active</v>
      </c>
      <c r="E678" s="4" t="str">
        <f>IFERROR(__xludf.DUMMYFUNCTION("""COMPUTED_VALUE"""),"Delivery Services")</f>
        <v>Delivery Services</v>
      </c>
      <c r="F678" s="4" t="str">
        <f>IFERROR(__xludf.DUMMYFUNCTION("""COMPUTED_VALUE"""),"Aarti Borhade")</f>
        <v>Aarti Borhade</v>
      </c>
      <c r="G678" s="4" t="str">
        <f>IFERROR(__xludf.DUMMYFUNCTION("""COMPUTED_VALUE"""),"Cluster - Sagar")</f>
        <v>Cluster - Sagar</v>
      </c>
      <c r="H678" s="4" t="str">
        <f>IFERROR(__xludf.DUMMYFUNCTION("""COMPUTED_VALUE"""),"ONIMMIHC5")</f>
        <v>ONIMMIHC5</v>
      </c>
      <c r="I678" s="5">
        <f>IFERROR(__xludf.DUMMYFUNCTION("""COMPUTED_VALUE"""),10.0)</f>
        <v>10</v>
      </c>
      <c r="J678" s="4" t="str">
        <f>IFERROR(__xludf.DUMMYFUNCTION("""COMPUTED_VALUE"""),"Tier 4")</f>
        <v>Tier 4</v>
      </c>
      <c r="K678" s="4" t="str">
        <f>IFERROR(__xludf.DUMMYFUNCTION("""COMPUTED_VALUE"""),"Active")</f>
        <v>Active</v>
      </c>
      <c r="L678" s="4" t="str">
        <f>IFERROR(__xludf.DUMMYFUNCTION("""COMPUTED_VALUE"""),"BigQuery")</f>
        <v>BigQuery</v>
      </c>
    </row>
    <row r="679">
      <c r="A679" s="4" t="str">
        <f>IFERROR(__xludf.DUMMYFUNCTION("""COMPUTED_VALUE"""),"DME2654")</f>
        <v>DME2654</v>
      </c>
      <c r="B679" s="4" t="str">
        <f>IFERROR(__xludf.DUMMYFUNCTION("""COMPUTED_VALUE"""),"Akash Anand Bendale")</f>
        <v>Akash Anand Bendale</v>
      </c>
      <c r="C679" s="4" t="str">
        <f>IFERROR(__xludf.DUMMYFUNCTION("""COMPUTED_VALUE"""),"akash.bendale@onixnet.com")</f>
        <v>akash.bendale@onixnet.com</v>
      </c>
      <c r="D679" s="4" t="str">
        <f>IFERROR(__xludf.DUMMYFUNCTION("""COMPUTED_VALUE"""),"Active")</f>
        <v>Active</v>
      </c>
      <c r="E679" s="4" t="str">
        <f>IFERROR(__xludf.DUMMYFUNCTION("""COMPUTED_VALUE"""),"Product Engineering")</f>
        <v>Product Engineering</v>
      </c>
      <c r="F679" s="4" t="str">
        <f>IFERROR(__xludf.DUMMYFUNCTION("""COMPUTED_VALUE"""),"Laxmikant Chavan")</f>
        <v>Laxmikant Chavan</v>
      </c>
      <c r="G679" s="4" t="str">
        <f>IFERROR(__xludf.DUMMYFUNCTION("""COMPUTED_VALUE"""),"Cluster - Mayur")</f>
        <v>Cluster - Mayur</v>
      </c>
      <c r="H679" s="4"/>
      <c r="I679" s="5"/>
      <c r="J679" s="4"/>
      <c r="K679" s="4" t="str">
        <f>IFERROR(__xludf.DUMMYFUNCTION("""COMPUTED_VALUE"""),"ID Not Created")</f>
        <v>ID Not Created</v>
      </c>
      <c r="L679" s="4"/>
    </row>
    <row r="680">
      <c r="A680" s="4" t="str">
        <f>IFERROR(__xludf.DUMMYFUNCTION("""COMPUTED_VALUE"""),"DME2655")</f>
        <v>DME2655</v>
      </c>
      <c r="B680" s="4" t="str">
        <f>IFERROR(__xludf.DUMMYFUNCTION("""COMPUTED_VALUE"""),"Amit Kumar Garg")</f>
        <v>Amit Kumar Garg</v>
      </c>
      <c r="C680" s="4" t="str">
        <f>IFERROR(__xludf.DUMMYFUNCTION("""COMPUTED_VALUE"""),"amit.garg@onixnet.com")</f>
        <v>amit.garg@onixnet.com</v>
      </c>
      <c r="D680" s="4" t="str">
        <f>IFERROR(__xludf.DUMMYFUNCTION("""COMPUTED_VALUE"""),"Active")</f>
        <v>Active</v>
      </c>
      <c r="E680" s="4" t="str">
        <f>IFERROR(__xludf.DUMMYFUNCTION("""COMPUTED_VALUE"""),"Solutions and Pre-Sales")</f>
        <v>Solutions and Pre-Sales</v>
      </c>
      <c r="F680" s="4" t="str">
        <f>IFERROR(__xludf.DUMMYFUNCTION("""COMPUTED_VALUE"""),"Gaurav Agarwaal")</f>
        <v>Gaurav Agarwaal</v>
      </c>
      <c r="G680" s="4" t="str">
        <f>IFERROR(__xludf.DUMMYFUNCTION("""COMPUTED_VALUE"""),"Portfolio - Gaurav A (Presales)")</f>
        <v>Portfolio - Gaurav A (Presales)</v>
      </c>
      <c r="H680" s="4" t="str">
        <f>IFERROR(__xludf.DUMMYFUNCTION("""COMPUTED_VALUE"""),"ONIAGJOE3")</f>
        <v>ONIAGJOE3</v>
      </c>
      <c r="I680" s="5">
        <f>IFERROR(__xludf.DUMMYFUNCTION("""COMPUTED_VALUE"""),5.0)</f>
        <v>5</v>
      </c>
      <c r="J680" s="4" t="str">
        <f>IFERROR(__xludf.DUMMYFUNCTION("""COMPUTED_VALUE"""),"Tier 4")</f>
        <v>Tier 4</v>
      </c>
      <c r="K680" s="4" t="str">
        <f>IFERROR(__xludf.DUMMYFUNCTION("""COMPUTED_VALUE"""),"Active")</f>
        <v>Active</v>
      </c>
      <c r="L680" s="4" t="str">
        <f>IFERROR(__xludf.DUMMYFUNCTION("""COMPUTED_VALUE"""),"Looker")</f>
        <v>Looker</v>
      </c>
    </row>
    <row r="681">
      <c r="A681" s="4" t="str">
        <f>IFERROR(__xludf.DUMMYFUNCTION("""COMPUTED_VALUE"""),"DME2657")</f>
        <v>DME2657</v>
      </c>
      <c r="B681" s="4" t="str">
        <f>IFERROR(__xludf.DUMMYFUNCTION("""COMPUTED_VALUE"""),"Pranav Arun Kumar")</f>
        <v>Pranav Arun Kumar</v>
      </c>
      <c r="C681" s="4" t="str">
        <f>IFERROR(__xludf.DUMMYFUNCTION("""COMPUTED_VALUE"""),"pranav.kumar@onixnet.com")</f>
        <v>pranav.kumar@onixnet.com</v>
      </c>
      <c r="D681" s="4" t="str">
        <f>IFERROR(__xludf.DUMMYFUNCTION("""COMPUTED_VALUE"""),"Active")</f>
        <v>Active</v>
      </c>
      <c r="E681" s="4" t="str">
        <f>IFERROR(__xludf.DUMMYFUNCTION("""COMPUTED_VALUE"""),"Product Engineering")</f>
        <v>Product Engineering</v>
      </c>
      <c r="F681" s="4" t="str">
        <f>IFERROR(__xludf.DUMMYFUNCTION("""COMPUTED_VALUE"""),"Samarth Chowksay")</f>
        <v>Samarth Chowksay</v>
      </c>
      <c r="G681" s="4" t="str">
        <f>IFERROR(__xludf.DUMMYFUNCTION("""COMPUTED_VALUE"""),"Cluster - Mayur")</f>
        <v>Cluster - Mayur</v>
      </c>
      <c r="H681" s="4" t="str">
        <f>IFERROR(__xludf.DUMMYFUNCTION("""COMPUTED_VALUE"""),"ONIPKJMR7")</f>
        <v>ONIPKJMR7</v>
      </c>
      <c r="I681" s="5">
        <f>IFERROR(__xludf.DUMMYFUNCTION("""COMPUTED_VALUE"""),0.0)</f>
        <v>0</v>
      </c>
      <c r="J681" s="4" t="str">
        <f>IFERROR(__xludf.DUMMYFUNCTION("""COMPUTED_VALUE"""),"Tier 4")</f>
        <v>Tier 4</v>
      </c>
      <c r="K681" s="4" t="str">
        <f>IFERROR(__xludf.DUMMYFUNCTION("""COMPUTED_VALUE"""),"ID Created DRP score 0")</f>
        <v>ID Created DRP score 0</v>
      </c>
      <c r="L681" s="4"/>
    </row>
    <row r="682">
      <c r="A682" s="4" t="str">
        <f>IFERROR(__xludf.DUMMYFUNCTION("""COMPUTED_VALUE"""),"DME2658")</f>
        <v>DME2658</v>
      </c>
      <c r="B682" s="4" t="str">
        <f>IFERROR(__xludf.DUMMYFUNCTION("""COMPUTED_VALUE"""),"Indrajit Omprakash Bhagat")</f>
        <v>Indrajit Omprakash Bhagat</v>
      </c>
      <c r="C682" s="4" t="str">
        <f>IFERROR(__xludf.DUMMYFUNCTION("""COMPUTED_VALUE"""),"indrajit.bhagat@onixnet.com")</f>
        <v>indrajit.bhagat@onixnet.com</v>
      </c>
      <c r="D682" s="4" t="str">
        <f>IFERROR(__xludf.DUMMYFUNCTION("""COMPUTED_VALUE"""),"Active")</f>
        <v>Active</v>
      </c>
      <c r="E682" s="4" t="str">
        <f>IFERROR(__xludf.DUMMYFUNCTION("""COMPUTED_VALUE"""),"Delivery Services")</f>
        <v>Delivery Services</v>
      </c>
      <c r="F682" s="4" t="str">
        <f>IFERROR(__xludf.DUMMYFUNCTION("""COMPUTED_VALUE"""),"Varun Katyal")</f>
        <v>Varun Katyal</v>
      </c>
      <c r="G682" s="4" t="str">
        <f>IFERROR(__xludf.DUMMYFUNCTION("""COMPUTED_VALUE"""),"Cluster - Varun")</f>
        <v>Cluster - Varun</v>
      </c>
      <c r="H682" s="4" t="str">
        <f>IFERROR(__xludf.DUMMYFUNCTION("""COMPUTED_VALUE"""),"ONIIBOSD7")</f>
        <v>ONIIBOSD7</v>
      </c>
      <c r="I682" s="5">
        <f>IFERROR(__xludf.DUMMYFUNCTION("""COMPUTED_VALUE"""),64.0)</f>
        <v>64</v>
      </c>
      <c r="J682" s="4" t="str">
        <f>IFERROR(__xludf.DUMMYFUNCTION("""COMPUTED_VALUE"""),"Tier 1")</f>
        <v>Tier 1</v>
      </c>
      <c r="K682" s="4" t="str">
        <f>IFERROR(__xludf.DUMMYFUNCTION("""COMPUTED_VALUE"""),"Active")</f>
        <v>Active</v>
      </c>
      <c r="L682" s="4" t="str">
        <f>IFERROR(__xludf.DUMMYFUNCTION("""COMPUTED_VALUE"""),"Google Cloud Networking")</f>
        <v>Google Cloud Networking</v>
      </c>
    </row>
    <row r="683">
      <c r="A683" s="4" t="str">
        <f>IFERROR(__xludf.DUMMYFUNCTION("""COMPUTED_VALUE"""),"DME2659")</f>
        <v>DME2659</v>
      </c>
      <c r="B683" s="4" t="str">
        <f>IFERROR(__xludf.DUMMYFUNCTION("""COMPUTED_VALUE"""),"Pratik Namdeo Chaudhari")</f>
        <v>Pratik Namdeo Chaudhari</v>
      </c>
      <c r="C683" s="4" t="str">
        <f>IFERROR(__xludf.DUMMYFUNCTION("""COMPUTED_VALUE"""),"pratik.chaudhari@onixnet.com")</f>
        <v>pratik.chaudhari@onixnet.com</v>
      </c>
      <c r="D683" s="4" t="str">
        <f>IFERROR(__xludf.DUMMYFUNCTION("""COMPUTED_VALUE"""),"Active")</f>
        <v>Active</v>
      </c>
      <c r="E683" s="4" t="str">
        <f>IFERROR(__xludf.DUMMYFUNCTION("""COMPUTED_VALUE"""),"Delivery Services")</f>
        <v>Delivery Services</v>
      </c>
      <c r="F683" s="4" t="str">
        <f>IFERROR(__xludf.DUMMYFUNCTION("""COMPUTED_VALUE"""),"Kanhaiya Jha")</f>
        <v>Kanhaiya Jha</v>
      </c>
      <c r="G683" s="4" t="str">
        <f>IFERROR(__xludf.DUMMYFUNCTION("""COMPUTED_VALUE"""),"Cluster - Kanhaiya")</f>
        <v>Cluster - Kanhaiya</v>
      </c>
      <c r="H683" s="4"/>
      <c r="I683" s="5"/>
      <c r="J683" s="4"/>
      <c r="K683" s="4" t="str">
        <f>IFERROR(__xludf.DUMMYFUNCTION("""COMPUTED_VALUE"""),"ID Not Created")</f>
        <v>ID Not Created</v>
      </c>
      <c r="L683" s="4"/>
    </row>
    <row r="684">
      <c r="A684" s="4" t="str">
        <f>IFERROR(__xludf.DUMMYFUNCTION("""COMPUTED_VALUE"""),"DME2663")</f>
        <v>DME2663</v>
      </c>
      <c r="B684" s="4" t="str">
        <f>IFERROR(__xludf.DUMMYFUNCTION("""COMPUTED_VALUE"""),"Pranjal Rajesh Misal")</f>
        <v>Pranjal Rajesh Misal</v>
      </c>
      <c r="C684" s="4" t="str">
        <f>IFERROR(__xludf.DUMMYFUNCTION("""COMPUTED_VALUE"""),"pranjal.misal@onixnet.com")</f>
        <v>pranjal.misal@onixnet.com</v>
      </c>
      <c r="D684" s="4" t="str">
        <f>IFERROR(__xludf.DUMMYFUNCTION("""COMPUTED_VALUE"""),"Active")</f>
        <v>Active</v>
      </c>
      <c r="E684" s="4" t="str">
        <f>IFERROR(__xludf.DUMMYFUNCTION("""COMPUTED_VALUE"""),"Product Engineering")</f>
        <v>Product Engineering</v>
      </c>
      <c r="F684" s="4" t="str">
        <f>IFERROR(__xludf.DUMMYFUNCTION("""COMPUTED_VALUE"""),"Yogendra Singh")</f>
        <v>Yogendra Singh</v>
      </c>
      <c r="G684" s="4" t="str">
        <f>IFERROR(__xludf.DUMMYFUNCTION("""COMPUTED_VALUE"""),"Cluster - Mayur")</f>
        <v>Cluster - Mayur</v>
      </c>
      <c r="H684" s="4"/>
      <c r="I684" s="5"/>
      <c r="J684" s="4"/>
      <c r="K684" s="4" t="str">
        <f>IFERROR(__xludf.DUMMYFUNCTION("""COMPUTED_VALUE"""),"ID Not Created")</f>
        <v>ID Not Created</v>
      </c>
      <c r="L684" s="4"/>
    </row>
    <row r="685">
      <c r="A685" s="4" t="str">
        <f>IFERROR(__xludf.DUMMYFUNCTION("""COMPUTED_VALUE"""),"DME2662")</f>
        <v>DME2662</v>
      </c>
      <c r="B685" s="4" t="str">
        <f>IFERROR(__xludf.DUMMYFUNCTION("""COMPUTED_VALUE"""),"Ubaidurrahman Mohd Mumtazuddin Shaikh")</f>
        <v>Ubaidurrahman Mohd Mumtazuddin Shaikh</v>
      </c>
      <c r="C685" s="4" t="str">
        <f>IFERROR(__xludf.DUMMYFUNCTION("""COMPUTED_VALUE"""),"ubaidurrahman.shaikh@onixnet.com")</f>
        <v>ubaidurrahman.shaikh@onixnet.com</v>
      </c>
      <c r="D685" s="4" t="str">
        <f>IFERROR(__xludf.DUMMYFUNCTION("""COMPUTED_VALUE"""),"Active")</f>
        <v>Active</v>
      </c>
      <c r="E685" s="4" t="str">
        <f>IFERROR(__xludf.DUMMYFUNCTION("""COMPUTED_VALUE"""),"Delivery Services")</f>
        <v>Delivery Services</v>
      </c>
      <c r="F685" s="4" t="str">
        <f>IFERROR(__xludf.DUMMYFUNCTION("""COMPUTED_VALUE"""),"Ashwini Kumar")</f>
        <v>Ashwini Kumar</v>
      </c>
      <c r="G685" s="4" t="str">
        <f>IFERROR(__xludf.DUMMYFUNCTION("""COMPUTED_VALUE"""),"Cluster - Kanhaiya")</f>
        <v>Cluster - Kanhaiya</v>
      </c>
      <c r="H685" s="4" t="str">
        <f>IFERROR(__xludf.DUMMYFUNCTION("""COMPUTED_VALUE"""),"ONIUSEQR7")</f>
        <v>ONIUSEQR7</v>
      </c>
      <c r="I685" s="5">
        <f>IFERROR(__xludf.DUMMYFUNCTION("""COMPUTED_VALUE"""),5.0)</f>
        <v>5</v>
      </c>
      <c r="J685" s="4" t="str">
        <f>IFERROR(__xludf.DUMMYFUNCTION("""COMPUTED_VALUE"""),"Tier 4")</f>
        <v>Tier 4</v>
      </c>
      <c r="K685" s="4" t="str">
        <f>IFERROR(__xludf.DUMMYFUNCTION("""COMPUTED_VALUE"""),"Active")</f>
        <v>Active</v>
      </c>
      <c r="L685" s="4" t="str">
        <f>IFERROR(__xludf.DUMMYFUNCTION("""COMPUTED_VALUE"""),"Google Kubernetes Engine")</f>
        <v>Google Kubernetes Engine</v>
      </c>
    </row>
    <row r="686">
      <c r="A686" s="4" t="str">
        <f>IFERROR(__xludf.DUMMYFUNCTION("""COMPUTED_VALUE"""),"DME2665")</f>
        <v>DME2665</v>
      </c>
      <c r="B686" s="4" t="str">
        <f>IFERROR(__xludf.DUMMYFUNCTION("""COMPUTED_VALUE"""),"Vinay Sunil Mhatre")</f>
        <v>Vinay Sunil Mhatre</v>
      </c>
      <c r="C686" s="4" t="str">
        <f>IFERROR(__xludf.DUMMYFUNCTION("""COMPUTED_VALUE"""),"vinay.mhatre@onixnet.com")</f>
        <v>vinay.mhatre@onixnet.com</v>
      </c>
      <c r="D686" s="4" t="str">
        <f>IFERROR(__xludf.DUMMYFUNCTION("""COMPUTED_VALUE"""),"Active")</f>
        <v>Active</v>
      </c>
      <c r="E686" s="4" t="str">
        <f>IFERROR(__xludf.DUMMYFUNCTION("""COMPUTED_VALUE"""),"Delivery Services")</f>
        <v>Delivery Services</v>
      </c>
      <c r="F686" s="4" t="str">
        <f>IFERROR(__xludf.DUMMYFUNCTION("""COMPUTED_VALUE"""),"Neeta Gawrha")</f>
        <v>Neeta Gawrha</v>
      </c>
      <c r="G686" s="4" t="str">
        <f>IFERROR(__xludf.DUMMYFUNCTION("""COMPUTED_VALUE"""),"Cluster - Sachin")</f>
        <v>Cluster - Sachin</v>
      </c>
      <c r="H686" s="4" t="str">
        <f>IFERROR(__xludf.DUMMYFUNCTION("""COMPUTED_VALUE"""),"ONIVMHZI6")</f>
        <v>ONIVMHZI6</v>
      </c>
      <c r="I686" s="5">
        <f>IFERROR(__xludf.DUMMYFUNCTION("""COMPUTED_VALUE"""),0.0)</f>
        <v>0</v>
      </c>
      <c r="J686" s="4" t="str">
        <f>IFERROR(__xludf.DUMMYFUNCTION("""COMPUTED_VALUE"""),"Tier 4")</f>
        <v>Tier 4</v>
      </c>
      <c r="K686" s="4" t="str">
        <f>IFERROR(__xludf.DUMMYFUNCTION("""COMPUTED_VALUE"""),"ID Created DRP score 0")</f>
        <v>ID Created DRP score 0</v>
      </c>
      <c r="L686" s="4"/>
    </row>
    <row r="687">
      <c r="A687" s="4" t="str">
        <f>IFERROR(__xludf.DUMMYFUNCTION("""COMPUTED_VALUE"""),"DME2666")</f>
        <v>DME2666</v>
      </c>
      <c r="B687" s="4" t="str">
        <f>IFERROR(__xludf.DUMMYFUNCTION("""COMPUTED_VALUE"""),"Vishal Verma")</f>
        <v>Vishal Verma</v>
      </c>
      <c r="C687" s="4" t="str">
        <f>IFERROR(__xludf.DUMMYFUNCTION("""COMPUTED_VALUE"""),"vishal.verma@onixnet.com")</f>
        <v>vishal.verma@onixnet.com</v>
      </c>
      <c r="D687" s="4" t="str">
        <f>IFERROR(__xludf.DUMMYFUNCTION("""COMPUTED_VALUE"""),"Active")</f>
        <v>Active</v>
      </c>
      <c r="E687" s="4" t="str">
        <f>IFERROR(__xludf.DUMMYFUNCTION("""COMPUTED_VALUE"""),"Delivery Services")</f>
        <v>Delivery Services</v>
      </c>
      <c r="F687" s="4" t="str">
        <f>IFERROR(__xludf.DUMMYFUNCTION("""COMPUTED_VALUE"""),"Rahul Gupta")</f>
        <v>Rahul Gupta</v>
      </c>
      <c r="G687" s="4" t="str">
        <f>IFERROR(__xludf.DUMMYFUNCTION("""COMPUTED_VALUE"""),"Cluster - Sachin")</f>
        <v>Cluster - Sachin</v>
      </c>
      <c r="H687" s="4" t="str">
        <f>IFERROR(__xludf.DUMMYFUNCTION("""COMPUTED_VALUE"""),"ONIVVQIL9")</f>
        <v>ONIVVQIL9</v>
      </c>
      <c r="I687" s="5">
        <f>IFERROR(__xludf.DUMMYFUNCTION("""COMPUTED_VALUE"""),9.0)</f>
        <v>9</v>
      </c>
      <c r="J687" s="4" t="str">
        <f>IFERROR(__xludf.DUMMYFUNCTION("""COMPUTED_VALUE"""),"Tier 4")</f>
        <v>Tier 4</v>
      </c>
      <c r="K687" s="4" t="str">
        <f>IFERROR(__xludf.DUMMYFUNCTION("""COMPUTED_VALUE"""),"Active")</f>
        <v>Active</v>
      </c>
      <c r="L687" s="4" t="str">
        <f>IFERROR(__xludf.DUMMYFUNCTION("""COMPUTED_VALUE"""),"BigQuery")</f>
        <v>BigQuery</v>
      </c>
    </row>
    <row r="688">
      <c r="A688" s="4" t="str">
        <f>IFERROR(__xludf.DUMMYFUNCTION("""COMPUTED_VALUE"""),"DME2667")</f>
        <v>DME2667</v>
      </c>
      <c r="B688" s="4" t="str">
        <f>IFERROR(__xludf.DUMMYFUNCTION("""COMPUTED_VALUE"""),"Venkatavivekananda Sala")</f>
        <v>Venkatavivekananda Sala</v>
      </c>
      <c r="C688" s="4" t="str">
        <f>IFERROR(__xludf.DUMMYFUNCTION("""COMPUTED_VALUE"""),"venkatavivekananda.s@onixnet.com")</f>
        <v>venkatavivekananda.s@onixnet.com</v>
      </c>
      <c r="D688" s="4" t="str">
        <f>IFERROR(__xludf.DUMMYFUNCTION("""COMPUTED_VALUE"""),"Active")</f>
        <v>Active</v>
      </c>
      <c r="E688" s="4" t="str">
        <f>IFERROR(__xludf.DUMMYFUNCTION("""COMPUTED_VALUE"""),"Delivery Services")</f>
        <v>Delivery Services</v>
      </c>
      <c r="F688" s="4" t="str">
        <f>IFERROR(__xludf.DUMMYFUNCTION("""COMPUTED_VALUE"""),"Neeta Gawrha")</f>
        <v>Neeta Gawrha</v>
      </c>
      <c r="G688" s="4" t="str">
        <f>IFERROR(__xludf.DUMMYFUNCTION("""COMPUTED_VALUE"""),"Cluster - Sachin")</f>
        <v>Cluster - Sachin</v>
      </c>
      <c r="H688" s="4" t="str">
        <f>IFERROR(__xludf.DUMMYFUNCTION("""COMPUTED_VALUE"""),"ONIVSATD2")</f>
        <v>ONIVSATD2</v>
      </c>
      <c r="I688" s="5">
        <f>IFERROR(__xludf.DUMMYFUNCTION("""COMPUTED_VALUE"""),24.0)</f>
        <v>24</v>
      </c>
      <c r="J688" s="4" t="str">
        <f>IFERROR(__xludf.DUMMYFUNCTION("""COMPUTED_VALUE"""),"Tier 3")</f>
        <v>Tier 3</v>
      </c>
      <c r="K688" s="4" t="str">
        <f>IFERROR(__xludf.DUMMYFUNCTION("""COMPUTED_VALUE"""),"Active")</f>
        <v>Active</v>
      </c>
      <c r="L688" s="4" t="str">
        <f>IFERROR(__xludf.DUMMYFUNCTION("""COMPUTED_VALUE"""),"Gemini Enterprise")</f>
        <v>Gemini Enterprise</v>
      </c>
    </row>
    <row r="689">
      <c r="A689" s="4" t="str">
        <f>IFERROR(__xludf.DUMMYFUNCTION("""COMPUTED_VALUE"""),"DME2668")</f>
        <v>DME2668</v>
      </c>
      <c r="B689" s="4" t="str">
        <f>IFERROR(__xludf.DUMMYFUNCTION("""COMPUTED_VALUE"""),"Ramakant Vikram Divate")</f>
        <v>Ramakant Vikram Divate</v>
      </c>
      <c r="C689" s="4" t="str">
        <f>IFERROR(__xludf.DUMMYFUNCTION("""COMPUTED_VALUE"""),"ramakant.divate@onixnet.com")</f>
        <v>ramakant.divate@onixnet.com</v>
      </c>
      <c r="D689" s="4" t="str">
        <f>IFERROR(__xludf.DUMMYFUNCTION("""COMPUTED_VALUE"""),"Active")</f>
        <v>Active</v>
      </c>
      <c r="E689" s="4" t="str">
        <f>IFERROR(__xludf.DUMMYFUNCTION("""COMPUTED_VALUE"""),"Delivery Services")</f>
        <v>Delivery Services</v>
      </c>
      <c r="F689" s="4" t="str">
        <f>IFERROR(__xludf.DUMMYFUNCTION("""COMPUTED_VALUE"""),"Poonam Sharma")</f>
        <v>Poonam Sharma</v>
      </c>
      <c r="G689" s="4" t="str">
        <f>IFERROR(__xludf.DUMMYFUNCTION("""COMPUTED_VALUE"""),"Cluster - Gaurav")</f>
        <v>Cluster - Gaurav</v>
      </c>
      <c r="H689" s="4" t="str">
        <f>IFERROR(__xludf.DUMMYFUNCTION("""COMPUTED_VALUE"""),"ONIRDSTP9")</f>
        <v>ONIRDSTP9</v>
      </c>
      <c r="I689" s="5">
        <f>IFERROR(__xludf.DUMMYFUNCTION("""COMPUTED_VALUE"""),5.0)</f>
        <v>5</v>
      </c>
      <c r="J689" s="4" t="str">
        <f>IFERROR(__xludf.DUMMYFUNCTION("""COMPUTED_VALUE"""),"Tier 4")</f>
        <v>Tier 4</v>
      </c>
      <c r="K689" s="4" t="str">
        <f>IFERROR(__xludf.DUMMYFUNCTION("""COMPUTED_VALUE"""),"Active")</f>
        <v>Active</v>
      </c>
      <c r="L689" s="4" t="str">
        <f>IFERROR(__xludf.DUMMYFUNCTION("""COMPUTED_VALUE"""),"Gemini Enterprise Agent Platform")</f>
        <v>Gemini Enterprise Agent Platform</v>
      </c>
    </row>
    <row r="690">
      <c r="A690" s="4" t="str">
        <f>IFERROR(__xludf.DUMMYFUNCTION("""COMPUTED_VALUE"""),"DME2675")</f>
        <v>DME2675</v>
      </c>
      <c r="B690" s="4" t="str">
        <f>IFERROR(__xludf.DUMMYFUNCTION("""COMPUTED_VALUE"""),"Abhishek Pravinkmar Jagtap")</f>
        <v>Abhishek Pravinkmar Jagtap</v>
      </c>
      <c r="C690" s="4" t="str">
        <f>IFERROR(__xludf.DUMMYFUNCTION("""COMPUTED_VALUE"""),"abhishek.jagtap@onixnet.com")</f>
        <v>abhishek.jagtap@onixnet.com</v>
      </c>
      <c r="D690" s="4" t="str">
        <f>IFERROR(__xludf.DUMMYFUNCTION("""COMPUTED_VALUE"""),"Active")</f>
        <v>Active</v>
      </c>
      <c r="E690" s="4" t="str">
        <f>IFERROR(__xludf.DUMMYFUNCTION("""COMPUTED_VALUE"""),"Product Engineering")</f>
        <v>Product Engineering</v>
      </c>
      <c r="F690" s="4" t="str">
        <f>IFERROR(__xludf.DUMMYFUNCTION("""COMPUTED_VALUE"""),"Savan Tak")</f>
        <v>Savan Tak</v>
      </c>
      <c r="G690" s="4" t="str">
        <f>IFERROR(__xludf.DUMMYFUNCTION("""COMPUTED_VALUE"""),"Cluster - Mayur")</f>
        <v>Cluster - Mayur</v>
      </c>
      <c r="H690" s="4" t="str">
        <f>IFERROR(__xludf.DUMMYFUNCTION("""COMPUTED_VALUE"""),"ONIAJHTL4")</f>
        <v>ONIAJHTL4</v>
      </c>
      <c r="I690" s="5">
        <f>IFERROR(__xludf.DUMMYFUNCTION("""COMPUTED_VALUE"""),11.0)</f>
        <v>11</v>
      </c>
      <c r="J690" s="4" t="str">
        <f>IFERROR(__xludf.DUMMYFUNCTION("""COMPUTED_VALUE"""),"Tier 4")</f>
        <v>Tier 4</v>
      </c>
      <c r="K690" s="4" t="str">
        <f>IFERROR(__xludf.DUMMYFUNCTION("""COMPUTED_VALUE"""),"Active")</f>
        <v>Active</v>
      </c>
      <c r="L690" s="4" t="str">
        <f>IFERROR(__xludf.DUMMYFUNCTION("""COMPUTED_VALUE"""),"BigQuery")</f>
        <v>BigQuery</v>
      </c>
    </row>
    <row r="691">
      <c r="A691" s="4" t="str">
        <f>IFERROR(__xludf.DUMMYFUNCTION("""COMPUTED_VALUE"""),"DME2676")</f>
        <v>DME2676</v>
      </c>
      <c r="B691" s="4" t="str">
        <f>IFERROR(__xludf.DUMMYFUNCTION("""COMPUTED_VALUE"""),"Ashly Ann George")</f>
        <v>Ashly Ann George</v>
      </c>
      <c r="C691" s="4" t="str">
        <f>IFERROR(__xludf.DUMMYFUNCTION("""COMPUTED_VALUE"""),"ashlyann.george@onixnet.com")</f>
        <v>ashlyann.george@onixnet.com</v>
      </c>
      <c r="D691" s="4" t="str">
        <f>IFERROR(__xludf.DUMMYFUNCTION("""COMPUTED_VALUE"""),"Active")</f>
        <v>Active</v>
      </c>
      <c r="E691" s="4" t="str">
        <f>IFERROR(__xludf.DUMMYFUNCTION("""COMPUTED_VALUE"""),"Delivery Services")</f>
        <v>Delivery Services</v>
      </c>
      <c r="F691" s="4" t="str">
        <f>IFERROR(__xludf.DUMMYFUNCTION("""COMPUTED_VALUE"""),"Rajinder Thakur")</f>
        <v>Rajinder Thakur</v>
      </c>
      <c r="G691" s="4" t="str">
        <f>IFERROR(__xludf.DUMMYFUNCTION("""COMPUTED_VALUE"""),"Cluster - Varun")</f>
        <v>Cluster - Varun</v>
      </c>
      <c r="H691" s="4" t="str">
        <f>IFERROR(__xludf.DUMMYFUNCTION("""COMPUTED_VALUE"""),"ONIAGWXJ5")</f>
        <v>ONIAGWXJ5</v>
      </c>
      <c r="I691" s="5">
        <f>IFERROR(__xludf.DUMMYFUNCTION("""COMPUTED_VALUE"""),25.0)</f>
        <v>25</v>
      </c>
      <c r="J691" s="4" t="str">
        <f>IFERROR(__xludf.DUMMYFUNCTION("""COMPUTED_VALUE"""),"Tier 3")</f>
        <v>Tier 3</v>
      </c>
      <c r="K691" s="4" t="str">
        <f>IFERROR(__xludf.DUMMYFUNCTION("""COMPUTED_VALUE"""),"Active")</f>
        <v>Active</v>
      </c>
      <c r="L691" s="4" t="str">
        <f>IFERROR(__xludf.DUMMYFUNCTION("""COMPUTED_VALUE"""),"Gemini Enterprise")</f>
        <v>Gemini Enterprise</v>
      </c>
    </row>
    <row r="692">
      <c r="A692" s="4" t="str">
        <f>IFERROR(__xludf.DUMMYFUNCTION("""COMPUTED_VALUE"""),"DMSI0151")</f>
        <v>DMSI0151</v>
      </c>
      <c r="B692" s="4" t="str">
        <f>IFERROR(__xludf.DUMMYFUNCTION("""COMPUTED_VALUE"""),"Shiva Nanda Chamala")</f>
        <v>Shiva Nanda Chamala</v>
      </c>
      <c r="C692" s="4" t="str">
        <f>IFERROR(__xludf.DUMMYFUNCTION("""COMPUTED_VALUE"""),"shiva.chamala@onixnet.com")</f>
        <v>shiva.chamala@onixnet.com</v>
      </c>
      <c r="D692" s="4" t="str">
        <f>IFERROR(__xludf.DUMMYFUNCTION("""COMPUTED_VALUE"""),"Active")</f>
        <v>Active</v>
      </c>
      <c r="E692" s="4" t="str">
        <f>IFERROR(__xludf.DUMMYFUNCTION("""COMPUTED_VALUE"""),"Delivery Services")</f>
        <v>Delivery Services</v>
      </c>
      <c r="F692" s="4" t="str">
        <f>IFERROR(__xludf.DUMMYFUNCTION("""COMPUTED_VALUE"""),"Vinay Sunil Mhatre")</f>
        <v>Vinay Sunil Mhatre</v>
      </c>
      <c r="G692" s="4" t="str">
        <f>IFERROR(__xludf.DUMMYFUNCTION("""COMPUTED_VALUE"""),"Portfolio - Rajesh")</f>
        <v>Portfolio - Rajesh</v>
      </c>
      <c r="H692" s="4"/>
      <c r="I692" s="5"/>
      <c r="J692" s="4"/>
      <c r="K692" s="4" t="str">
        <f>IFERROR(__xludf.DUMMYFUNCTION("""COMPUTED_VALUE"""),"ID Not Created")</f>
        <v>ID Not Created</v>
      </c>
      <c r="L692" s="4"/>
    </row>
    <row r="693">
      <c r="A693" s="4" t="str">
        <f>IFERROR(__xludf.DUMMYFUNCTION("""COMPUTED_VALUE"""),"DME2678")</f>
        <v>DME2678</v>
      </c>
      <c r="B693" s="4" t="str">
        <f>IFERROR(__xludf.DUMMYFUNCTION("""COMPUTED_VALUE"""),"Anand Saraf")</f>
        <v>Anand Saraf</v>
      </c>
      <c r="C693" s="4" t="str">
        <f>IFERROR(__xludf.DUMMYFUNCTION("""COMPUTED_VALUE"""),"anand.saraf@onixnet.com")</f>
        <v>anand.saraf@onixnet.com</v>
      </c>
      <c r="D693" s="4" t="str">
        <f>IFERROR(__xludf.DUMMYFUNCTION("""COMPUTED_VALUE"""),"Active")</f>
        <v>Active</v>
      </c>
      <c r="E693" s="4" t="str">
        <f>IFERROR(__xludf.DUMMYFUNCTION("""COMPUTED_VALUE"""),"Delivery Services")</f>
        <v>Delivery Services</v>
      </c>
      <c r="F693" s="4" t="str">
        <f>IFERROR(__xludf.DUMMYFUNCTION("""COMPUTED_VALUE"""),"Rahul Gupta")</f>
        <v>Rahul Gupta</v>
      </c>
      <c r="G693" s="4" t="str">
        <f>IFERROR(__xludf.DUMMYFUNCTION("""COMPUTED_VALUE"""),"Cluster - Sachin")</f>
        <v>Cluster - Sachin</v>
      </c>
      <c r="H693" s="4" t="str">
        <f>IFERROR(__xludf.DUMMYFUNCTION("""COMPUTED_VALUE"""),"ONIASQGY5")</f>
        <v>ONIASQGY5</v>
      </c>
      <c r="I693" s="5">
        <f>IFERROR(__xludf.DUMMYFUNCTION("""COMPUTED_VALUE"""),14.0)</f>
        <v>14</v>
      </c>
      <c r="J693" s="4" t="str">
        <f>IFERROR(__xludf.DUMMYFUNCTION("""COMPUTED_VALUE"""),"Tier 4")</f>
        <v>Tier 4</v>
      </c>
      <c r="K693" s="4" t="str">
        <f>IFERROR(__xludf.DUMMYFUNCTION("""COMPUTED_VALUE"""),"Active")</f>
        <v>Active</v>
      </c>
      <c r="L693" s="4" t="str">
        <f>IFERROR(__xludf.DUMMYFUNCTION("""COMPUTED_VALUE"""),"BigQuery")</f>
        <v>BigQuery</v>
      </c>
    </row>
    <row r="694">
      <c r="A694" s="4" t="str">
        <f>IFERROR(__xludf.DUMMYFUNCTION("""COMPUTED_VALUE"""),"DME2680")</f>
        <v>DME2680</v>
      </c>
      <c r="B694" s="4" t="str">
        <f>IFERROR(__xludf.DUMMYFUNCTION("""COMPUTED_VALUE"""),"Pranali Ramesh Jadhav")</f>
        <v>Pranali Ramesh Jadhav</v>
      </c>
      <c r="C694" s="4" t="str">
        <f>IFERROR(__xludf.DUMMYFUNCTION("""COMPUTED_VALUE"""),"pranali.jadhav@onixnet.com")</f>
        <v>pranali.jadhav@onixnet.com</v>
      </c>
      <c r="D694" s="4" t="str">
        <f>IFERROR(__xludf.DUMMYFUNCTION("""COMPUTED_VALUE"""),"Active")</f>
        <v>Active</v>
      </c>
      <c r="E694" s="4" t="str">
        <f>IFERROR(__xludf.DUMMYFUNCTION("""COMPUTED_VALUE"""),"Delivery Services")</f>
        <v>Delivery Services</v>
      </c>
      <c r="F694" s="4" t="str">
        <f>IFERROR(__xludf.DUMMYFUNCTION("""COMPUTED_VALUE"""),"Poonam Sharma")</f>
        <v>Poonam Sharma</v>
      </c>
      <c r="G694" s="4" t="str">
        <f>IFERROR(__xludf.DUMMYFUNCTION("""COMPUTED_VALUE"""),"Cluster - Gaurav")</f>
        <v>Cluster - Gaurav</v>
      </c>
      <c r="H694" s="4" t="str">
        <f>IFERROR(__xludf.DUMMYFUNCTION("""COMPUTED_VALUE"""),"ONIPJQHM2")</f>
        <v>ONIPJQHM2</v>
      </c>
      <c r="I694" s="5">
        <f>IFERROR(__xludf.DUMMYFUNCTION("""COMPUTED_VALUE"""),10.0)</f>
        <v>10</v>
      </c>
      <c r="J694" s="4" t="str">
        <f>IFERROR(__xludf.DUMMYFUNCTION("""COMPUTED_VALUE"""),"Tier 4")</f>
        <v>Tier 4</v>
      </c>
      <c r="K694" s="4" t="str">
        <f>IFERROR(__xludf.DUMMYFUNCTION("""COMPUTED_VALUE"""),"Active")</f>
        <v>Active</v>
      </c>
      <c r="L694" s="4" t="str">
        <f>IFERROR(__xludf.DUMMYFUNCTION("""COMPUTED_VALUE"""),"Google Kubernetes Engine")</f>
        <v>Google Kubernetes Engine</v>
      </c>
    </row>
    <row r="695">
      <c r="A695" s="4" t="str">
        <f>IFERROR(__xludf.DUMMYFUNCTION("""COMPUTED_VALUE"""),"DME2683")</f>
        <v>DME2683</v>
      </c>
      <c r="B695" s="4" t="str">
        <f>IFERROR(__xludf.DUMMYFUNCTION("""COMPUTED_VALUE"""),"Suresh Shankar Rasal")</f>
        <v>Suresh Shankar Rasal</v>
      </c>
      <c r="C695" s="4" t="str">
        <f>IFERROR(__xludf.DUMMYFUNCTION("""COMPUTED_VALUE"""),"suresh.rasal@onixnet.com")</f>
        <v>suresh.rasal@onixnet.com</v>
      </c>
      <c r="D695" s="4" t="str">
        <f>IFERROR(__xludf.DUMMYFUNCTION("""COMPUTED_VALUE"""),"Active")</f>
        <v>Active</v>
      </c>
      <c r="E695" s="4" t="str">
        <f>IFERROR(__xludf.DUMMYFUNCTION("""COMPUTED_VALUE"""),"Delivery Services")</f>
        <v>Delivery Services</v>
      </c>
      <c r="F695" s="4" t="str">
        <f>IFERROR(__xludf.DUMMYFUNCTION("""COMPUTED_VALUE"""),"Amit Malav")</f>
        <v>Amit Malav</v>
      </c>
      <c r="G695" s="4" t="str">
        <f>IFERROR(__xludf.DUMMYFUNCTION("""COMPUTED_VALUE"""),"Cluster - Gaurav")</f>
        <v>Cluster - Gaurav</v>
      </c>
      <c r="H695" s="4" t="str">
        <f>IFERROR(__xludf.DUMMYFUNCTION("""COMPUTED_VALUE"""),"ONISRPLY0")</f>
        <v>ONISRPLY0</v>
      </c>
      <c r="I695" s="5">
        <f>IFERROR(__xludf.DUMMYFUNCTION("""COMPUTED_VALUE"""),15.0)</f>
        <v>15</v>
      </c>
      <c r="J695" s="4" t="str">
        <f>IFERROR(__xludf.DUMMYFUNCTION("""COMPUTED_VALUE"""),"Tier 4")</f>
        <v>Tier 4</v>
      </c>
      <c r="K695" s="4" t="str">
        <f>IFERROR(__xludf.DUMMYFUNCTION("""COMPUTED_VALUE"""),"Active")</f>
        <v>Active</v>
      </c>
      <c r="L695" s="4" t="str">
        <f>IFERROR(__xludf.DUMMYFUNCTION("""COMPUTED_VALUE"""),"AI Applications")</f>
        <v>AI Applications</v>
      </c>
    </row>
    <row r="696">
      <c r="A696" s="4" t="str">
        <f>IFERROR(__xludf.DUMMYFUNCTION("""COMPUTED_VALUE"""),"DME2684")</f>
        <v>DME2684</v>
      </c>
      <c r="B696" s="4" t="str">
        <f>IFERROR(__xludf.DUMMYFUNCTION("""COMPUTED_VALUE"""),"Bharti")</f>
        <v>Bharti</v>
      </c>
      <c r="C696" s="4" t="str">
        <f>IFERROR(__xludf.DUMMYFUNCTION("""COMPUTED_VALUE"""),"bharti.grover@onixnet.com")</f>
        <v>bharti.grover@onixnet.com</v>
      </c>
      <c r="D696" s="4" t="str">
        <f>IFERROR(__xludf.DUMMYFUNCTION("""COMPUTED_VALUE"""),"Active")</f>
        <v>Active</v>
      </c>
      <c r="E696" s="4" t="str">
        <f>IFERROR(__xludf.DUMMYFUNCTION("""COMPUTED_VALUE"""),"Delivery Services")</f>
        <v>Delivery Services</v>
      </c>
      <c r="F696" s="4" t="str">
        <f>IFERROR(__xludf.DUMMYFUNCTION("""COMPUTED_VALUE"""),"Anand Saraf")</f>
        <v>Anand Saraf</v>
      </c>
      <c r="G696" s="4" t="str">
        <f>IFERROR(__xludf.DUMMYFUNCTION("""COMPUTED_VALUE"""),"Cluster - Sachin")</f>
        <v>Cluster - Sachin</v>
      </c>
      <c r="H696" s="4" t="str">
        <f>IFERROR(__xludf.DUMMYFUNCTION("""COMPUTED_VALUE"""),"ONIBGJTV0")</f>
        <v>ONIBGJTV0</v>
      </c>
      <c r="I696" s="5">
        <f>IFERROR(__xludf.DUMMYFUNCTION("""COMPUTED_VALUE"""),19.0)</f>
        <v>19</v>
      </c>
      <c r="J696" s="4" t="str">
        <f>IFERROR(__xludf.DUMMYFUNCTION("""COMPUTED_VALUE"""),"Tier 4")</f>
        <v>Tier 4</v>
      </c>
      <c r="K696" s="4" t="str">
        <f>IFERROR(__xludf.DUMMYFUNCTION("""COMPUTED_VALUE"""),"Active")</f>
        <v>Active</v>
      </c>
      <c r="L696" s="4" t="str">
        <f>IFERROR(__xludf.DUMMYFUNCTION("""COMPUTED_VALUE"""),"AI Applications")</f>
        <v>AI Applications</v>
      </c>
    </row>
    <row r="697">
      <c r="A697" s="4" t="str">
        <f>IFERROR(__xludf.DUMMYFUNCTION("""COMPUTED_VALUE"""),"DME2685")</f>
        <v>DME2685</v>
      </c>
      <c r="B697" s="4" t="str">
        <f>IFERROR(__xludf.DUMMYFUNCTION("""COMPUTED_VALUE"""),"Kirankumar Shetty")</f>
        <v>Kirankumar Shetty</v>
      </c>
      <c r="C697" s="4" t="str">
        <f>IFERROR(__xludf.DUMMYFUNCTION("""COMPUTED_VALUE"""),"kiran.shetty@onixnet.com")</f>
        <v>kiran.shetty@onixnet.com</v>
      </c>
      <c r="D697" s="4" t="str">
        <f>IFERROR(__xludf.DUMMYFUNCTION("""COMPUTED_VALUE"""),"Active")</f>
        <v>Active</v>
      </c>
      <c r="E697" s="4" t="str">
        <f>IFERROR(__xludf.DUMMYFUNCTION("""COMPUTED_VALUE"""),"Solutions and Pre-Sales")</f>
        <v>Solutions and Pre-Sales</v>
      </c>
      <c r="F697" s="4" t="str">
        <f>IFERROR(__xludf.DUMMYFUNCTION("""COMPUTED_VALUE"""),"Varun Katyal")</f>
        <v>Varun Katyal</v>
      </c>
      <c r="G697" s="4" t="str">
        <f>IFERROR(__xludf.DUMMYFUNCTION("""COMPUTED_VALUE"""),"Cluster - Varun")</f>
        <v>Cluster - Varun</v>
      </c>
      <c r="H697" s="4" t="str">
        <f>IFERROR(__xludf.DUMMYFUNCTION("""COMPUTED_VALUE"""),"ONIKSCEA8")</f>
        <v>ONIKSCEA8</v>
      </c>
      <c r="I697" s="5">
        <f>IFERROR(__xludf.DUMMYFUNCTION("""COMPUTED_VALUE"""),20.0)</f>
        <v>20</v>
      </c>
      <c r="J697" s="4" t="str">
        <f>IFERROR(__xludf.DUMMYFUNCTION("""COMPUTED_VALUE"""),"Tier 3")</f>
        <v>Tier 3</v>
      </c>
      <c r="K697" s="4" t="str">
        <f>IFERROR(__xludf.DUMMYFUNCTION("""COMPUTED_VALUE"""),"Active")</f>
        <v>Active</v>
      </c>
      <c r="L697" s="4"/>
    </row>
    <row r="698">
      <c r="A698" s="4" t="str">
        <f>IFERROR(__xludf.DUMMYFUNCTION("""COMPUTED_VALUE"""),"DME2686")</f>
        <v>DME2686</v>
      </c>
      <c r="B698" s="4" t="str">
        <f>IFERROR(__xludf.DUMMYFUNCTION("""COMPUTED_VALUE"""),"Laxmi Ambadas Gaddam")</f>
        <v>Laxmi Ambadas Gaddam</v>
      </c>
      <c r="C698" s="4" t="str">
        <f>IFERROR(__xludf.DUMMYFUNCTION("""COMPUTED_VALUE"""),"laxmi.gaddam@onixnet.com")</f>
        <v>laxmi.gaddam@onixnet.com</v>
      </c>
      <c r="D698" s="4" t="str">
        <f>IFERROR(__xludf.DUMMYFUNCTION("""COMPUTED_VALUE"""),"Active")</f>
        <v>Active</v>
      </c>
      <c r="E698" s="4" t="str">
        <f>IFERROR(__xludf.DUMMYFUNCTION("""COMPUTED_VALUE"""),"Delivery Services")</f>
        <v>Delivery Services</v>
      </c>
      <c r="F698" s="4" t="str">
        <f>IFERROR(__xludf.DUMMYFUNCTION("""COMPUTED_VALUE"""),"Aarti Borhade")</f>
        <v>Aarti Borhade</v>
      </c>
      <c r="G698" s="4" t="str">
        <f>IFERROR(__xludf.DUMMYFUNCTION("""COMPUTED_VALUE"""),"Cluster - Sagar")</f>
        <v>Cluster - Sagar</v>
      </c>
      <c r="H698" s="4" t="str">
        <f>IFERROR(__xludf.DUMMYFUNCTION("""COMPUTED_VALUE"""),"ONILGUQE4")</f>
        <v>ONILGUQE4</v>
      </c>
      <c r="I698" s="5">
        <f>IFERROR(__xludf.DUMMYFUNCTION("""COMPUTED_VALUE"""),0.0)</f>
        <v>0</v>
      </c>
      <c r="J698" s="4" t="str">
        <f>IFERROR(__xludf.DUMMYFUNCTION("""COMPUTED_VALUE"""),"Tier 4")</f>
        <v>Tier 4</v>
      </c>
      <c r="K698" s="4" t="str">
        <f>IFERROR(__xludf.DUMMYFUNCTION("""COMPUTED_VALUE"""),"ID Created DRP score 0")</f>
        <v>ID Created DRP score 0</v>
      </c>
      <c r="L698" s="4"/>
    </row>
    <row r="699">
      <c r="A699" s="4" t="str">
        <f>IFERROR(__xludf.DUMMYFUNCTION("""COMPUTED_VALUE"""),"DME2687")</f>
        <v>DME2687</v>
      </c>
      <c r="B699" s="4" t="str">
        <f>IFERROR(__xludf.DUMMYFUNCTION("""COMPUTED_VALUE"""),"Shashank Shekhar")</f>
        <v>Shashank Shekhar</v>
      </c>
      <c r="C699" s="4" t="str">
        <f>IFERROR(__xludf.DUMMYFUNCTION("""COMPUTED_VALUE"""),"shashank.shekhar@onixnet.com")</f>
        <v>shashank.shekhar@onixnet.com</v>
      </c>
      <c r="D699" s="4" t="str">
        <f>IFERROR(__xludf.DUMMYFUNCTION("""COMPUTED_VALUE"""),"Active")</f>
        <v>Active</v>
      </c>
      <c r="E699" s="4" t="str">
        <f>IFERROR(__xludf.DUMMYFUNCTION("""COMPUTED_VALUE"""),"Delivery Services")</f>
        <v>Delivery Services</v>
      </c>
      <c r="F699" s="4" t="str">
        <f>IFERROR(__xludf.DUMMYFUNCTION("""COMPUTED_VALUE"""),"Varun Katyal")</f>
        <v>Varun Katyal</v>
      </c>
      <c r="G699" s="4" t="str">
        <f>IFERROR(__xludf.DUMMYFUNCTION("""COMPUTED_VALUE"""),"Cluster - Varun")</f>
        <v>Cluster - Varun</v>
      </c>
      <c r="H699" s="4" t="str">
        <f>IFERROR(__xludf.DUMMYFUNCTION("""COMPUTED_VALUE"""),"ONISSHMD1")</f>
        <v>ONISSHMD1</v>
      </c>
      <c r="I699" s="5">
        <f>IFERROR(__xludf.DUMMYFUNCTION("""COMPUTED_VALUE"""),29.0)</f>
        <v>29</v>
      </c>
      <c r="J699" s="4" t="str">
        <f>IFERROR(__xludf.DUMMYFUNCTION("""COMPUTED_VALUE"""),"Tier 3")</f>
        <v>Tier 3</v>
      </c>
      <c r="K699" s="4" t="str">
        <f>IFERROR(__xludf.DUMMYFUNCTION("""COMPUTED_VALUE"""),"Active")</f>
        <v>Active</v>
      </c>
      <c r="L699" s="4" t="str">
        <f>IFERROR(__xludf.DUMMYFUNCTION("""COMPUTED_VALUE"""),"BigQuery")</f>
        <v>BigQuery</v>
      </c>
    </row>
    <row r="700">
      <c r="A700" s="4" t="str">
        <f>IFERROR(__xludf.DUMMYFUNCTION("""COMPUTED_VALUE"""),"DMUK0004")</f>
        <v>DMUK0004</v>
      </c>
      <c r="B700" s="4" t="str">
        <f>IFERROR(__xludf.DUMMYFUNCTION("""COMPUTED_VALUE"""),"Maheshkumar Babulal Gupta")</f>
        <v>Maheshkumar Babulal Gupta</v>
      </c>
      <c r="C700" s="4" t="str">
        <f>IFERROR(__xludf.DUMMYFUNCTION("""COMPUTED_VALUE"""),"mahesh.gupta@onixnet.com")</f>
        <v>mahesh.gupta@onixnet.com</v>
      </c>
      <c r="D700" s="4" t="str">
        <f>IFERROR(__xludf.DUMMYFUNCTION("""COMPUTED_VALUE"""),"Active")</f>
        <v>Active</v>
      </c>
      <c r="E700" s="4" t="str">
        <f>IFERROR(__xludf.DUMMYFUNCTION("""COMPUTED_VALUE"""),"Delivery Services")</f>
        <v>Delivery Services</v>
      </c>
      <c r="F700" s="4" t="str">
        <f>IFERROR(__xludf.DUMMYFUNCTION("""COMPUTED_VALUE"""),"Siddharth Bhandari")</f>
        <v>Siddharth Bhandari</v>
      </c>
      <c r="G700" s="4" t="str">
        <f>IFERROR(__xludf.DUMMYFUNCTION("""COMPUTED_VALUE"""),"Portfolio - Siddharth")</f>
        <v>Portfolio - Siddharth</v>
      </c>
      <c r="H700" s="4" t="str">
        <f>IFERROR(__xludf.DUMMYFUNCTION("""COMPUTED_VALUE"""),"DATMGXSQ6")</f>
        <v>DATMGXSQ6</v>
      </c>
      <c r="I700" s="5">
        <f>IFERROR(__xludf.DUMMYFUNCTION("""COMPUTED_VALUE"""),19.0)</f>
        <v>19</v>
      </c>
      <c r="J700" s="4" t="str">
        <f>IFERROR(__xludf.DUMMYFUNCTION("""COMPUTED_VALUE"""),"Tier 4")</f>
        <v>Tier 4</v>
      </c>
      <c r="K700" s="4" t="str">
        <f>IFERROR(__xludf.DUMMYFUNCTION("""COMPUTED_VALUE"""),"Active")</f>
        <v>Active</v>
      </c>
      <c r="L700" s="4" t="str">
        <f>IFERROR(__xludf.DUMMYFUNCTION("""COMPUTED_VALUE"""),"BigQuery")</f>
        <v>BigQuery</v>
      </c>
    </row>
    <row r="701">
      <c r="A701" s="4" t="str">
        <f>IFERROR(__xludf.DUMMYFUNCTION("""COMPUTED_VALUE"""),"DME2660")</f>
        <v>DME2660</v>
      </c>
      <c r="B701" s="4" t="str">
        <f>IFERROR(__xludf.DUMMYFUNCTION("""COMPUTED_VALUE"""),"Aman Shaikh")</f>
        <v>Aman Shaikh</v>
      </c>
      <c r="C701" s="4" t="str">
        <f>IFERROR(__xludf.DUMMYFUNCTION("""COMPUTED_VALUE"""),"aman.shaikh@onixnet.com")</f>
        <v>aman.shaikh@onixnet.com</v>
      </c>
      <c r="D701" s="4" t="str">
        <f>IFERROR(__xludf.DUMMYFUNCTION("""COMPUTED_VALUE"""),"Active")</f>
        <v>Active</v>
      </c>
      <c r="E701" s="4" t="str">
        <f>IFERROR(__xludf.DUMMYFUNCTION("""COMPUTED_VALUE"""),"Product Engineering")</f>
        <v>Product Engineering</v>
      </c>
      <c r="F701" s="4" t="str">
        <f>IFERROR(__xludf.DUMMYFUNCTION("""COMPUTED_VALUE"""),"Sajid Patel")</f>
        <v>Sajid Patel</v>
      </c>
      <c r="G701" s="4" t="str">
        <f>IFERROR(__xludf.DUMMYFUNCTION("""COMPUTED_VALUE"""),"Cluster - Mayur")</f>
        <v>Cluster - Mayur</v>
      </c>
      <c r="H701" s="4" t="str">
        <f>IFERROR(__xludf.DUMMYFUNCTION("""COMPUTED_VALUE"""),"ONIASDFF6")</f>
        <v>ONIASDFF6</v>
      </c>
      <c r="I701" s="5">
        <f>IFERROR(__xludf.DUMMYFUNCTION("""COMPUTED_VALUE"""),15.0)</f>
        <v>15</v>
      </c>
      <c r="J701" s="4" t="str">
        <f>IFERROR(__xludf.DUMMYFUNCTION("""COMPUTED_VALUE"""),"Tier 4")</f>
        <v>Tier 4</v>
      </c>
      <c r="K701" s="4" t="str">
        <f>IFERROR(__xludf.DUMMYFUNCTION("""COMPUTED_VALUE"""),"Active")</f>
        <v>Active</v>
      </c>
      <c r="L701" s="4" t="str">
        <f>IFERROR(__xludf.DUMMYFUNCTION("""COMPUTED_VALUE"""),"Google Kubernetes Engine")</f>
        <v>Google Kubernetes Engine</v>
      </c>
    </row>
    <row r="702">
      <c r="A702" s="4" t="str">
        <f>IFERROR(__xludf.DUMMYFUNCTION("""COMPUTED_VALUE"""),"DME2661")</f>
        <v>DME2661</v>
      </c>
      <c r="B702" s="4" t="str">
        <f>IFERROR(__xludf.DUMMYFUNCTION("""COMPUTED_VALUE"""),"Divyani Mahajan")</f>
        <v>Divyani Mahajan</v>
      </c>
      <c r="C702" s="4" t="str">
        <f>IFERROR(__xludf.DUMMYFUNCTION("""COMPUTED_VALUE"""),"divyani.mahajan@onixnet.com")</f>
        <v>divyani.mahajan@onixnet.com</v>
      </c>
      <c r="D702" s="4" t="str">
        <f>IFERROR(__xludf.DUMMYFUNCTION("""COMPUTED_VALUE"""),"Active")</f>
        <v>Active</v>
      </c>
      <c r="E702" s="4" t="str">
        <f>IFERROR(__xludf.DUMMYFUNCTION("""COMPUTED_VALUE"""),"Delivery Services")</f>
        <v>Delivery Services</v>
      </c>
      <c r="F702" s="4" t="str">
        <f>IFERROR(__xludf.DUMMYFUNCTION("""COMPUTED_VALUE"""),"Jitender Singh")</f>
        <v>Jitender Singh</v>
      </c>
      <c r="G702" s="4" t="str">
        <f>IFERROR(__xludf.DUMMYFUNCTION("""COMPUTED_VALUE"""),"Cluster - Gaurav")</f>
        <v>Cluster - Gaurav</v>
      </c>
      <c r="H702" s="4" t="str">
        <f>IFERROR(__xludf.DUMMYFUNCTION("""COMPUTED_VALUE"""),"ONIDMRJA7")</f>
        <v>ONIDMRJA7</v>
      </c>
      <c r="I702" s="5">
        <f>IFERROR(__xludf.DUMMYFUNCTION("""COMPUTED_VALUE"""),0.0)</f>
        <v>0</v>
      </c>
      <c r="J702" s="4" t="str">
        <f>IFERROR(__xludf.DUMMYFUNCTION("""COMPUTED_VALUE"""),"Tier 4")</f>
        <v>Tier 4</v>
      </c>
      <c r="K702" s="4" t="str">
        <f>IFERROR(__xludf.DUMMYFUNCTION("""COMPUTED_VALUE"""),"ID Created DRP score 0")</f>
        <v>ID Created DRP score 0</v>
      </c>
      <c r="L702" s="4"/>
    </row>
    <row r="703">
      <c r="A703" s="4" t="str">
        <f>IFERROR(__xludf.DUMMYFUNCTION("""COMPUTED_VALUE"""),"ONIX676")</f>
        <v>ONIX676</v>
      </c>
      <c r="B703" s="4" t="str">
        <f>IFERROR(__xludf.DUMMYFUNCTION("""COMPUTED_VALUE"""),"Sanjiv Chawla")</f>
        <v>Sanjiv Chawla</v>
      </c>
      <c r="C703" s="4" t="str">
        <f>IFERROR(__xludf.DUMMYFUNCTION("""COMPUTED_VALUE"""),"sanjiv.chawla@onixnet.com")</f>
        <v>sanjiv.chawla@onixnet.com</v>
      </c>
      <c r="D703" s="4" t="str">
        <f>IFERROR(__xludf.DUMMYFUNCTION("""COMPUTED_VALUE"""),"Active")</f>
        <v>Active</v>
      </c>
      <c r="E703" s="4" t="str">
        <f>IFERROR(__xludf.DUMMYFUNCTION("""COMPUTED_VALUE"""),"Services")</f>
        <v>Services</v>
      </c>
      <c r="F703" s="4" t="str">
        <f>IFERROR(__xludf.DUMMYFUNCTION("""COMPUTED_VALUE"""),"Ankur Kashyap")</f>
        <v>Ankur Kashyap</v>
      </c>
      <c r="G703" s="4" t="str">
        <f>IFERROR(__xludf.DUMMYFUNCTION("""COMPUTED_VALUE"""),"Portfolio - Ankur (Sales)")</f>
        <v>Portfolio - Ankur (Sales)</v>
      </c>
      <c r="H703" s="4"/>
      <c r="I703" s="5"/>
      <c r="J703" s="4"/>
      <c r="K703" s="4" t="str">
        <f>IFERROR(__xludf.DUMMYFUNCTION("""COMPUTED_VALUE"""),"ID Not Created")</f>
        <v>ID Not Created</v>
      </c>
      <c r="L703" s="4"/>
    </row>
    <row r="704">
      <c r="A704" s="4" t="str">
        <f>IFERROR(__xludf.DUMMYFUNCTION("""COMPUTED_VALUE"""),"ONIX683")</f>
        <v>ONIX683</v>
      </c>
      <c r="B704" s="4" t="str">
        <f>IFERROR(__xludf.DUMMYFUNCTION("""COMPUTED_VALUE"""),"David Polanco Bloomfield")</f>
        <v>David Polanco Bloomfield</v>
      </c>
      <c r="C704" s="4" t="str">
        <f>IFERROR(__xludf.DUMMYFUNCTION("""COMPUTED_VALUE"""),"david.polanco@onixnet.com")</f>
        <v>david.polanco@onixnet.com</v>
      </c>
      <c r="D704" s="4" t="str">
        <f>IFERROR(__xludf.DUMMYFUNCTION("""COMPUTED_VALUE"""),"Active")</f>
        <v>Active</v>
      </c>
      <c r="E704" s="4" t="str">
        <f>IFERROR(__xludf.DUMMYFUNCTION("""COMPUTED_VALUE"""),"Services")</f>
        <v>Services</v>
      </c>
      <c r="F704" s="4" t="str">
        <f>IFERROR(__xludf.DUMMYFUNCTION("""COMPUTED_VALUE"""),"Justin McKibben")</f>
        <v>Justin McKibben</v>
      </c>
      <c r="G704" s="4" t="str">
        <f>IFERROR(__xludf.DUMMYFUNCTION("""COMPUTED_VALUE"""),"Portfolio - Courtney (US East)")</f>
        <v>Portfolio - Courtney (US East)</v>
      </c>
      <c r="H704" s="4" t="str">
        <f>IFERROR(__xludf.DUMMYFUNCTION("""COMPUTED_VALUE"""),"ONIDPOHN6")</f>
        <v>ONIDPOHN6</v>
      </c>
      <c r="I704" s="5">
        <f>IFERROR(__xludf.DUMMYFUNCTION("""COMPUTED_VALUE"""),25.0)</f>
        <v>25</v>
      </c>
      <c r="J704" s="4" t="str">
        <f>IFERROR(__xludf.DUMMYFUNCTION("""COMPUTED_VALUE"""),"Tier 3")</f>
        <v>Tier 3</v>
      </c>
      <c r="K704" s="4" t="str">
        <f>IFERROR(__xludf.DUMMYFUNCTION("""COMPUTED_VALUE"""),"Active")</f>
        <v>Active</v>
      </c>
      <c r="L704" s="4"/>
    </row>
    <row r="705">
      <c r="A705" s="4" t="str">
        <f>IFERROR(__xludf.DUMMYFUNCTION("""COMPUTED_VALUE"""),"ONIX687")</f>
        <v>ONIX687</v>
      </c>
      <c r="B705" s="4" t="str">
        <f>IFERROR(__xludf.DUMMYFUNCTION("""COMPUTED_VALUE"""),"Gretchen Reyes")</f>
        <v>Gretchen Reyes</v>
      </c>
      <c r="C705" s="4" t="str">
        <f>IFERROR(__xludf.DUMMYFUNCTION("""COMPUTED_VALUE"""),"gretchen.reyes@onixnet.com")</f>
        <v>gretchen.reyes@onixnet.com</v>
      </c>
      <c r="D705" s="4" t="str">
        <f>IFERROR(__xludf.DUMMYFUNCTION("""COMPUTED_VALUE"""),"Active")</f>
        <v>Active</v>
      </c>
      <c r="E705" s="4" t="str">
        <f>IFERROR(__xludf.DUMMYFUNCTION("""COMPUTED_VALUE"""),"Services")</f>
        <v>Services</v>
      </c>
      <c r="F705" s="4" t="str">
        <f>IFERROR(__xludf.DUMMYFUNCTION("""COMPUTED_VALUE"""),"Courtney Cline")</f>
        <v>Courtney Cline</v>
      </c>
      <c r="G705" s="4" t="str">
        <f>IFERROR(__xludf.DUMMYFUNCTION("""COMPUTED_VALUE"""),"Portfolio - Courtney (US East)")</f>
        <v>Portfolio - Courtney (US East)</v>
      </c>
      <c r="H705" s="4" t="str">
        <f>IFERROR(__xludf.DUMMYFUNCTION("""COMPUTED_VALUE"""),"ONIGRFSJ6")</f>
        <v>ONIGRFSJ6</v>
      </c>
      <c r="I705" s="5">
        <f>IFERROR(__xludf.DUMMYFUNCTION("""COMPUTED_VALUE"""),0.0)</f>
        <v>0</v>
      </c>
      <c r="J705" s="4" t="str">
        <f>IFERROR(__xludf.DUMMYFUNCTION("""COMPUTED_VALUE"""),"Tier 4")</f>
        <v>Tier 4</v>
      </c>
      <c r="K705" s="4" t="str">
        <f>IFERROR(__xludf.DUMMYFUNCTION("""COMPUTED_VALUE"""),"ID Created DRP score 0")</f>
        <v>ID Created DRP score 0</v>
      </c>
      <c r="L705" s="4"/>
    </row>
    <row r="706">
      <c r="A706" s="4" t="str">
        <f>IFERROR(__xludf.DUMMYFUNCTION("""COMPUTED_VALUE"""),"DME2697")</f>
        <v>DME2697</v>
      </c>
      <c r="B706" s="4" t="str">
        <f>IFERROR(__xludf.DUMMYFUNCTION("""COMPUTED_VALUE"""),"Manoj Laxman Sakat")</f>
        <v>Manoj Laxman Sakat</v>
      </c>
      <c r="C706" s="4" t="str">
        <f>IFERROR(__xludf.DUMMYFUNCTION("""COMPUTED_VALUE"""),"manoj.sakat@onixnet.com")</f>
        <v>manoj.sakat@onixnet.com</v>
      </c>
      <c r="D706" s="4" t="str">
        <f>IFERROR(__xludf.DUMMYFUNCTION("""COMPUTED_VALUE"""),"Active")</f>
        <v>Active</v>
      </c>
      <c r="E706" s="4" t="str">
        <f>IFERROR(__xludf.DUMMYFUNCTION("""COMPUTED_VALUE"""),"Product Engineering")</f>
        <v>Product Engineering</v>
      </c>
      <c r="F706" s="4" t="str">
        <f>IFERROR(__xludf.DUMMYFUNCTION("""COMPUTED_VALUE"""),"Aditya Basak")</f>
        <v>Aditya Basak</v>
      </c>
      <c r="G706" s="4" t="str">
        <f>IFERROR(__xludf.DUMMYFUNCTION("""COMPUTED_VALUE"""),"Cluster - Mayur")</f>
        <v>Cluster - Mayur</v>
      </c>
      <c r="H706" s="4" t="str">
        <f>IFERROR(__xludf.DUMMYFUNCTION("""COMPUTED_VALUE"""),"ONIMSRKG8")</f>
        <v>ONIMSRKG8</v>
      </c>
      <c r="I706" s="5">
        <f>IFERROR(__xludf.DUMMYFUNCTION("""COMPUTED_VALUE"""),5.0)</f>
        <v>5</v>
      </c>
      <c r="J706" s="4" t="str">
        <f>IFERROR(__xludf.DUMMYFUNCTION("""COMPUTED_VALUE"""),"Tier 4")</f>
        <v>Tier 4</v>
      </c>
      <c r="K706" s="4" t="str">
        <f>IFERROR(__xludf.DUMMYFUNCTION("""COMPUTED_VALUE"""),"Active")</f>
        <v>Active</v>
      </c>
      <c r="L706" s="4" t="str">
        <f>IFERROR(__xludf.DUMMYFUNCTION("""COMPUTED_VALUE"""),"Gemini Enterprise Agent Platform")</f>
        <v>Gemini Enterprise Agent Platform</v>
      </c>
    </row>
    <row r="707">
      <c r="A707" s="4" t="str">
        <f>IFERROR(__xludf.DUMMYFUNCTION("""COMPUTED_VALUE"""),"DME2698")</f>
        <v>DME2698</v>
      </c>
      <c r="B707" s="4" t="str">
        <f>IFERROR(__xludf.DUMMYFUNCTION("""COMPUTED_VALUE"""),"Shalini Vij")</f>
        <v>Shalini Vij</v>
      </c>
      <c r="C707" s="4" t="str">
        <f>IFERROR(__xludf.DUMMYFUNCTION("""COMPUTED_VALUE"""),"shalini.vij@onixnet.com")</f>
        <v>shalini.vij@onixnet.com</v>
      </c>
      <c r="D707" s="4" t="str">
        <f>IFERROR(__xludf.DUMMYFUNCTION("""COMPUTED_VALUE"""),"Active")</f>
        <v>Active</v>
      </c>
      <c r="E707" s="4" t="str">
        <f>IFERROR(__xludf.DUMMYFUNCTION("""COMPUTED_VALUE"""),"Delivery Services")</f>
        <v>Delivery Services</v>
      </c>
      <c r="F707" s="4" t="str">
        <f>IFERROR(__xludf.DUMMYFUNCTION("""COMPUTED_VALUE"""),"Anubhav Sharma")</f>
        <v>Anubhav Sharma</v>
      </c>
      <c r="G707" s="4" t="str">
        <f>IFERROR(__xludf.DUMMYFUNCTION("""COMPUTED_VALUE"""),"Cluster - Varun")</f>
        <v>Cluster - Varun</v>
      </c>
      <c r="H707" s="4" t="str">
        <f>IFERROR(__xludf.DUMMYFUNCTION("""COMPUTED_VALUE"""),"ONISVHOB8")</f>
        <v>ONISVHOB8</v>
      </c>
      <c r="I707" s="5">
        <f>IFERROR(__xludf.DUMMYFUNCTION("""COMPUTED_VALUE"""),10.0)</f>
        <v>10</v>
      </c>
      <c r="J707" s="4" t="str">
        <f>IFERROR(__xludf.DUMMYFUNCTION("""COMPUTED_VALUE"""),"Tier 4")</f>
        <v>Tier 4</v>
      </c>
      <c r="K707" s="4" t="str">
        <f>IFERROR(__xludf.DUMMYFUNCTION("""COMPUTED_VALUE"""),"Active")</f>
        <v>Active</v>
      </c>
      <c r="L707" s="4" t="str">
        <f>IFERROR(__xludf.DUMMYFUNCTION("""COMPUTED_VALUE"""),"Gemini Enterprise Agent Platform")</f>
        <v>Gemini Enterprise Agent Platform</v>
      </c>
    </row>
    <row r="708">
      <c r="A708" s="4" t="str">
        <f>IFERROR(__xludf.DUMMYFUNCTION("""COMPUTED_VALUE"""),"DME2699")</f>
        <v>DME2699</v>
      </c>
      <c r="B708" s="4" t="str">
        <f>IFERROR(__xludf.DUMMYFUNCTION("""COMPUTED_VALUE"""),"Shubham Dnynoba Panchal")</f>
        <v>Shubham Dnynoba Panchal</v>
      </c>
      <c r="C708" s="4" t="str">
        <f>IFERROR(__xludf.DUMMYFUNCTION("""COMPUTED_VALUE"""),"shubham.panchal@onixnet.com")</f>
        <v>shubham.panchal@onixnet.com</v>
      </c>
      <c r="D708" s="4" t="str">
        <f>IFERROR(__xludf.DUMMYFUNCTION("""COMPUTED_VALUE"""),"Active")</f>
        <v>Active</v>
      </c>
      <c r="E708" s="4" t="str">
        <f>IFERROR(__xludf.DUMMYFUNCTION("""COMPUTED_VALUE"""),"Delivery Services")</f>
        <v>Delivery Services</v>
      </c>
      <c r="F708" s="4" t="str">
        <f>IFERROR(__xludf.DUMMYFUNCTION("""COMPUTED_VALUE"""),"Suresh Shankar Rasal")</f>
        <v>Suresh Shankar Rasal</v>
      </c>
      <c r="G708" s="4" t="str">
        <f>IFERROR(__xludf.DUMMYFUNCTION("""COMPUTED_VALUE"""),"Cluster - Gaurav")</f>
        <v>Cluster - Gaurav</v>
      </c>
      <c r="H708" s="4" t="str">
        <f>IFERROR(__xludf.DUMMYFUNCTION("""COMPUTED_VALUE"""),"ONISPASI4")</f>
        <v>ONISPASI4</v>
      </c>
      <c r="I708" s="5">
        <f>IFERROR(__xludf.DUMMYFUNCTION("""COMPUTED_VALUE"""),30.0)</f>
        <v>30</v>
      </c>
      <c r="J708" s="4" t="str">
        <f>IFERROR(__xludf.DUMMYFUNCTION("""COMPUTED_VALUE"""),"Tier 3")</f>
        <v>Tier 3</v>
      </c>
      <c r="K708" s="4" t="str">
        <f>IFERROR(__xludf.DUMMYFUNCTION("""COMPUTED_VALUE"""),"Active")</f>
        <v>Active</v>
      </c>
      <c r="L708" s="4" t="str">
        <f>IFERROR(__xludf.DUMMYFUNCTION("""COMPUTED_VALUE"""),"Gemini Enterprise")</f>
        <v>Gemini Enterprise</v>
      </c>
    </row>
    <row r="709">
      <c r="A709" s="4" t="str">
        <f>IFERROR(__xludf.DUMMYFUNCTION("""COMPUTED_VALUE"""),"DME2700")</f>
        <v>DME2700</v>
      </c>
      <c r="B709" s="4" t="str">
        <f>IFERROR(__xludf.DUMMYFUNCTION("""COMPUTED_VALUE"""),"Om Ashok Kubare")</f>
        <v>Om Ashok Kubare</v>
      </c>
      <c r="C709" s="4" t="str">
        <f>IFERROR(__xludf.DUMMYFUNCTION("""COMPUTED_VALUE"""),"om.kubare@onixnet.com")</f>
        <v>om.kubare@onixnet.com</v>
      </c>
      <c r="D709" s="4" t="str">
        <f>IFERROR(__xludf.DUMMYFUNCTION("""COMPUTED_VALUE"""),"Active")</f>
        <v>Active</v>
      </c>
      <c r="E709" s="4" t="str">
        <f>IFERROR(__xludf.DUMMYFUNCTION("""COMPUTED_VALUE"""),"Delivery Services")</f>
        <v>Delivery Services</v>
      </c>
      <c r="F709" s="4" t="str">
        <f>IFERROR(__xludf.DUMMYFUNCTION("""COMPUTED_VALUE"""),"Sneha Bhatambrekar")</f>
        <v>Sneha Bhatambrekar</v>
      </c>
      <c r="G709" s="4" t="str">
        <f>IFERROR(__xludf.DUMMYFUNCTION("""COMPUTED_VALUE"""),"Cluster - Sandeep")</f>
        <v>Cluster - Sandeep</v>
      </c>
      <c r="H709" s="4"/>
      <c r="I709" s="5"/>
      <c r="J709" s="4"/>
      <c r="K709" s="4" t="str">
        <f>IFERROR(__xludf.DUMMYFUNCTION("""COMPUTED_VALUE"""),"ID Not Created")</f>
        <v>ID Not Created</v>
      </c>
      <c r="L709" s="4"/>
    </row>
    <row r="710">
      <c r="A710" s="4" t="str">
        <f>IFERROR(__xludf.DUMMYFUNCTION("""COMPUTED_VALUE"""),"DME2701")</f>
        <v>DME2701</v>
      </c>
      <c r="B710" s="4" t="str">
        <f>IFERROR(__xludf.DUMMYFUNCTION("""COMPUTED_VALUE"""),"Rahul Gupta")</f>
        <v>Rahul Gupta</v>
      </c>
      <c r="C710" s="4" t="str">
        <f>IFERROR(__xludf.DUMMYFUNCTION("""COMPUTED_VALUE"""),"rahul.gupta@onixnet.com")</f>
        <v>rahul.gupta@onixnet.com</v>
      </c>
      <c r="D710" s="4" t="str">
        <f>IFERROR(__xludf.DUMMYFUNCTION("""COMPUTED_VALUE"""),"Active")</f>
        <v>Active</v>
      </c>
      <c r="E710" s="4" t="str">
        <f>IFERROR(__xludf.DUMMYFUNCTION("""COMPUTED_VALUE"""),"Delivery Services")</f>
        <v>Delivery Services</v>
      </c>
      <c r="F710" s="4" t="str">
        <f>IFERROR(__xludf.DUMMYFUNCTION("""COMPUTED_VALUE"""),"Sachin Jakhar")</f>
        <v>Sachin Jakhar</v>
      </c>
      <c r="G710" s="4" t="str">
        <f>IFERROR(__xludf.DUMMYFUNCTION("""COMPUTED_VALUE"""),"Cluster - Sachin")</f>
        <v>Cluster - Sachin</v>
      </c>
      <c r="H710" s="4" t="str">
        <f>IFERROR(__xludf.DUMMYFUNCTION("""COMPUTED_VALUE"""),"ONIRGBYL4")</f>
        <v>ONIRGBYL4</v>
      </c>
      <c r="I710" s="5">
        <f>IFERROR(__xludf.DUMMYFUNCTION("""COMPUTED_VALUE"""),24.0)</f>
        <v>24</v>
      </c>
      <c r="J710" s="4" t="str">
        <f>IFERROR(__xludf.DUMMYFUNCTION("""COMPUTED_VALUE"""),"Tier 3")</f>
        <v>Tier 3</v>
      </c>
      <c r="K710" s="4" t="str">
        <f>IFERROR(__xludf.DUMMYFUNCTION("""COMPUTED_VALUE"""),"Active")</f>
        <v>Active</v>
      </c>
      <c r="L710" s="4" t="str">
        <f>IFERROR(__xludf.DUMMYFUNCTION("""COMPUTED_VALUE"""),"BigQuery")</f>
        <v>BigQuery</v>
      </c>
    </row>
    <row r="711">
      <c r="A711" s="4" t="str">
        <f>IFERROR(__xludf.DUMMYFUNCTION("""COMPUTED_VALUE"""),"DME2702")</f>
        <v>DME2702</v>
      </c>
      <c r="B711" s="4" t="str">
        <f>IFERROR(__xludf.DUMMYFUNCTION("""COMPUTED_VALUE"""),"Abhishek Thakur")</f>
        <v>Abhishek Thakur</v>
      </c>
      <c r="C711" s="4" t="str">
        <f>IFERROR(__xludf.DUMMYFUNCTION("""COMPUTED_VALUE"""),"abhishek.thakur@onixnet.com")</f>
        <v>abhishek.thakur@onixnet.com</v>
      </c>
      <c r="D711" s="4" t="str">
        <f>IFERROR(__xludf.DUMMYFUNCTION("""COMPUTED_VALUE"""),"Active")</f>
        <v>Active</v>
      </c>
      <c r="E711" s="4" t="str">
        <f>IFERROR(__xludf.DUMMYFUNCTION("""COMPUTED_VALUE"""),"Delivery Services")</f>
        <v>Delivery Services</v>
      </c>
      <c r="F711" s="4" t="str">
        <f>IFERROR(__xludf.DUMMYFUNCTION("""COMPUTED_VALUE"""),"Anand Saraf")</f>
        <v>Anand Saraf</v>
      </c>
      <c r="G711" s="4" t="str">
        <f>IFERROR(__xludf.DUMMYFUNCTION("""COMPUTED_VALUE"""),"Cluster - Sachin")</f>
        <v>Cluster - Sachin</v>
      </c>
      <c r="H711" s="4" t="str">
        <f>IFERROR(__xludf.DUMMYFUNCTION("""COMPUTED_VALUE"""),"ONIATWCV7")</f>
        <v>ONIATWCV7</v>
      </c>
      <c r="I711" s="5">
        <f>IFERROR(__xludf.DUMMYFUNCTION("""COMPUTED_VALUE"""),14.0)</f>
        <v>14</v>
      </c>
      <c r="J711" s="4" t="str">
        <f>IFERROR(__xludf.DUMMYFUNCTION("""COMPUTED_VALUE"""),"Tier 4")</f>
        <v>Tier 4</v>
      </c>
      <c r="K711" s="4" t="str">
        <f>IFERROR(__xludf.DUMMYFUNCTION("""COMPUTED_VALUE"""),"Active")</f>
        <v>Active</v>
      </c>
      <c r="L711" s="4" t="str">
        <f>IFERROR(__xludf.DUMMYFUNCTION("""COMPUTED_VALUE"""),"BigQuery")</f>
        <v>BigQuery</v>
      </c>
    </row>
    <row r="712">
      <c r="A712" s="4" t="str">
        <f>IFERROR(__xludf.DUMMYFUNCTION("""COMPUTED_VALUE"""),"DME2703")</f>
        <v>DME2703</v>
      </c>
      <c r="B712" s="4" t="str">
        <f>IFERROR(__xludf.DUMMYFUNCTION("""COMPUTED_VALUE"""),"Shivam Jawaharlal Yadav")</f>
        <v>Shivam Jawaharlal Yadav</v>
      </c>
      <c r="C712" s="4" t="str">
        <f>IFERROR(__xludf.DUMMYFUNCTION("""COMPUTED_VALUE"""),"shivam.yadav@onixnet.com")</f>
        <v>shivam.yadav@onixnet.com</v>
      </c>
      <c r="D712" s="4" t="str">
        <f>IFERROR(__xludf.DUMMYFUNCTION("""COMPUTED_VALUE"""),"Active")</f>
        <v>Active</v>
      </c>
      <c r="E712" s="4" t="str">
        <f>IFERROR(__xludf.DUMMYFUNCTION("""COMPUTED_VALUE"""),"Delivery Services")</f>
        <v>Delivery Services</v>
      </c>
      <c r="F712" s="4" t="str">
        <f>IFERROR(__xludf.DUMMYFUNCTION("""COMPUTED_VALUE"""),"Pratik Karpe")</f>
        <v>Pratik Karpe</v>
      </c>
      <c r="G712" s="4" t="str">
        <f>IFERROR(__xludf.DUMMYFUNCTION("""COMPUTED_VALUE"""),"Cluster - Gaurav")</f>
        <v>Cluster - Gaurav</v>
      </c>
      <c r="H712" s="4" t="str">
        <f>IFERROR(__xludf.DUMMYFUNCTION("""COMPUTED_VALUE"""),"ONISYDZF9")</f>
        <v>ONISYDZF9</v>
      </c>
      <c r="I712" s="5">
        <f>IFERROR(__xludf.DUMMYFUNCTION("""COMPUTED_VALUE"""),39.0)</f>
        <v>39</v>
      </c>
      <c r="J712" s="4" t="str">
        <f>IFERROR(__xludf.DUMMYFUNCTION("""COMPUTED_VALUE"""),"Tier 2")</f>
        <v>Tier 2</v>
      </c>
      <c r="K712" s="4" t="str">
        <f>IFERROR(__xludf.DUMMYFUNCTION("""COMPUTED_VALUE"""),"Active")</f>
        <v>Active</v>
      </c>
      <c r="L712" s="4" t="str">
        <f>IFERROR(__xludf.DUMMYFUNCTION("""COMPUTED_VALUE"""),"Dataflow")</f>
        <v>Dataflow</v>
      </c>
    </row>
    <row r="713">
      <c r="A713" s="4" t="str">
        <f>IFERROR(__xludf.DUMMYFUNCTION("""COMPUTED_VALUE"""),"DME2704")</f>
        <v>DME2704</v>
      </c>
      <c r="B713" s="4" t="str">
        <f>IFERROR(__xludf.DUMMYFUNCTION("""COMPUTED_VALUE"""),"Shriya Yewale")</f>
        <v>Shriya Yewale</v>
      </c>
      <c r="C713" s="4" t="str">
        <f>IFERROR(__xludf.DUMMYFUNCTION("""COMPUTED_VALUE"""),"shriya.yewale@onixnet.com")</f>
        <v>shriya.yewale@onixnet.com</v>
      </c>
      <c r="D713" s="4" t="str">
        <f>IFERROR(__xludf.DUMMYFUNCTION("""COMPUTED_VALUE"""),"Active")</f>
        <v>Active</v>
      </c>
      <c r="E713" s="4" t="str">
        <f>IFERROR(__xludf.DUMMYFUNCTION("""COMPUTED_VALUE"""),"Delivery Services")</f>
        <v>Delivery Services</v>
      </c>
      <c r="F713" s="4" t="str">
        <f>IFERROR(__xludf.DUMMYFUNCTION("""COMPUTED_VALUE"""),"Jitender Singh")</f>
        <v>Jitender Singh</v>
      </c>
      <c r="G713" s="4" t="str">
        <f>IFERROR(__xludf.DUMMYFUNCTION("""COMPUTED_VALUE"""),"Cluster - Gaurav")</f>
        <v>Cluster - Gaurav</v>
      </c>
      <c r="H713" s="4"/>
      <c r="I713" s="5"/>
      <c r="J713" s="4"/>
      <c r="K713" s="4" t="str">
        <f>IFERROR(__xludf.DUMMYFUNCTION("""COMPUTED_VALUE"""),"ID Not Created")</f>
        <v>ID Not Created</v>
      </c>
      <c r="L713" s="4"/>
    </row>
    <row r="714">
      <c r="A714" s="4" t="str">
        <f>IFERROR(__xludf.DUMMYFUNCTION("""COMPUTED_VALUE"""),"DME2706")</f>
        <v>DME2706</v>
      </c>
      <c r="B714" s="4" t="str">
        <f>IFERROR(__xludf.DUMMYFUNCTION("""COMPUTED_VALUE"""),"Jatin Ahuja")</f>
        <v>Jatin Ahuja</v>
      </c>
      <c r="C714" s="4" t="str">
        <f>IFERROR(__xludf.DUMMYFUNCTION("""COMPUTED_VALUE"""),"jatin.ahuja@onixnet.com")</f>
        <v>jatin.ahuja@onixnet.com</v>
      </c>
      <c r="D714" s="4" t="str">
        <f>IFERROR(__xludf.DUMMYFUNCTION("""COMPUTED_VALUE"""),"Active")</f>
        <v>Active</v>
      </c>
      <c r="E714" s="4" t="str">
        <f>IFERROR(__xludf.DUMMYFUNCTION("""COMPUTED_VALUE"""),"Delivery Services")</f>
        <v>Delivery Services</v>
      </c>
      <c r="F714" s="4" t="str">
        <f>IFERROR(__xludf.DUMMYFUNCTION("""COMPUTED_VALUE"""),"Sachin Jakhar")</f>
        <v>Sachin Jakhar</v>
      </c>
      <c r="G714" s="4" t="str">
        <f>IFERROR(__xludf.DUMMYFUNCTION("""COMPUTED_VALUE"""),"Cluster - Gaurav")</f>
        <v>Cluster - Gaurav</v>
      </c>
      <c r="H714" s="4" t="str">
        <f>IFERROR(__xludf.DUMMYFUNCTION("""COMPUTED_VALUE"""),"ONIJAPGF8")</f>
        <v>ONIJAPGF8</v>
      </c>
      <c r="I714" s="5">
        <f>IFERROR(__xludf.DUMMYFUNCTION("""COMPUTED_VALUE"""),0.0)</f>
        <v>0</v>
      </c>
      <c r="J714" s="4" t="str">
        <f>IFERROR(__xludf.DUMMYFUNCTION("""COMPUTED_VALUE"""),"Tier 4")</f>
        <v>Tier 4</v>
      </c>
      <c r="K714" s="4" t="str">
        <f>IFERROR(__xludf.DUMMYFUNCTION("""COMPUTED_VALUE"""),"ID Created DRP score 0")</f>
        <v>ID Created DRP score 0</v>
      </c>
      <c r="L714" s="4"/>
    </row>
    <row r="715">
      <c r="A715" s="4" t="str">
        <f>IFERROR(__xludf.DUMMYFUNCTION("""COMPUTED_VALUE"""),"DME2708")</f>
        <v>DME2708</v>
      </c>
      <c r="B715" s="4" t="str">
        <f>IFERROR(__xludf.DUMMYFUNCTION("""COMPUTED_VALUE"""),"Aaditya Vijaykumar Bansude")</f>
        <v>Aaditya Vijaykumar Bansude</v>
      </c>
      <c r="C715" s="4" t="str">
        <f>IFERROR(__xludf.DUMMYFUNCTION("""COMPUTED_VALUE"""),"aaditya.bansude@onixnet.com")</f>
        <v>aaditya.bansude@onixnet.com</v>
      </c>
      <c r="D715" s="4" t="str">
        <f>IFERROR(__xludf.DUMMYFUNCTION("""COMPUTED_VALUE"""),"Active")</f>
        <v>Active</v>
      </c>
      <c r="E715" s="4" t="str">
        <f>IFERROR(__xludf.DUMMYFUNCTION("""COMPUTED_VALUE"""),"Delivery Services")</f>
        <v>Delivery Services</v>
      </c>
      <c r="F715" s="4" t="str">
        <f>IFERROR(__xludf.DUMMYFUNCTION("""COMPUTED_VALUE"""),"Shubham Agnihotri")</f>
        <v>Shubham Agnihotri</v>
      </c>
      <c r="G715" s="4" t="str">
        <f>IFERROR(__xludf.DUMMYFUNCTION("""COMPUTED_VALUE"""),"Cluster - Gaurav")</f>
        <v>Cluster - Gaurav</v>
      </c>
      <c r="H715" s="4" t="str">
        <f>IFERROR(__xludf.DUMMYFUNCTION("""COMPUTED_VALUE"""),"ONIABVDR3")</f>
        <v>ONIABVDR3</v>
      </c>
      <c r="I715" s="5">
        <f>IFERROR(__xludf.DUMMYFUNCTION("""COMPUTED_VALUE"""),45.0)</f>
        <v>45</v>
      </c>
      <c r="J715" s="4" t="str">
        <f>IFERROR(__xludf.DUMMYFUNCTION("""COMPUTED_VALUE"""),"Tier 2")</f>
        <v>Tier 2</v>
      </c>
      <c r="K715" s="4" t="str">
        <f>IFERROR(__xludf.DUMMYFUNCTION("""COMPUTED_VALUE"""),"Active")</f>
        <v>Active</v>
      </c>
      <c r="L715" s="4" t="str">
        <f>IFERROR(__xludf.DUMMYFUNCTION("""COMPUTED_VALUE"""),"Gemini Enterprise Agent Platform")</f>
        <v>Gemini Enterprise Agent Platform</v>
      </c>
    </row>
    <row r="716">
      <c r="A716" s="4" t="str">
        <f>IFERROR(__xludf.DUMMYFUNCTION("""COMPUTED_VALUE"""),"DME2709")</f>
        <v>DME2709</v>
      </c>
      <c r="B716" s="4" t="str">
        <f>IFERROR(__xludf.DUMMYFUNCTION("""COMPUTED_VALUE"""),"Apeksha Pramod Nawkar")</f>
        <v>Apeksha Pramod Nawkar</v>
      </c>
      <c r="C716" s="4" t="str">
        <f>IFERROR(__xludf.DUMMYFUNCTION("""COMPUTED_VALUE"""),"apeksha.nawkar@onixnet.com")</f>
        <v>apeksha.nawkar@onixnet.com</v>
      </c>
      <c r="D716" s="4" t="str">
        <f>IFERROR(__xludf.DUMMYFUNCTION("""COMPUTED_VALUE"""),"Active")</f>
        <v>Active</v>
      </c>
      <c r="E716" s="4" t="str">
        <f>IFERROR(__xludf.DUMMYFUNCTION("""COMPUTED_VALUE"""),"Delivery Services")</f>
        <v>Delivery Services</v>
      </c>
      <c r="F716" s="4" t="str">
        <f>IFERROR(__xludf.DUMMYFUNCTION("""COMPUTED_VALUE"""),"Priyanka Parab")</f>
        <v>Priyanka Parab</v>
      </c>
      <c r="G716" s="4" t="str">
        <f>IFERROR(__xludf.DUMMYFUNCTION("""COMPUTED_VALUE"""),"Cluster - Sagar")</f>
        <v>Cluster - Sagar</v>
      </c>
      <c r="H716" s="4" t="str">
        <f>IFERROR(__xludf.DUMMYFUNCTION("""COMPUTED_VALUE"""),"ONIANZFH3")</f>
        <v>ONIANZFH3</v>
      </c>
      <c r="I716" s="5">
        <f>IFERROR(__xludf.DUMMYFUNCTION("""COMPUTED_VALUE"""),16.0)</f>
        <v>16</v>
      </c>
      <c r="J716" s="4" t="str">
        <f>IFERROR(__xludf.DUMMYFUNCTION("""COMPUTED_VALUE"""),"Tier 4")</f>
        <v>Tier 4</v>
      </c>
      <c r="K716" s="4" t="str">
        <f>IFERROR(__xludf.DUMMYFUNCTION("""COMPUTED_VALUE"""),"Active")</f>
        <v>Active</v>
      </c>
      <c r="L716" s="4" t="str">
        <f>IFERROR(__xludf.DUMMYFUNCTION("""COMPUTED_VALUE"""),"Google Kubernetes Engine")</f>
        <v>Google Kubernetes Engine</v>
      </c>
    </row>
    <row r="717">
      <c r="A717" s="4" t="str">
        <f>IFERROR(__xludf.DUMMYFUNCTION("""COMPUTED_VALUE"""),"DME2710")</f>
        <v>DME2710</v>
      </c>
      <c r="B717" s="4" t="str">
        <f>IFERROR(__xludf.DUMMYFUNCTION("""COMPUTED_VALUE"""),"Aryesh R Nair")</f>
        <v>Aryesh R Nair</v>
      </c>
      <c r="C717" s="4" t="str">
        <f>IFERROR(__xludf.DUMMYFUNCTION("""COMPUTED_VALUE"""),"aryesh.nair@onixnet.com")</f>
        <v>aryesh.nair@onixnet.com</v>
      </c>
      <c r="D717" s="4" t="str">
        <f>IFERROR(__xludf.DUMMYFUNCTION("""COMPUTED_VALUE"""),"Active")</f>
        <v>Active</v>
      </c>
      <c r="E717" s="4" t="str">
        <f>IFERROR(__xludf.DUMMYFUNCTION("""COMPUTED_VALUE"""),"Delivery Services")</f>
        <v>Delivery Services</v>
      </c>
      <c r="F717" s="4" t="str">
        <f>IFERROR(__xludf.DUMMYFUNCTION("""COMPUTED_VALUE"""),"Shubham Agnihotri")</f>
        <v>Shubham Agnihotri</v>
      </c>
      <c r="G717" s="4" t="str">
        <f>IFERROR(__xludf.DUMMYFUNCTION("""COMPUTED_VALUE"""),"Cluster - Gaurav")</f>
        <v>Cluster - Gaurav</v>
      </c>
      <c r="H717" s="4" t="str">
        <f>IFERROR(__xludf.DUMMYFUNCTION("""COMPUTED_VALUE"""),"ONIANPDY8")</f>
        <v>ONIANPDY8</v>
      </c>
      <c r="I717" s="5">
        <f>IFERROR(__xludf.DUMMYFUNCTION("""COMPUTED_VALUE"""),10.0)</f>
        <v>10</v>
      </c>
      <c r="J717" s="4" t="str">
        <f>IFERROR(__xludf.DUMMYFUNCTION("""COMPUTED_VALUE"""),"Tier 4")</f>
        <v>Tier 4</v>
      </c>
      <c r="K717" s="4" t="str">
        <f>IFERROR(__xludf.DUMMYFUNCTION("""COMPUTED_VALUE"""),"Active")</f>
        <v>Active</v>
      </c>
      <c r="L717" s="4" t="str">
        <f>IFERROR(__xludf.DUMMYFUNCTION("""COMPUTED_VALUE"""),"Gemini Enterprise Agent Platform")</f>
        <v>Gemini Enterprise Agent Platform</v>
      </c>
    </row>
    <row r="718">
      <c r="A718" s="4" t="str">
        <f>IFERROR(__xludf.DUMMYFUNCTION("""COMPUTED_VALUE"""),"DME2712")</f>
        <v>DME2712</v>
      </c>
      <c r="B718" s="4" t="str">
        <f>IFERROR(__xludf.DUMMYFUNCTION("""COMPUTED_VALUE"""),"Anurag Mukati")</f>
        <v>Anurag Mukati</v>
      </c>
      <c r="C718" s="4" t="str">
        <f>IFERROR(__xludf.DUMMYFUNCTION("""COMPUTED_VALUE"""),"anurag.mukati@onixnet.com")</f>
        <v>anurag.mukati@onixnet.com</v>
      </c>
      <c r="D718" s="4" t="str">
        <f>IFERROR(__xludf.DUMMYFUNCTION("""COMPUTED_VALUE"""),"Active")</f>
        <v>Active</v>
      </c>
      <c r="E718" s="4" t="str">
        <f>IFERROR(__xludf.DUMMYFUNCTION("""COMPUTED_VALUE"""),"Delivery Services")</f>
        <v>Delivery Services</v>
      </c>
      <c r="F718" s="4" t="str">
        <f>IFERROR(__xludf.DUMMYFUNCTION("""COMPUTED_VALUE"""),"Mayuresh Kedari")</f>
        <v>Mayuresh Kedari</v>
      </c>
      <c r="G718" s="4" t="str">
        <f>IFERROR(__xludf.DUMMYFUNCTION("""COMPUTED_VALUE"""),"Cluster - Gaurav")</f>
        <v>Cluster - Gaurav</v>
      </c>
      <c r="H718" s="4" t="str">
        <f>IFERROR(__xludf.DUMMYFUNCTION("""COMPUTED_VALUE"""),"ONIAMDGN7")</f>
        <v>ONIAMDGN7</v>
      </c>
      <c r="I718" s="5">
        <f>IFERROR(__xludf.DUMMYFUNCTION("""COMPUTED_VALUE"""),41.0)</f>
        <v>41</v>
      </c>
      <c r="J718" s="4" t="str">
        <f>IFERROR(__xludf.DUMMYFUNCTION("""COMPUTED_VALUE"""),"Tier 2")</f>
        <v>Tier 2</v>
      </c>
      <c r="K718" s="4" t="str">
        <f>IFERROR(__xludf.DUMMYFUNCTION("""COMPUTED_VALUE"""),"Active")</f>
        <v>Active</v>
      </c>
      <c r="L718" s="4" t="str">
        <f>IFERROR(__xludf.DUMMYFUNCTION("""COMPUTED_VALUE"""),"Gemini Enterprise Agent Platform")</f>
        <v>Gemini Enterprise Agent Platform</v>
      </c>
    </row>
    <row r="719">
      <c r="A719" s="4" t="str">
        <f>IFERROR(__xludf.DUMMYFUNCTION("""COMPUTED_VALUE"""),"DME2713")</f>
        <v>DME2713</v>
      </c>
      <c r="B719" s="4" t="str">
        <f>IFERROR(__xludf.DUMMYFUNCTION("""COMPUTED_VALUE"""),"Atharv Dattatray Shrigadi")</f>
        <v>Atharv Dattatray Shrigadi</v>
      </c>
      <c r="C719" s="4" t="str">
        <f>IFERROR(__xludf.DUMMYFUNCTION("""COMPUTED_VALUE"""),"atharv.shrigadi@onixnet.com")</f>
        <v>atharv.shrigadi@onixnet.com</v>
      </c>
      <c r="D719" s="4" t="str">
        <f>IFERROR(__xludf.DUMMYFUNCTION("""COMPUTED_VALUE"""),"Active")</f>
        <v>Active</v>
      </c>
      <c r="E719" s="4" t="str">
        <f>IFERROR(__xludf.DUMMYFUNCTION("""COMPUTED_VALUE"""),"Delivery Services")</f>
        <v>Delivery Services</v>
      </c>
      <c r="F719" s="4" t="str">
        <f>IFERROR(__xludf.DUMMYFUNCTION("""COMPUTED_VALUE"""),"Sushant Patil")</f>
        <v>Sushant Patil</v>
      </c>
      <c r="G719" s="4" t="str">
        <f>IFERROR(__xludf.DUMMYFUNCTION("""COMPUTED_VALUE"""),"Cluster - Gaurav")</f>
        <v>Cluster - Gaurav</v>
      </c>
      <c r="H719" s="4" t="str">
        <f>IFERROR(__xludf.DUMMYFUNCTION("""COMPUTED_VALUE"""),"ONIASYRB0")</f>
        <v>ONIASYRB0</v>
      </c>
      <c r="I719" s="5">
        <f>IFERROR(__xludf.DUMMYFUNCTION("""COMPUTED_VALUE"""),36.0)</f>
        <v>36</v>
      </c>
      <c r="J719" s="4" t="str">
        <f>IFERROR(__xludf.DUMMYFUNCTION("""COMPUTED_VALUE"""),"Tier 2")</f>
        <v>Tier 2</v>
      </c>
      <c r="K719" s="4" t="str">
        <f>IFERROR(__xludf.DUMMYFUNCTION("""COMPUTED_VALUE"""),"Active")</f>
        <v>Active</v>
      </c>
      <c r="L719" s="4" t="str">
        <f>IFERROR(__xludf.DUMMYFUNCTION("""COMPUTED_VALUE"""),"Gemini Enterprise Agent Platform")</f>
        <v>Gemini Enterprise Agent Platform</v>
      </c>
    </row>
    <row r="720">
      <c r="A720" s="4" t="str">
        <f>IFERROR(__xludf.DUMMYFUNCTION("""COMPUTED_VALUE"""),"DME2714")</f>
        <v>DME2714</v>
      </c>
      <c r="B720" s="4" t="str">
        <f>IFERROR(__xludf.DUMMYFUNCTION("""COMPUTED_VALUE"""),"Atharva Gurudatta Pawar")</f>
        <v>Atharva Gurudatta Pawar</v>
      </c>
      <c r="C720" s="4" t="str">
        <f>IFERROR(__xludf.DUMMYFUNCTION("""COMPUTED_VALUE"""),"atharva.pawar@onixnet.com")</f>
        <v>atharva.pawar@onixnet.com</v>
      </c>
      <c r="D720" s="4" t="str">
        <f>IFERROR(__xludf.DUMMYFUNCTION("""COMPUTED_VALUE"""),"Active")</f>
        <v>Active</v>
      </c>
      <c r="E720" s="4" t="str">
        <f>IFERROR(__xludf.DUMMYFUNCTION("""COMPUTED_VALUE"""),"Delivery Services")</f>
        <v>Delivery Services</v>
      </c>
      <c r="F720" s="4" t="str">
        <f>IFERROR(__xludf.DUMMYFUNCTION("""COMPUTED_VALUE"""),"Priyanka Parab")</f>
        <v>Priyanka Parab</v>
      </c>
      <c r="G720" s="4" t="str">
        <f>IFERROR(__xludf.DUMMYFUNCTION("""COMPUTED_VALUE"""),"Cluster - Sagar")</f>
        <v>Cluster - Sagar</v>
      </c>
      <c r="H720" s="4" t="str">
        <f>IFERROR(__xludf.DUMMYFUNCTION("""COMPUTED_VALUE"""),"ONIAPRAU2")</f>
        <v>ONIAPRAU2</v>
      </c>
      <c r="I720" s="5">
        <f>IFERROR(__xludf.DUMMYFUNCTION("""COMPUTED_VALUE"""),45.0)</f>
        <v>45</v>
      </c>
      <c r="J720" s="4" t="str">
        <f>IFERROR(__xludf.DUMMYFUNCTION("""COMPUTED_VALUE"""),"Tier 2")</f>
        <v>Tier 2</v>
      </c>
      <c r="K720" s="4" t="str">
        <f>IFERROR(__xludf.DUMMYFUNCTION("""COMPUTED_VALUE"""),"Active")</f>
        <v>Active</v>
      </c>
      <c r="L720" s="4" t="str">
        <f>IFERROR(__xludf.DUMMYFUNCTION("""COMPUTED_VALUE"""),"Gemini Enterprise Agent Platform")</f>
        <v>Gemini Enterprise Agent Platform</v>
      </c>
    </row>
    <row r="721">
      <c r="A721" s="4" t="str">
        <f>IFERROR(__xludf.DUMMYFUNCTION("""COMPUTED_VALUE"""),"DME2715")</f>
        <v>DME2715</v>
      </c>
      <c r="B721" s="4" t="str">
        <f>IFERROR(__xludf.DUMMYFUNCTION("""COMPUTED_VALUE"""),"Atharva Nitin Gokhare")</f>
        <v>Atharva Nitin Gokhare</v>
      </c>
      <c r="C721" s="4" t="str">
        <f>IFERROR(__xludf.DUMMYFUNCTION("""COMPUTED_VALUE"""),"atharva.gokhare@onixnet.com")</f>
        <v>atharva.gokhare@onixnet.com</v>
      </c>
      <c r="D721" s="4" t="str">
        <f>IFERROR(__xludf.DUMMYFUNCTION("""COMPUTED_VALUE"""),"Active")</f>
        <v>Active</v>
      </c>
      <c r="E721" s="4" t="str">
        <f>IFERROR(__xludf.DUMMYFUNCTION("""COMPUTED_VALUE"""),"Delivery Services")</f>
        <v>Delivery Services</v>
      </c>
      <c r="F721" s="4" t="str">
        <f>IFERROR(__xludf.DUMMYFUNCTION("""COMPUTED_VALUE"""),"Mayuresh Kedari")</f>
        <v>Mayuresh Kedari</v>
      </c>
      <c r="G721" s="4" t="str">
        <f>IFERROR(__xludf.DUMMYFUNCTION("""COMPUTED_VALUE"""),"Cluster - Gaurav")</f>
        <v>Cluster - Gaurav</v>
      </c>
      <c r="H721" s="4" t="str">
        <f>IFERROR(__xludf.DUMMYFUNCTION("""COMPUTED_VALUE"""),"ONIAGXHU7")</f>
        <v>ONIAGXHU7</v>
      </c>
      <c r="I721" s="5">
        <f>IFERROR(__xludf.DUMMYFUNCTION("""COMPUTED_VALUE"""),35.0)</f>
        <v>35</v>
      </c>
      <c r="J721" s="4" t="str">
        <f>IFERROR(__xludf.DUMMYFUNCTION("""COMPUTED_VALUE"""),"Tier 2")</f>
        <v>Tier 2</v>
      </c>
      <c r="K721" s="4" t="str">
        <f>IFERROR(__xludf.DUMMYFUNCTION("""COMPUTED_VALUE"""),"Active")</f>
        <v>Active</v>
      </c>
      <c r="L721" s="4" t="str">
        <f>IFERROR(__xludf.DUMMYFUNCTION("""COMPUTED_VALUE"""),"Gemini Enterprise Agent Platform")</f>
        <v>Gemini Enterprise Agent Platform</v>
      </c>
    </row>
    <row r="722">
      <c r="A722" s="4" t="str">
        <f>IFERROR(__xludf.DUMMYFUNCTION("""COMPUTED_VALUE"""),"DME2716")</f>
        <v>DME2716</v>
      </c>
      <c r="B722" s="4" t="str">
        <f>IFERROR(__xludf.DUMMYFUNCTION("""COMPUTED_VALUE"""),"Niraj Rajendra Kacholia")</f>
        <v>Niraj Rajendra Kacholia</v>
      </c>
      <c r="C722" s="4" t="str">
        <f>IFERROR(__xludf.DUMMYFUNCTION("""COMPUTED_VALUE"""),"niraj.kacholia@onixnet.com")</f>
        <v>niraj.kacholia@onixnet.com</v>
      </c>
      <c r="D722" s="4" t="str">
        <f>IFERROR(__xludf.DUMMYFUNCTION("""COMPUTED_VALUE"""),"Active")</f>
        <v>Active</v>
      </c>
      <c r="E722" s="4" t="str">
        <f>IFERROR(__xludf.DUMMYFUNCTION("""COMPUTED_VALUE"""),"Delivery Services")</f>
        <v>Delivery Services</v>
      </c>
      <c r="F722" s="4" t="str">
        <f>IFERROR(__xludf.DUMMYFUNCTION("""COMPUTED_VALUE"""),"Mayuresh Kedari")</f>
        <v>Mayuresh Kedari</v>
      </c>
      <c r="G722" s="4" t="str">
        <f>IFERROR(__xludf.DUMMYFUNCTION("""COMPUTED_VALUE"""),"Cluster - Gaurav")</f>
        <v>Cluster - Gaurav</v>
      </c>
      <c r="H722" s="4" t="str">
        <f>IFERROR(__xludf.DUMMYFUNCTION("""COMPUTED_VALUE"""),"ONINKEDR6")</f>
        <v>ONINKEDR6</v>
      </c>
      <c r="I722" s="5">
        <f>IFERROR(__xludf.DUMMYFUNCTION("""COMPUTED_VALUE"""),35.0)</f>
        <v>35</v>
      </c>
      <c r="J722" s="4" t="str">
        <f>IFERROR(__xludf.DUMMYFUNCTION("""COMPUTED_VALUE"""),"Tier 2")</f>
        <v>Tier 2</v>
      </c>
      <c r="K722" s="4" t="str">
        <f>IFERROR(__xludf.DUMMYFUNCTION("""COMPUTED_VALUE"""),"Active")</f>
        <v>Active</v>
      </c>
      <c r="L722" s="4" t="str">
        <f>IFERROR(__xludf.DUMMYFUNCTION("""COMPUTED_VALUE"""),"Gemini Enterprise Agent Platform")</f>
        <v>Gemini Enterprise Agent Platform</v>
      </c>
    </row>
    <row r="723">
      <c r="A723" s="4" t="str">
        <f>IFERROR(__xludf.DUMMYFUNCTION("""COMPUTED_VALUE"""),"DME2717")</f>
        <v>DME2717</v>
      </c>
      <c r="B723" s="4" t="str">
        <f>IFERROR(__xludf.DUMMYFUNCTION("""COMPUTED_VALUE"""),"Sushrut Sudarshan Gaikwad")</f>
        <v>Sushrut Sudarshan Gaikwad</v>
      </c>
      <c r="C723" s="4" t="str">
        <f>IFERROR(__xludf.DUMMYFUNCTION("""COMPUTED_VALUE"""),"sushrut.gaikwad@onixnet.com")</f>
        <v>sushrut.gaikwad@onixnet.com</v>
      </c>
      <c r="D723" s="4" t="str">
        <f>IFERROR(__xludf.DUMMYFUNCTION("""COMPUTED_VALUE"""),"Active")</f>
        <v>Active</v>
      </c>
      <c r="E723" s="4" t="str">
        <f>IFERROR(__xludf.DUMMYFUNCTION("""COMPUTED_VALUE"""),"Delivery Services")</f>
        <v>Delivery Services</v>
      </c>
      <c r="F723" s="4" t="str">
        <f>IFERROR(__xludf.DUMMYFUNCTION("""COMPUTED_VALUE"""),"Pratik Karpe")</f>
        <v>Pratik Karpe</v>
      </c>
      <c r="G723" s="4" t="str">
        <f>IFERROR(__xludf.DUMMYFUNCTION("""COMPUTED_VALUE"""),"Cluster - Gaurav")</f>
        <v>Cluster - Gaurav</v>
      </c>
      <c r="H723" s="4" t="str">
        <f>IFERROR(__xludf.DUMMYFUNCTION("""COMPUTED_VALUE"""),"ONISGMDA6")</f>
        <v>ONISGMDA6</v>
      </c>
      <c r="I723" s="5">
        <f>IFERROR(__xludf.DUMMYFUNCTION("""COMPUTED_VALUE"""),57.0)</f>
        <v>57</v>
      </c>
      <c r="J723" s="4" t="str">
        <f>IFERROR(__xludf.DUMMYFUNCTION("""COMPUTED_VALUE"""),"Tier 1")</f>
        <v>Tier 1</v>
      </c>
      <c r="K723" s="4" t="str">
        <f>IFERROR(__xludf.DUMMYFUNCTION("""COMPUTED_VALUE"""),"Active")</f>
        <v>Active</v>
      </c>
      <c r="L723" s="4" t="str">
        <f>IFERROR(__xludf.DUMMYFUNCTION("""COMPUTED_VALUE"""),"BigQuery")</f>
        <v>BigQuery</v>
      </c>
    </row>
    <row r="724">
      <c r="A724" s="4" t="str">
        <f>IFERROR(__xludf.DUMMYFUNCTION("""COMPUTED_VALUE"""),"DME2718")</f>
        <v>DME2718</v>
      </c>
      <c r="B724" s="4" t="str">
        <f>IFERROR(__xludf.DUMMYFUNCTION("""COMPUTED_VALUE"""),"Tathe Tanmay")</f>
        <v>Tathe Tanmay</v>
      </c>
      <c r="C724" s="4" t="str">
        <f>IFERROR(__xludf.DUMMYFUNCTION("""COMPUTED_VALUE"""),"tanmay.tathe@onixnet.com")</f>
        <v>tanmay.tathe@onixnet.com</v>
      </c>
      <c r="D724" s="4" t="str">
        <f>IFERROR(__xludf.DUMMYFUNCTION("""COMPUTED_VALUE"""),"Active")</f>
        <v>Active</v>
      </c>
      <c r="E724" s="4" t="str">
        <f>IFERROR(__xludf.DUMMYFUNCTION("""COMPUTED_VALUE"""),"Delivery Services")</f>
        <v>Delivery Services</v>
      </c>
      <c r="F724" s="4" t="str">
        <f>IFERROR(__xludf.DUMMYFUNCTION("""COMPUTED_VALUE"""),"Mayuresh Kedari")</f>
        <v>Mayuresh Kedari</v>
      </c>
      <c r="G724" s="4" t="str">
        <f>IFERROR(__xludf.DUMMYFUNCTION("""COMPUTED_VALUE"""),"Cluster - Gaurav")</f>
        <v>Cluster - Gaurav</v>
      </c>
      <c r="H724" s="4" t="str">
        <f>IFERROR(__xludf.DUMMYFUNCTION("""COMPUTED_VALUE"""),"ONITTTDQ4")</f>
        <v>ONITTTDQ4</v>
      </c>
      <c r="I724" s="5">
        <f>IFERROR(__xludf.DUMMYFUNCTION("""COMPUTED_VALUE"""),16.0)</f>
        <v>16</v>
      </c>
      <c r="J724" s="4" t="str">
        <f>IFERROR(__xludf.DUMMYFUNCTION("""COMPUTED_VALUE"""),"Tier 4")</f>
        <v>Tier 4</v>
      </c>
      <c r="K724" s="4" t="str">
        <f>IFERROR(__xludf.DUMMYFUNCTION("""COMPUTED_VALUE"""),"Active")</f>
        <v>Active</v>
      </c>
      <c r="L724" s="4" t="str">
        <f>IFERROR(__xludf.DUMMYFUNCTION("""COMPUTED_VALUE"""),"BigQuery")</f>
        <v>BigQuery</v>
      </c>
    </row>
    <row r="725">
      <c r="A725" s="4" t="str">
        <f>IFERROR(__xludf.DUMMYFUNCTION("""COMPUTED_VALUE"""),"DME2719")</f>
        <v>DME2719</v>
      </c>
      <c r="B725" s="4" t="str">
        <f>IFERROR(__xludf.DUMMYFUNCTION("""COMPUTED_VALUE"""),"Urmila Rajendra Satalkar")</f>
        <v>Urmila Rajendra Satalkar</v>
      </c>
      <c r="C725" s="4" t="str">
        <f>IFERROR(__xludf.DUMMYFUNCTION("""COMPUTED_VALUE"""),"urmila.satalkar@onixnet.com")</f>
        <v>urmila.satalkar@onixnet.com</v>
      </c>
      <c r="D725" s="4" t="str">
        <f>IFERROR(__xludf.DUMMYFUNCTION("""COMPUTED_VALUE"""),"Active")</f>
        <v>Active</v>
      </c>
      <c r="E725" s="4" t="str">
        <f>IFERROR(__xludf.DUMMYFUNCTION("""COMPUTED_VALUE"""),"Delivery Services")</f>
        <v>Delivery Services</v>
      </c>
      <c r="F725" s="4" t="str">
        <f>IFERROR(__xludf.DUMMYFUNCTION("""COMPUTED_VALUE"""),"Naveen Harish")</f>
        <v>Naveen Harish</v>
      </c>
      <c r="G725" s="4" t="str">
        <f>IFERROR(__xludf.DUMMYFUNCTION("""COMPUTED_VALUE"""),"Cluster - Varun")</f>
        <v>Cluster - Varun</v>
      </c>
      <c r="H725" s="4" t="str">
        <f>IFERROR(__xludf.DUMMYFUNCTION("""COMPUTED_VALUE"""),"ONIUSUDA6")</f>
        <v>ONIUSUDA6</v>
      </c>
      <c r="I725" s="5">
        <f>IFERROR(__xludf.DUMMYFUNCTION("""COMPUTED_VALUE"""),20.0)</f>
        <v>20</v>
      </c>
      <c r="J725" s="4" t="str">
        <f>IFERROR(__xludf.DUMMYFUNCTION("""COMPUTED_VALUE"""),"Tier 3")</f>
        <v>Tier 3</v>
      </c>
      <c r="K725" s="4" t="str">
        <f>IFERROR(__xludf.DUMMYFUNCTION("""COMPUTED_VALUE"""),"Active")</f>
        <v>Active</v>
      </c>
      <c r="L725" s="4" t="str">
        <f>IFERROR(__xludf.DUMMYFUNCTION("""COMPUTED_VALUE"""),"Gemini Enterprise Agent Platform")</f>
        <v>Gemini Enterprise Agent Platform</v>
      </c>
    </row>
    <row r="726">
      <c r="A726" s="4" t="str">
        <f>IFERROR(__xludf.DUMMYFUNCTION("""COMPUTED_VALUE"""),"DME2720")</f>
        <v>DME2720</v>
      </c>
      <c r="B726" s="4" t="str">
        <f>IFERROR(__xludf.DUMMYFUNCTION("""COMPUTED_VALUE"""),"Varun Akhilesh Agrawal")</f>
        <v>Varun Akhilesh Agrawal</v>
      </c>
      <c r="C726" s="4" t="str">
        <f>IFERROR(__xludf.DUMMYFUNCTION("""COMPUTED_VALUE"""),"varun.agrawal@onixnet.com")</f>
        <v>varun.agrawal@onixnet.com</v>
      </c>
      <c r="D726" s="4" t="str">
        <f>IFERROR(__xludf.DUMMYFUNCTION("""COMPUTED_VALUE"""),"Active")</f>
        <v>Active</v>
      </c>
      <c r="E726" s="4" t="str">
        <f>IFERROR(__xludf.DUMMYFUNCTION("""COMPUTED_VALUE"""),"Delivery Services")</f>
        <v>Delivery Services</v>
      </c>
      <c r="F726" s="4" t="str">
        <f>IFERROR(__xludf.DUMMYFUNCTION("""COMPUTED_VALUE"""),"Jitender Singh")</f>
        <v>Jitender Singh</v>
      </c>
      <c r="G726" s="4" t="str">
        <f>IFERROR(__xludf.DUMMYFUNCTION("""COMPUTED_VALUE"""),"Cluster - Gaurav")</f>
        <v>Cluster - Gaurav</v>
      </c>
      <c r="H726" s="4" t="str">
        <f>IFERROR(__xludf.DUMMYFUNCTION("""COMPUTED_VALUE"""),"ONIVAOYA8")</f>
        <v>ONIVAOYA8</v>
      </c>
      <c r="I726" s="5">
        <f>IFERROR(__xludf.DUMMYFUNCTION("""COMPUTED_VALUE"""),32.0)</f>
        <v>32</v>
      </c>
      <c r="J726" s="4" t="str">
        <f>IFERROR(__xludf.DUMMYFUNCTION("""COMPUTED_VALUE"""),"Tier 3")</f>
        <v>Tier 3</v>
      </c>
      <c r="K726" s="4" t="str">
        <f>IFERROR(__xludf.DUMMYFUNCTION("""COMPUTED_VALUE"""),"Active")</f>
        <v>Active</v>
      </c>
      <c r="L726" s="4" t="str">
        <f>IFERROR(__xludf.DUMMYFUNCTION("""COMPUTED_VALUE"""),"BigQuery")</f>
        <v>BigQuery</v>
      </c>
    </row>
    <row r="727">
      <c r="A727" s="4" t="str">
        <f>IFERROR(__xludf.DUMMYFUNCTION("""COMPUTED_VALUE"""),"DME2721")</f>
        <v>DME2721</v>
      </c>
      <c r="B727" s="4" t="str">
        <f>IFERROR(__xludf.DUMMYFUNCTION("""COMPUTED_VALUE"""),"Rajnandini Amar Kandikatla")</f>
        <v>Rajnandini Amar Kandikatla</v>
      </c>
      <c r="C727" s="4" t="str">
        <f>IFERROR(__xludf.DUMMYFUNCTION("""COMPUTED_VALUE"""),"rajnandini.k@onixnet.com")</f>
        <v>rajnandini.k@onixnet.com</v>
      </c>
      <c r="D727" s="4" t="str">
        <f>IFERROR(__xludf.DUMMYFUNCTION("""COMPUTED_VALUE"""),"Active")</f>
        <v>Active</v>
      </c>
      <c r="E727" s="4" t="str">
        <f>IFERROR(__xludf.DUMMYFUNCTION("""COMPUTED_VALUE"""),"Delivery Services")</f>
        <v>Delivery Services</v>
      </c>
      <c r="F727" s="4" t="str">
        <f>IFERROR(__xludf.DUMMYFUNCTION("""COMPUTED_VALUE"""),"Priyanka Jain")</f>
        <v>Priyanka Jain</v>
      </c>
      <c r="G727" s="4" t="str">
        <f>IFERROR(__xludf.DUMMYFUNCTION("""COMPUTED_VALUE"""),"Cluster - Sagar")</f>
        <v>Cluster - Sagar</v>
      </c>
      <c r="H727" s="4" t="str">
        <f>IFERROR(__xludf.DUMMYFUNCTION("""COMPUTED_VALUE"""),"ONIRKFED1")</f>
        <v>ONIRKFED1</v>
      </c>
      <c r="I727" s="5">
        <f>IFERROR(__xludf.DUMMYFUNCTION("""COMPUTED_VALUE"""),22.0)</f>
        <v>22</v>
      </c>
      <c r="J727" s="4" t="str">
        <f>IFERROR(__xludf.DUMMYFUNCTION("""COMPUTED_VALUE"""),"Tier 3")</f>
        <v>Tier 3</v>
      </c>
      <c r="K727" s="4" t="str">
        <f>IFERROR(__xludf.DUMMYFUNCTION("""COMPUTED_VALUE"""),"Active")</f>
        <v>Active</v>
      </c>
      <c r="L727" s="4" t="str">
        <f>IFERROR(__xludf.DUMMYFUNCTION("""COMPUTED_VALUE"""),"Gemini Enterprise Agent Platform")</f>
        <v>Gemini Enterprise Agent Platform</v>
      </c>
    </row>
    <row r="728">
      <c r="A728" s="4" t="str">
        <f>IFERROR(__xludf.DUMMYFUNCTION("""COMPUTED_VALUE"""),"DME2722")</f>
        <v>DME2722</v>
      </c>
      <c r="B728" s="4" t="str">
        <f>IFERROR(__xludf.DUMMYFUNCTION("""COMPUTED_VALUE"""),"Rithik Akhilesh Singh")</f>
        <v>Rithik Akhilesh Singh</v>
      </c>
      <c r="C728" s="4" t="str">
        <f>IFERROR(__xludf.DUMMYFUNCTION("""COMPUTED_VALUE"""),"rithik.singh@onixnet.com")</f>
        <v>rithik.singh@onixnet.com</v>
      </c>
      <c r="D728" s="4" t="str">
        <f>IFERROR(__xludf.DUMMYFUNCTION("""COMPUTED_VALUE"""),"Active")</f>
        <v>Active</v>
      </c>
      <c r="E728" s="4" t="str">
        <f>IFERROR(__xludf.DUMMYFUNCTION("""COMPUTED_VALUE"""),"Product Engineering")</f>
        <v>Product Engineering</v>
      </c>
      <c r="F728" s="4" t="str">
        <f>IFERROR(__xludf.DUMMYFUNCTION("""COMPUTED_VALUE"""),"Pradnya Kailas Kate")</f>
        <v>Pradnya Kailas Kate</v>
      </c>
      <c r="G728" s="4" t="str">
        <f>IFERROR(__xludf.DUMMYFUNCTION("""COMPUTED_VALUE"""),"Cluster - Mayur")</f>
        <v>Cluster - Mayur</v>
      </c>
      <c r="H728" s="4" t="str">
        <f>IFERROR(__xludf.DUMMYFUNCTION("""COMPUTED_VALUE"""),"ONIRSCGA4")</f>
        <v>ONIRSCGA4</v>
      </c>
      <c r="I728" s="5">
        <f>IFERROR(__xludf.DUMMYFUNCTION("""COMPUTED_VALUE"""),10.0)</f>
        <v>10</v>
      </c>
      <c r="J728" s="4" t="str">
        <f>IFERROR(__xludf.DUMMYFUNCTION("""COMPUTED_VALUE"""),"Tier 4")</f>
        <v>Tier 4</v>
      </c>
      <c r="K728" s="4" t="str">
        <f>IFERROR(__xludf.DUMMYFUNCTION("""COMPUTED_VALUE"""),"Active")</f>
        <v>Active</v>
      </c>
      <c r="L728" s="4" t="str">
        <f>IFERROR(__xludf.DUMMYFUNCTION("""COMPUTED_VALUE"""),"Google Kubernetes Engine")</f>
        <v>Google Kubernetes Engine</v>
      </c>
    </row>
    <row r="729">
      <c r="A729" s="4" t="str">
        <f>IFERROR(__xludf.DUMMYFUNCTION("""COMPUTED_VALUE"""),"DME2724")</f>
        <v>DME2724</v>
      </c>
      <c r="B729" s="4" t="str">
        <f>IFERROR(__xludf.DUMMYFUNCTION("""COMPUTED_VALUE"""),"Amit Madhukar Tilekar")</f>
        <v>Amit Madhukar Tilekar</v>
      </c>
      <c r="C729" s="4" t="str">
        <f>IFERROR(__xludf.DUMMYFUNCTION("""COMPUTED_VALUE"""),"amit.tilekar@onixnet.com")</f>
        <v>amit.tilekar@onixnet.com</v>
      </c>
      <c r="D729" s="4" t="str">
        <f>IFERROR(__xludf.DUMMYFUNCTION("""COMPUTED_VALUE"""),"Active")</f>
        <v>Active</v>
      </c>
      <c r="E729" s="4" t="str">
        <f>IFERROR(__xludf.DUMMYFUNCTION("""COMPUTED_VALUE"""),"Delivery Services")</f>
        <v>Delivery Services</v>
      </c>
      <c r="F729" s="4" t="str">
        <f>IFERROR(__xludf.DUMMYFUNCTION("""COMPUTED_VALUE"""),"Poonam Sharma")</f>
        <v>Poonam Sharma</v>
      </c>
      <c r="G729" s="4" t="str">
        <f>IFERROR(__xludf.DUMMYFUNCTION("""COMPUTED_VALUE"""),"Cluster - Sachin")</f>
        <v>Cluster - Sachin</v>
      </c>
      <c r="H729" s="4" t="str">
        <f>IFERROR(__xludf.DUMMYFUNCTION("""COMPUTED_VALUE"""),"ONIATLPW4")</f>
        <v>ONIATLPW4</v>
      </c>
      <c r="I729" s="5">
        <f>IFERROR(__xludf.DUMMYFUNCTION("""COMPUTED_VALUE"""),5.0)</f>
        <v>5</v>
      </c>
      <c r="J729" s="4" t="str">
        <f>IFERROR(__xludf.DUMMYFUNCTION("""COMPUTED_VALUE"""),"Tier 4")</f>
        <v>Tier 4</v>
      </c>
      <c r="K729" s="4" t="str">
        <f>IFERROR(__xludf.DUMMYFUNCTION("""COMPUTED_VALUE"""),"Active")</f>
        <v>Active</v>
      </c>
      <c r="L729" s="4" t="str">
        <f>IFERROR(__xludf.DUMMYFUNCTION("""COMPUTED_VALUE"""),"Gemini Enterprise Agent Platform")</f>
        <v>Gemini Enterprise Agent Platform</v>
      </c>
    </row>
    <row r="730">
      <c r="A730" s="4" t="str">
        <f>IFERROR(__xludf.DUMMYFUNCTION("""COMPUTED_VALUE"""),"DME2725")</f>
        <v>DME2725</v>
      </c>
      <c r="B730" s="4" t="str">
        <f>IFERROR(__xludf.DUMMYFUNCTION("""COMPUTED_VALUE"""),"Shashikant Ashok Gholap")</f>
        <v>Shashikant Ashok Gholap</v>
      </c>
      <c r="C730" s="4" t="str">
        <f>IFERROR(__xludf.DUMMYFUNCTION("""COMPUTED_VALUE"""),"shashikant.gholap@onixnet.com")</f>
        <v>shashikant.gholap@onixnet.com</v>
      </c>
      <c r="D730" s="4" t="str">
        <f>IFERROR(__xludf.DUMMYFUNCTION("""COMPUTED_VALUE"""),"Active")</f>
        <v>Active</v>
      </c>
      <c r="E730" s="4" t="str">
        <f>IFERROR(__xludf.DUMMYFUNCTION("""COMPUTED_VALUE"""),"Delivery Services")</f>
        <v>Delivery Services</v>
      </c>
      <c r="F730" s="4" t="str">
        <f>IFERROR(__xludf.DUMMYFUNCTION("""COMPUTED_VALUE"""),"Anand Saraf")</f>
        <v>Anand Saraf</v>
      </c>
      <c r="G730" s="4" t="str">
        <f>IFERROR(__xludf.DUMMYFUNCTION("""COMPUTED_VALUE"""),"Cluster - Sachin")</f>
        <v>Cluster - Sachin</v>
      </c>
      <c r="H730" s="4" t="str">
        <f>IFERROR(__xludf.DUMMYFUNCTION("""COMPUTED_VALUE"""),"ONISGXAS8")</f>
        <v>ONISGXAS8</v>
      </c>
      <c r="I730" s="5">
        <f>IFERROR(__xludf.DUMMYFUNCTION("""COMPUTED_VALUE"""),22.0)</f>
        <v>22</v>
      </c>
      <c r="J730" s="4" t="str">
        <f>IFERROR(__xludf.DUMMYFUNCTION("""COMPUTED_VALUE"""),"Tier 3")</f>
        <v>Tier 3</v>
      </c>
      <c r="K730" s="4" t="str">
        <f>IFERROR(__xludf.DUMMYFUNCTION("""COMPUTED_VALUE"""),"Active")</f>
        <v>Active</v>
      </c>
      <c r="L730" s="4" t="str">
        <f>IFERROR(__xludf.DUMMYFUNCTION("""COMPUTED_VALUE"""),"BigQuery")</f>
        <v>BigQuery</v>
      </c>
    </row>
    <row r="731">
      <c r="A731" s="4" t="str">
        <f>IFERROR(__xludf.DUMMYFUNCTION("""COMPUTED_VALUE"""),"DME2705")</f>
        <v>DME2705</v>
      </c>
      <c r="B731" s="4" t="str">
        <f>IFERROR(__xludf.DUMMYFUNCTION("""COMPUTED_VALUE"""),"Sheela Kondiram Sawant")</f>
        <v>Sheela Kondiram Sawant</v>
      </c>
      <c r="C731" s="4" t="str">
        <f>IFERROR(__xludf.DUMMYFUNCTION("""COMPUTED_VALUE"""),"sheela.sawant@onixnet.com")</f>
        <v>sheela.sawant@onixnet.com</v>
      </c>
      <c r="D731" s="4" t="str">
        <f>IFERROR(__xludf.DUMMYFUNCTION("""COMPUTED_VALUE"""),"Active")</f>
        <v>Active</v>
      </c>
      <c r="E731" s="4" t="str">
        <f>IFERROR(__xludf.DUMMYFUNCTION("""COMPUTED_VALUE"""),"Delivery Services")</f>
        <v>Delivery Services</v>
      </c>
      <c r="F731" s="4" t="str">
        <f>IFERROR(__xludf.DUMMYFUNCTION("""COMPUTED_VALUE"""),"Gaurav Bharara")</f>
        <v>Gaurav Bharara</v>
      </c>
      <c r="G731" s="4" t="str">
        <f>IFERROR(__xludf.DUMMYFUNCTION("""COMPUTED_VALUE"""),"Cluster - Gaurav")</f>
        <v>Cluster - Gaurav</v>
      </c>
      <c r="H731" s="4" t="str">
        <f>IFERROR(__xludf.DUMMYFUNCTION("""COMPUTED_VALUE"""),"ONISSQVQ6")</f>
        <v>ONISSQVQ6</v>
      </c>
      <c r="I731" s="5">
        <f>IFERROR(__xludf.DUMMYFUNCTION("""COMPUTED_VALUE"""),20.0)</f>
        <v>20</v>
      </c>
      <c r="J731" s="4" t="str">
        <f>IFERROR(__xludf.DUMMYFUNCTION("""COMPUTED_VALUE"""),"Tier 3")</f>
        <v>Tier 3</v>
      </c>
      <c r="K731" s="4" t="str">
        <f>IFERROR(__xludf.DUMMYFUNCTION("""COMPUTED_VALUE"""),"Active")</f>
        <v>Active</v>
      </c>
      <c r="L731" s="4" t="str">
        <f>IFERROR(__xludf.DUMMYFUNCTION("""COMPUTED_VALUE"""),"AI Applications")</f>
        <v>AI Applications</v>
      </c>
    </row>
    <row r="732">
      <c r="A732" s="4" t="str">
        <f>IFERROR(__xludf.DUMMYFUNCTION("""COMPUTED_VALUE"""),"DME2732")</f>
        <v>DME2732</v>
      </c>
      <c r="B732" s="4" t="str">
        <f>IFERROR(__xludf.DUMMYFUNCTION("""COMPUTED_VALUE"""),"Nitesh Ganeshrao Lokhande")</f>
        <v>Nitesh Ganeshrao Lokhande</v>
      </c>
      <c r="C732" s="4" t="str">
        <f>IFERROR(__xludf.DUMMYFUNCTION("""COMPUTED_VALUE"""),"nitesh.lokhande@onixnet.com")</f>
        <v>nitesh.lokhande@onixnet.com</v>
      </c>
      <c r="D732" s="4" t="str">
        <f>IFERROR(__xludf.DUMMYFUNCTION("""COMPUTED_VALUE"""),"Active")</f>
        <v>Active</v>
      </c>
      <c r="E732" s="4" t="str">
        <f>IFERROR(__xludf.DUMMYFUNCTION("""COMPUTED_VALUE"""),"Product Engineering")</f>
        <v>Product Engineering</v>
      </c>
      <c r="F732" s="4" t="str">
        <f>IFERROR(__xludf.DUMMYFUNCTION("""COMPUTED_VALUE"""),"Savan Tak")</f>
        <v>Savan Tak</v>
      </c>
      <c r="G732" s="4" t="str">
        <f>IFERROR(__xludf.DUMMYFUNCTION("""COMPUTED_VALUE"""),"Cluster - Mayur")</f>
        <v>Cluster - Mayur</v>
      </c>
      <c r="H732" s="4" t="str">
        <f>IFERROR(__xludf.DUMMYFUNCTION("""COMPUTED_VALUE"""),"ONINLHRV1")</f>
        <v>ONINLHRV1</v>
      </c>
      <c r="I732" s="5">
        <f>IFERROR(__xludf.DUMMYFUNCTION("""COMPUTED_VALUE"""),7.0)</f>
        <v>7</v>
      </c>
      <c r="J732" s="4" t="str">
        <f>IFERROR(__xludf.DUMMYFUNCTION("""COMPUTED_VALUE"""),"Tier 4")</f>
        <v>Tier 4</v>
      </c>
      <c r="K732" s="4" t="str">
        <f>IFERROR(__xludf.DUMMYFUNCTION("""COMPUTED_VALUE"""),"Active")</f>
        <v>Active</v>
      </c>
      <c r="L732" s="4" t="str">
        <f>IFERROR(__xludf.DUMMYFUNCTION("""COMPUTED_VALUE"""),"Gemini Enterprise Agent Platform")</f>
        <v>Gemini Enterprise Agent Platform</v>
      </c>
    </row>
    <row r="733">
      <c r="A733" s="4" t="str">
        <f>IFERROR(__xludf.DUMMYFUNCTION("""COMPUTED_VALUE"""),"DME2728")</f>
        <v>DME2728</v>
      </c>
      <c r="B733" s="4" t="str">
        <f>IFERROR(__xludf.DUMMYFUNCTION("""COMPUTED_VALUE"""),"Nadeem Akhtar")</f>
        <v>Nadeem Akhtar</v>
      </c>
      <c r="C733" s="4" t="str">
        <f>IFERROR(__xludf.DUMMYFUNCTION("""COMPUTED_VALUE"""),"nadeem.akhtar@onixnet.com")</f>
        <v>nadeem.akhtar@onixnet.com</v>
      </c>
      <c r="D733" s="4" t="str">
        <f>IFERROR(__xludf.DUMMYFUNCTION("""COMPUTED_VALUE"""),"Active")</f>
        <v>Active</v>
      </c>
      <c r="E733" s="4" t="str">
        <f>IFERROR(__xludf.DUMMYFUNCTION("""COMPUTED_VALUE"""),"Delivery Services")</f>
        <v>Delivery Services</v>
      </c>
      <c r="F733" s="4" t="str">
        <f>IFERROR(__xludf.DUMMYFUNCTION("""COMPUTED_VALUE"""),"Sneha Bhatambrekar")</f>
        <v>Sneha Bhatambrekar</v>
      </c>
      <c r="G733" s="4" t="str">
        <f>IFERROR(__xludf.DUMMYFUNCTION("""COMPUTED_VALUE"""),"Cluster - Sandeep")</f>
        <v>Cluster - Sandeep</v>
      </c>
      <c r="H733" s="4" t="str">
        <f>IFERROR(__xludf.DUMMYFUNCTION("""COMPUTED_VALUE"""),"ONINAZET3")</f>
        <v>ONINAZET3</v>
      </c>
      <c r="I733" s="5">
        <f>IFERROR(__xludf.DUMMYFUNCTION("""COMPUTED_VALUE"""),9.0)</f>
        <v>9</v>
      </c>
      <c r="J733" s="4" t="str">
        <f>IFERROR(__xludf.DUMMYFUNCTION("""COMPUTED_VALUE"""),"Tier 4")</f>
        <v>Tier 4</v>
      </c>
      <c r="K733" s="4" t="str">
        <f>IFERROR(__xludf.DUMMYFUNCTION("""COMPUTED_VALUE"""),"Active")</f>
        <v>Active</v>
      </c>
      <c r="L733" s="4" t="str">
        <f>IFERROR(__xludf.DUMMYFUNCTION("""COMPUTED_VALUE"""),"BigQuery")</f>
        <v>BigQuery</v>
      </c>
    </row>
    <row r="734">
      <c r="A734" s="4" t="str">
        <f>IFERROR(__xludf.DUMMYFUNCTION("""COMPUTED_VALUE"""),"DME2733")</f>
        <v>DME2733</v>
      </c>
      <c r="B734" s="4" t="str">
        <f>IFERROR(__xludf.DUMMYFUNCTION("""COMPUTED_VALUE"""),"Vishal Sahebrao More")</f>
        <v>Vishal Sahebrao More</v>
      </c>
      <c r="C734" s="4" t="str">
        <f>IFERROR(__xludf.DUMMYFUNCTION("""COMPUTED_VALUE"""),"vishal.more@onixnet.com")</f>
        <v>vishal.more@onixnet.com</v>
      </c>
      <c r="D734" s="4" t="str">
        <f>IFERROR(__xludf.DUMMYFUNCTION("""COMPUTED_VALUE"""),"Active")</f>
        <v>Active</v>
      </c>
      <c r="E734" s="4" t="str">
        <f>IFERROR(__xludf.DUMMYFUNCTION("""COMPUTED_VALUE"""),"Product Engineering")</f>
        <v>Product Engineering</v>
      </c>
      <c r="F734" s="4" t="str">
        <f>IFERROR(__xludf.DUMMYFUNCTION("""COMPUTED_VALUE"""),"Vikas Suryawanshi")</f>
        <v>Vikas Suryawanshi</v>
      </c>
      <c r="G734" s="4" t="str">
        <f>IFERROR(__xludf.DUMMYFUNCTION("""COMPUTED_VALUE"""),"Cluster - Mayur")</f>
        <v>Cluster - Mayur</v>
      </c>
      <c r="H734" s="4" t="str">
        <f>IFERROR(__xludf.DUMMYFUNCTION("""COMPUTED_VALUE"""),"ONIVMDIU9")</f>
        <v>ONIVMDIU9</v>
      </c>
      <c r="I734" s="5">
        <f>IFERROR(__xludf.DUMMYFUNCTION("""COMPUTED_VALUE"""),30.0)</f>
        <v>30</v>
      </c>
      <c r="J734" s="4" t="str">
        <f>IFERROR(__xludf.DUMMYFUNCTION("""COMPUTED_VALUE"""),"Tier 3")</f>
        <v>Tier 3</v>
      </c>
      <c r="K734" s="4" t="str">
        <f>IFERROR(__xludf.DUMMYFUNCTION("""COMPUTED_VALUE"""),"Active")</f>
        <v>Active</v>
      </c>
      <c r="L734" s="4" t="str">
        <f>IFERROR(__xludf.DUMMYFUNCTION("""COMPUTED_VALUE"""),"AI Applications")</f>
        <v>AI Applications</v>
      </c>
    </row>
    <row r="735">
      <c r="A735" s="4" t="str">
        <f>IFERROR(__xludf.DUMMYFUNCTION("""COMPUTED_VALUE"""),"DME2734")</f>
        <v>DME2734</v>
      </c>
      <c r="B735" s="4" t="str">
        <f>IFERROR(__xludf.DUMMYFUNCTION("""COMPUTED_VALUE"""),"Vaishnavi Uday Thete")</f>
        <v>Vaishnavi Uday Thete</v>
      </c>
      <c r="C735" s="4" t="str">
        <f>IFERROR(__xludf.DUMMYFUNCTION("""COMPUTED_VALUE"""),"vaishnavi.thete@onixnet.com")</f>
        <v>vaishnavi.thete@onixnet.com</v>
      </c>
      <c r="D735" s="4" t="str">
        <f>IFERROR(__xludf.DUMMYFUNCTION("""COMPUTED_VALUE"""),"Active")</f>
        <v>Active</v>
      </c>
      <c r="E735" s="4" t="str">
        <f>IFERROR(__xludf.DUMMYFUNCTION("""COMPUTED_VALUE"""),"Product Engineering")</f>
        <v>Product Engineering</v>
      </c>
      <c r="F735" s="4" t="str">
        <f>IFERROR(__xludf.DUMMYFUNCTION("""COMPUTED_VALUE"""),"Deepak Kadam")</f>
        <v>Deepak Kadam</v>
      </c>
      <c r="G735" s="4" t="str">
        <f>IFERROR(__xludf.DUMMYFUNCTION("""COMPUTED_VALUE"""),"Cluster - Mayur")</f>
        <v>Cluster - Mayur</v>
      </c>
      <c r="H735" s="4"/>
      <c r="I735" s="5"/>
      <c r="J735" s="4"/>
      <c r="K735" s="4" t="str">
        <f>IFERROR(__xludf.DUMMYFUNCTION("""COMPUTED_VALUE"""),"ID Not Created")</f>
        <v>ID Not Created</v>
      </c>
      <c r="L735" s="4"/>
    </row>
    <row r="736">
      <c r="A736" s="4" t="str">
        <f>IFERROR(__xludf.DUMMYFUNCTION("""COMPUTED_VALUE"""),"DME2723")</f>
        <v>DME2723</v>
      </c>
      <c r="B736" s="4" t="str">
        <f>IFERROR(__xludf.DUMMYFUNCTION("""COMPUTED_VALUE"""),"Vamshi Satyanarayana Bokka")</f>
        <v>Vamshi Satyanarayana Bokka</v>
      </c>
      <c r="C736" s="4" t="str">
        <f>IFERROR(__xludf.DUMMYFUNCTION("""COMPUTED_VALUE"""),"vamshi.bokka@onixnet.com")</f>
        <v>vamshi.bokka@onixnet.com</v>
      </c>
      <c r="D736" s="4" t="str">
        <f>IFERROR(__xludf.DUMMYFUNCTION("""COMPUTED_VALUE"""),"Active")</f>
        <v>Active</v>
      </c>
      <c r="E736" s="4" t="str">
        <f>IFERROR(__xludf.DUMMYFUNCTION("""COMPUTED_VALUE"""),"Product Engineering")</f>
        <v>Product Engineering</v>
      </c>
      <c r="F736" s="4" t="str">
        <f>IFERROR(__xludf.DUMMYFUNCTION("""COMPUTED_VALUE"""),"Nishant Tiwary")</f>
        <v>Nishant Tiwary</v>
      </c>
      <c r="G736" s="4" t="str">
        <f>IFERROR(__xludf.DUMMYFUNCTION("""COMPUTED_VALUE"""),"Cluster - Mayur")</f>
        <v>Cluster - Mayur</v>
      </c>
      <c r="H736" s="4" t="str">
        <f>IFERROR(__xludf.DUMMYFUNCTION("""COMPUTED_VALUE"""),"ONIVBDTU2")</f>
        <v>ONIVBDTU2</v>
      </c>
      <c r="I736" s="5">
        <f>IFERROR(__xludf.DUMMYFUNCTION("""COMPUTED_VALUE"""),15.0)</f>
        <v>15</v>
      </c>
      <c r="J736" s="4" t="str">
        <f>IFERROR(__xludf.DUMMYFUNCTION("""COMPUTED_VALUE"""),"Tier 4")</f>
        <v>Tier 4</v>
      </c>
      <c r="K736" s="4" t="str">
        <f>IFERROR(__xludf.DUMMYFUNCTION("""COMPUTED_VALUE"""),"Active")</f>
        <v>Active</v>
      </c>
      <c r="L736" s="4" t="str">
        <f>IFERROR(__xludf.DUMMYFUNCTION("""COMPUTED_VALUE"""),"AI Applications")</f>
        <v>AI Applications</v>
      </c>
    </row>
    <row r="737">
      <c r="A737" s="4" t="str">
        <f>IFERROR(__xludf.DUMMYFUNCTION("""COMPUTED_VALUE"""),"DME2735")</f>
        <v>DME2735</v>
      </c>
      <c r="B737" s="4" t="str">
        <f>IFERROR(__xludf.DUMMYFUNCTION("""COMPUTED_VALUE"""),"Naveen Harish")</f>
        <v>Naveen Harish</v>
      </c>
      <c r="C737" s="4" t="str">
        <f>IFERROR(__xludf.DUMMYFUNCTION("""COMPUTED_VALUE"""),"naveen.harish@onixnet.com")</f>
        <v>naveen.harish@onixnet.com</v>
      </c>
      <c r="D737" s="4" t="str">
        <f>IFERROR(__xludf.DUMMYFUNCTION("""COMPUTED_VALUE"""),"Active")</f>
        <v>Active</v>
      </c>
      <c r="E737" s="4" t="str">
        <f>IFERROR(__xludf.DUMMYFUNCTION("""COMPUTED_VALUE"""),"Delivery Services")</f>
        <v>Delivery Services</v>
      </c>
      <c r="F737" s="4" t="str">
        <f>IFERROR(__xludf.DUMMYFUNCTION("""COMPUTED_VALUE"""),"Varun Katyal")</f>
        <v>Varun Katyal</v>
      </c>
      <c r="G737" s="4" t="str">
        <f>IFERROR(__xludf.DUMMYFUNCTION("""COMPUTED_VALUE"""),"Cluster - Varun")</f>
        <v>Cluster - Varun</v>
      </c>
      <c r="H737" s="4"/>
      <c r="I737" s="5"/>
      <c r="J737" s="4"/>
      <c r="K737" s="4" t="str">
        <f>IFERROR(__xludf.DUMMYFUNCTION("""COMPUTED_VALUE"""),"ID Not Created")</f>
        <v>ID Not Created</v>
      </c>
      <c r="L737" s="4"/>
    </row>
    <row r="738">
      <c r="A738" s="4" t="str">
        <f>IFERROR(__xludf.DUMMYFUNCTION("""COMPUTED_VALUE"""),"DME2740")</f>
        <v>DME2740</v>
      </c>
      <c r="B738" s="4" t="str">
        <f>IFERROR(__xludf.DUMMYFUNCTION("""COMPUTED_VALUE"""),"Pramod Pandurang Kesare")</f>
        <v>Pramod Pandurang Kesare</v>
      </c>
      <c r="C738" s="4" t="str">
        <f>IFERROR(__xludf.DUMMYFUNCTION("""COMPUTED_VALUE"""),"pramod.kesare@onixnet.com")</f>
        <v>pramod.kesare@onixnet.com</v>
      </c>
      <c r="D738" s="4" t="str">
        <f>IFERROR(__xludf.DUMMYFUNCTION("""COMPUTED_VALUE"""),"Active")</f>
        <v>Active</v>
      </c>
      <c r="E738" s="4" t="str">
        <f>IFERROR(__xludf.DUMMYFUNCTION("""COMPUTED_VALUE"""),"Product Engineering")</f>
        <v>Product Engineering</v>
      </c>
      <c r="F738" s="4" t="str">
        <f>IFERROR(__xludf.DUMMYFUNCTION("""COMPUTED_VALUE"""),"Laxmikant Chavan")</f>
        <v>Laxmikant Chavan</v>
      </c>
      <c r="G738" s="4" t="str">
        <f>IFERROR(__xludf.DUMMYFUNCTION("""COMPUTED_VALUE"""),"Cluster - Mayur")</f>
        <v>Cluster - Mayur</v>
      </c>
      <c r="H738" s="4"/>
      <c r="I738" s="5"/>
      <c r="J738" s="4"/>
      <c r="K738" s="4" t="str">
        <f>IFERROR(__xludf.DUMMYFUNCTION("""COMPUTED_VALUE"""),"ID Not Created")</f>
        <v>ID Not Created</v>
      </c>
      <c r="L738" s="4"/>
    </row>
    <row r="739">
      <c r="A739" s="4" t="str">
        <f>IFERROR(__xludf.DUMMYFUNCTION("""COMPUTED_VALUE"""),"DME2741")</f>
        <v>DME2741</v>
      </c>
      <c r="B739" s="4" t="str">
        <f>IFERROR(__xludf.DUMMYFUNCTION("""COMPUTED_VALUE"""),"Swapnil Madhukar Shinde")</f>
        <v>Swapnil Madhukar Shinde</v>
      </c>
      <c r="C739" s="4" t="str">
        <f>IFERROR(__xludf.DUMMYFUNCTION("""COMPUTED_VALUE"""),"swapnil.shinde@onixnet.com")</f>
        <v>swapnil.shinde@onixnet.com</v>
      </c>
      <c r="D739" s="4" t="str">
        <f>IFERROR(__xludf.DUMMYFUNCTION("""COMPUTED_VALUE"""),"Active")</f>
        <v>Active</v>
      </c>
      <c r="E739" s="4" t="str">
        <f>IFERROR(__xludf.DUMMYFUNCTION("""COMPUTED_VALUE"""),"Delivery Services")</f>
        <v>Delivery Services</v>
      </c>
      <c r="F739" s="4" t="str">
        <f>IFERROR(__xludf.DUMMYFUNCTION("""COMPUTED_VALUE"""),"Anand Saraf")</f>
        <v>Anand Saraf</v>
      </c>
      <c r="G739" s="4" t="str">
        <f>IFERROR(__xludf.DUMMYFUNCTION("""COMPUTED_VALUE"""),"Cluster - Sachin")</f>
        <v>Cluster - Sachin</v>
      </c>
      <c r="H739" s="4" t="str">
        <f>IFERROR(__xludf.DUMMYFUNCTION("""COMPUTED_VALUE"""),"ONISSVKG1")</f>
        <v>ONISSVKG1</v>
      </c>
      <c r="I739" s="5">
        <f>IFERROR(__xludf.DUMMYFUNCTION("""COMPUTED_VALUE"""),24.0)</f>
        <v>24</v>
      </c>
      <c r="J739" s="4" t="str">
        <f>IFERROR(__xludf.DUMMYFUNCTION("""COMPUTED_VALUE"""),"Tier 3")</f>
        <v>Tier 3</v>
      </c>
      <c r="K739" s="4" t="str">
        <f>IFERROR(__xludf.DUMMYFUNCTION("""COMPUTED_VALUE"""),"Active")</f>
        <v>Active</v>
      </c>
      <c r="L739" s="4" t="str">
        <f>IFERROR(__xludf.DUMMYFUNCTION("""COMPUTED_VALUE"""),"BigQuery")</f>
        <v>BigQuery</v>
      </c>
    </row>
    <row r="740">
      <c r="A740" s="4" t="str">
        <f>IFERROR(__xludf.DUMMYFUNCTION("""COMPUTED_VALUE"""),"DME2743")</f>
        <v>DME2743</v>
      </c>
      <c r="B740" s="4" t="str">
        <f>IFERROR(__xludf.DUMMYFUNCTION("""COMPUTED_VALUE"""),"Samiksha Satish Pangare")</f>
        <v>Samiksha Satish Pangare</v>
      </c>
      <c r="C740" s="4" t="str">
        <f>IFERROR(__xludf.DUMMYFUNCTION("""COMPUTED_VALUE"""),"samiksha.pangare@onixnet.com")</f>
        <v>samiksha.pangare@onixnet.com</v>
      </c>
      <c r="D740" s="4" t="str">
        <f>IFERROR(__xludf.DUMMYFUNCTION("""COMPUTED_VALUE"""),"Active")</f>
        <v>Active</v>
      </c>
      <c r="E740" s="4" t="str">
        <f>IFERROR(__xludf.DUMMYFUNCTION("""COMPUTED_VALUE"""),"Product Engineering")</f>
        <v>Product Engineering</v>
      </c>
      <c r="F740" s="4" t="str">
        <f>IFERROR(__xludf.DUMMYFUNCTION("""COMPUTED_VALUE"""),"Sajid Patel")</f>
        <v>Sajid Patel</v>
      </c>
      <c r="G740" s="4" t="str">
        <f>IFERROR(__xludf.DUMMYFUNCTION("""COMPUTED_VALUE"""),"Cluster - Mayur")</f>
        <v>Cluster - Mayur</v>
      </c>
      <c r="H740" s="4" t="str">
        <f>IFERROR(__xludf.DUMMYFUNCTION("""COMPUTED_VALUE"""),"ONISPXIB1")</f>
        <v>ONISPXIB1</v>
      </c>
      <c r="I740" s="5">
        <f>IFERROR(__xludf.DUMMYFUNCTION("""COMPUTED_VALUE"""),5.0)</f>
        <v>5</v>
      </c>
      <c r="J740" s="4" t="str">
        <f>IFERROR(__xludf.DUMMYFUNCTION("""COMPUTED_VALUE"""),"Tier 4")</f>
        <v>Tier 4</v>
      </c>
      <c r="K740" s="4" t="str">
        <f>IFERROR(__xludf.DUMMYFUNCTION("""COMPUTED_VALUE"""),"Active")</f>
        <v>Active</v>
      </c>
      <c r="L740" s="4" t="str">
        <f>IFERROR(__xludf.DUMMYFUNCTION("""COMPUTED_VALUE"""),"Gemini Enterprise Agent Platform")</f>
        <v>Gemini Enterprise Agent Platform</v>
      </c>
    </row>
    <row r="741">
      <c r="A741" s="4" t="str">
        <f>IFERROR(__xludf.DUMMYFUNCTION("""COMPUTED_VALUE"""),"DMC0939")</f>
        <v>DMC0939</v>
      </c>
      <c r="B741" s="4" t="str">
        <f>IFERROR(__xludf.DUMMYFUNCTION("""COMPUTED_VALUE"""),"Om Parkash Gupta")</f>
        <v>Om Parkash Gupta</v>
      </c>
      <c r="C741" s="4" t="str">
        <f>IFERROR(__xludf.DUMMYFUNCTION("""COMPUTED_VALUE"""),"om.parkash@onixnet.com")</f>
        <v>om.parkash@onixnet.com</v>
      </c>
      <c r="D741" s="4" t="str">
        <f>IFERROR(__xludf.DUMMYFUNCTION("""COMPUTED_VALUE"""),"Active")</f>
        <v>Active</v>
      </c>
      <c r="E741" s="4" t="str">
        <f>IFERROR(__xludf.DUMMYFUNCTION("""COMPUTED_VALUE"""),"Delivery Services")</f>
        <v>Delivery Services</v>
      </c>
      <c r="F741" s="4" t="str">
        <f>IFERROR(__xludf.DUMMYFUNCTION("""COMPUTED_VALUE"""),"Mayur Tawhare")</f>
        <v>Mayur Tawhare</v>
      </c>
      <c r="G741" s="4" t="str">
        <f>IFERROR(__xludf.DUMMYFUNCTION("""COMPUTED_VALUE"""),"Cluster - Varun")</f>
        <v>Cluster - Varun</v>
      </c>
      <c r="H741" s="4" t="str">
        <f>IFERROR(__xludf.DUMMYFUNCTION("""COMPUTED_VALUE"""),"ONISGADA9")</f>
        <v>ONISGADA9</v>
      </c>
      <c r="I741" s="5">
        <f>IFERROR(__xludf.DUMMYFUNCTION("""COMPUTED_VALUE"""),10.0)</f>
        <v>10</v>
      </c>
      <c r="J741" s="4" t="str">
        <f>IFERROR(__xludf.DUMMYFUNCTION("""COMPUTED_VALUE"""),"Tier 4")</f>
        <v>Tier 4</v>
      </c>
      <c r="K741" s="4" t="str">
        <f>IFERROR(__xludf.DUMMYFUNCTION("""COMPUTED_VALUE"""),"Active")</f>
        <v>Active</v>
      </c>
      <c r="L741" s="4" t="str">
        <f>IFERROR(__xludf.DUMMYFUNCTION("""COMPUTED_VALUE"""),"AI Applications")</f>
        <v>AI Applications</v>
      </c>
    </row>
    <row r="742">
      <c r="A742" s="4" t="str">
        <f>IFERROR(__xludf.DUMMYFUNCTION("""COMPUTED_VALUE"""),"DME2748")</f>
        <v>DME2748</v>
      </c>
      <c r="B742" s="4" t="str">
        <f>IFERROR(__xludf.DUMMYFUNCTION("""COMPUTED_VALUE"""),"Mohita Srivastava")</f>
        <v>Mohita Srivastava</v>
      </c>
      <c r="C742" s="4" t="str">
        <f>IFERROR(__xludf.DUMMYFUNCTION("""COMPUTED_VALUE"""),"mohita.srivastava@onixnet.com")</f>
        <v>mohita.srivastava@onixnet.com</v>
      </c>
      <c r="D742" s="4" t="str">
        <f>IFERROR(__xludf.DUMMYFUNCTION("""COMPUTED_VALUE"""),"Active")</f>
        <v>Active</v>
      </c>
      <c r="E742" s="4" t="str">
        <f>IFERROR(__xludf.DUMMYFUNCTION("""COMPUTED_VALUE"""),"Delivery Services")</f>
        <v>Delivery Services</v>
      </c>
      <c r="F742" s="4" t="str">
        <f>IFERROR(__xludf.DUMMYFUNCTION("""COMPUTED_VALUE"""),"Ashish Shaligram Tiwari")</f>
        <v>Ashish Shaligram Tiwari</v>
      </c>
      <c r="G742" s="4" t="str">
        <f>IFERROR(__xludf.DUMMYFUNCTION("""COMPUTED_VALUE"""),"Cluster - Sachin")</f>
        <v>Cluster - Sachin</v>
      </c>
      <c r="H742" s="4" t="str">
        <f>IFERROR(__xludf.DUMMYFUNCTION("""COMPUTED_VALUE"""),"ONIMSBFL9")</f>
        <v>ONIMSBFL9</v>
      </c>
      <c r="I742" s="5">
        <f>IFERROR(__xludf.DUMMYFUNCTION("""COMPUTED_VALUE"""),0.0)</f>
        <v>0</v>
      </c>
      <c r="J742" s="4" t="str">
        <f>IFERROR(__xludf.DUMMYFUNCTION("""COMPUTED_VALUE"""),"Tier 4")</f>
        <v>Tier 4</v>
      </c>
      <c r="K742" s="4" t="str">
        <f>IFERROR(__xludf.DUMMYFUNCTION("""COMPUTED_VALUE"""),"ID Created DRP score 0")</f>
        <v>ID Created DRP score 0</v>
      </c>
      <c r="L742" s="4"/>
    </row>
    <row r="743">
      <c r="A743" s="4" t="str">
        <f>IFERROR(__xludf.DUMMYFUNCTION("""COMPUTED_VALUE"""),"DME2752")</f>
        <v>DME2752</v>
      </c>
      <c r="B743" s="4" t="str">
        <f>IFERROR(__xludf.DUMMYFUNCTION("""COMPUTED_VALUE"""),"Soumodeep Dey")</f>
        <v>Soumodeep Dey</v>
      </c>
      <c r="C743" s="4" t="str">
        <f>IFERROR(__xludf.DUMMYFUNCTION("""COMPUTED_VALUE"""),"soumodeep.dey@onixnet.com")</f>
        <v>soumodeep.dey@onixnet.com</v>
      </c>
      <c r="D743" s="4" t="str">
        <f>IFERROR(__xludf.DUMMYFUNCTION("""COMPUTED_VALUE"""),"Active")</f>
        <v>Active</v>
      </c>
      <c r="E743" s="4" t="str">
        <f>IFERROR(__xludf.DUMMYFUNCTION("""COMPUTED_VALUE"""),"Delivery Services")</f>
        <v>Delivery Services</v>
      </c>
      <c r="F743" s="4" t="str">
        <f>IFERROR(__xludf.DUMMYFUNCTION("""COMPUTED_VALUE"""),"Manish Ahlawat")</f>
        <v>Manish Ahlawat</v>
      </c>
      <c r="G743" s="4" t="str">
        <f>IFERROR(__xludf.DUMMYFUNCTION("""COMPUTED_VALUE"""),"Cluster - Gaurav")</f>
        <v>Cluster - Gaurav</v>
      </c>
      <c r="H743" s="4" t="str">
        <f>IFERROR(__xludf.DUMMYFUNCTION("""COMPUTED_VALUE"""),"ONISDZGI0")</f>
        <v>ONISDZGI0</v>
      </c>
      <c r="I743" s="5">
        <f>IFERROR(__xludf.DUMMYFUNCTION("""COMPUTED_VALUE"""),15.0)</f>
        <v>15</v>
      </c>
      <c r="J743" s="4" t="str">
        <f>IFERROR(__xludf.DUMMYFUNCTION("""COMPUTED_VALUE"""),"Tier 4")</f>
        <v>Tier 4</v>
      </c>
      <c r="K743" s="4" t="str">
        <f>IFERROR(__xludf.DUMMYFUNCTION("""COMPUTED_VALUE"""),"Active")</f>
        <v>Active</v>
      </c>
      <c r="L743" s="4" t="str">
        <f>IFERROR(__xludf.DUMMYFUNCTION("""COMPUTED_VALUE"""),"Gemini Enterprise Agent Platform")</f>
        <v>Gemini Enterprise Agent Platform</v>
      </c>
    </row>
    <row r="744">
      <c r="A744" s="4" t="str">
        <f>IFERROR(__xludf.DUMMYFUNCTION("""COMPUTED_VALUE"""),"DME2759")</f>
        <v>DME2759</v>
      </c>
      <c r="B744" s="4" t="str">
        <f>IFERROR(__xludf.DUMMYFUNCTION("""COMPUTED_VALUE"""),"Sirra Ramesh Sirra")</f>
        <v>Sirra Ramesh Sirra</v>
      </c>
      <c r="C744" s="4" t="str">
        <f>IFERROR(__xludf.DUMMYFUNCTION("""COMPUTED_VALUE"""),"ramesh.sirra@onixnet.com")</f>
        <v>ramesh.sirra@onixnet.com</v>
      </c>
      <c r="D744" s="4" t="str">
        <f>IFERROR(__xludf.DUMMYFUNCTION("""COMPUTED_VALUE"""),"Active")</f>
        <v>Active</v>
      </c>
      <c r="E744" s="4" t="str">
        <f>IFERROR(__xludf.DUMMYFUNCTION("""COMPUTED_VALUE"""),"Delivery Services")</f>
        <v>Delivery Services</v>
      </c>
      <c r="F744" s="4" t="str">
        <f>IFERROR(__xludf.DUMMYFUNCTION("""COMPUTED_VALUE"""),"Anitha Kumari M S")</f>
        <v>Anitha Kumari M S</v>
      </c>
      <c r="G744" s="4" t="str">
        <f>IFERROR(__xludf.DUMMYFUNCTION("""COMPUTED_VALUE"""),"Cluster - Sagar")</f>
        <v>Cluster - Sagar</v>
      </c>
      <c r="H744" s="4" t="str">
        <f>IFERROR(__xludf.DUMMYFUNCTION("""COMPUTED_VALUE"""),"ONIRSFRL1")</f>
        <v>ONIRSFRL1</v>
      </c>
      <c r="I744" s="5">
        <f>IFERROR(__xludf.DUMMYFUNCTION("""COMPUTED_VALUE"""),9.0)</f>
        <v>9</v>
      </c>
      <c r="J744" s="4" t="str">
        <f>IFERROR(__xludf.DUMMYFUNCTION("""COMPUTED_VALUE"""),"Tier 4")</f>
        <v>Tier 4</v>
      </c>
      <c r="K744" s="4" t="str">
        <f>IFERROR(__xludf.DUMMYFUNCTION("""COMPUTED_VALUE"""),"Active")</f>
        <v>Active</v>
      </c>
      <c r="L744" s="4" t="str">
        <f>IFERROR(__xludf.DUMMYFUNCTION("""COMPUTED_VALUE"""),"Dataflow")</f>
        <v>Dataflow</v>
      </c>
    </row>
    <row r="745">
      <c r="A745" s="4" t="str">
        <f>IFERROR(__xludf.DUMMYFUNCTION("""COMPUTED_VALUE"""),"DME2763")</f>
        <v>DME2763</v>
      </c>
      <c r="B745" s="4" t="str">
        <f>IFERROR(__xludf.DUMMYFUNCTION("""COMPUTED_VALUE"""),"Srishti Singh")</f>
        <v>Srishti Singh</v>
      </c>
      <c r="C745" s="4" t="str">
        <f>IFERROR(__xludf.DUMMYFUNCTION("""COMPUTED_VALUE"""),"srishti.singh@onixnet.com")</f>
        <v>srishti.singh@onixnet.com</v>
      </c>
      <c r="D745" s="4" t="str">
        <f>IFERROR(__xludf.DUMMYFUNCTION("""COMPUTED_VALUE"""),"Active")</f>
        <v>Active</v>
      </c>
      <c r="E745" s="4" t="str">
        <f>IFERROR(__xludf.DUMMYFUNCTION("""COMPUTED_VALUE"""),"Delivery Services")</f>
        <v>Delivery Services</v>
      </c>
      <c r="F745" s="4" t="str">
        <f>IFERROR(__xludf.DUMMYFUNCTION("""COMPUTED_VALUE"""),"Nisha Chandrakant Dhole")</f>
        <v>Nisha Chandrakant Dhole</v>
      </c>
      <c r="G745" s="4" t="str">
        <f>IFERROR(__xludf.DUMMYFUNCTION("""COMPUTED_VALUE"""),"Cluster - Sagar")</f>
        <v>Cluster - Sagar</v>
      </c>
      <c r="H745" s="4" t="str">
        <f>IFERROR(__xludf.DUMMYFUNCTION("""COMPUTED_VALUE"""),"ONISSQVE7")</f>
        <v>ONISSQVE7</v>
      </c>
      <c r="I745" s="5">
        <f>IFERROR(__xludf.DUMMYFUNCTION("""COMPUTED_VALUE"""),46.0)</f>
        <v>46</v>
      </c>
      <c r="J745" s="4" t="str">
        <f>IFERROR(__xludf.DUMMYFUNCTION("""COMPUTED_VALUE"""),"Tier 2")</f>
        <v>Tier 2</v>
      </c>
      <c r="K745" s="4" t="str">
        <f>IFERROR(__xludf.DUMMYFUNCTION("""COMPUTED_VALUE"""),"Active")</f>
        <v>Active</v>
      </c>
      <c r="L745" s="4" t="str">
        <f>IFERROR(__xludf.DUMMYFUNCTION("""COMPUTED_VALUE"""),"Gemini Enterprise Agent Platform")</f>
        <v>Gemini Enterprise Agent Platform</v>
      </c>
    </row>
    <row r="746">
      <c r="A746" s="4" t="str">
        <f>IFERROR(__xludf.DUMMYFUNCTION("""COMPUTED_VALUE"""),"DME2767")</f>
        <v>DME2767</v>
      </c>
      <c r="B746" s="4" t="str">
        <f>IFERROR(__xludf.DUMMYFUNCTION("""COMPUTED_VALUE"""),"Jitender Singh")</f>
        <v>Jitender Singh</v>
      </c>
      <c r="C746" s="4" t="str">
        <f>IFERROR(__xludf.DUMMYFUNCTION("""COMPUTED_VALUE"""),"jitender.singh@onixnet.com")</f>
        <v>jitender.singh@onixnet.com</v>
      </c>
      <c r="D746" s="4" t="str">
        <f>IFERROR(__xludf.DUMMYFUNCTION("""COMPUTED_VALUE"""),"Active")</f>
        <v>Active</v>
      </c>
      <c r="E746" s="4" t="str">
        <f>IFERROR(__xludf.DUMMYFUNCTION("""COMPUTED_VALUE"""),"Delivery Services")</f>
        <v>Delivery Services</v>
      </c>
      <c r="F746" s="4" t="str">
        <f>IFERROR(__xludf.DUMMYFUNCTION("""COMPUTED_VALUE"""),"Gaurav Bharara")</f>
        <v>Gaurav Bharara</v>
      </c>
      <c r="G746" s="4" t="str">
        <f>IFERROR(__xludf.DUMMYFUNCTION("""COMPUTED_VALUE"""),"Cluster - Gaurav")</f>
        <v>Cluster - Gaurav</v>
      </c>
      <c r="H746" s="4" t="str">
        <f>IFERROR(__xludf.DUMMYFUNCTION("""COMPUTED_VALUE"""),"ONIJSYSZ8")</f>
        <v>ONIJSYSZ8</v>
      </c>
      <c r="I746" s="5">
        <f>IFERROR(__xludf.DUMMYFUNCTION("""COMPUTED_VALUE"""),0.0)</f>
        <v>0</v>
      </c>
      <c r="J746" s="4" t="str">
        <f>IFERROR(__xludf.DUMMYFUNCTION("""COMPUTED_VALUE"""),"Tier 4")</f>
        <v>Tier 4</v>
      </c>
      <c r="K746" s="4" t="str">
        <f>IFERROR(__xludf.DUMMYFUNCTION("""COMPUTED_VALUE"""),"ID Created DRP score 0")</f>
        <v>ID Created DRP score 0</v>
      </c>
      <c r="L746" s="4"/>
    </row>
    <row r="747">
      <c r="A747" s="4" t="str">
        <f>IFERROR(__xludf.DUMMYFUNCTION("""COMPUTED_VALUE"""),"DME2770")</f>
        <v>DME2770</v>
      </c>
      <c r="B747" s="4" t="str">
        <f>IFERROR(__xludf.DUMMYFUNCTION("""COMPUTED_VALUE"""),"Nikhil Bhausaheb Lad")</f>
        <v>Nikhil Bhausaheb Lad</v>
      </c>
      <c r="C747" s="4" t="str">
        <f>IFERROR(__xludf.DUMMYFUNCTION("""COMPUTED_VALUE"""),"nikhil.lad@onixnet.com")</f>
        <v>nikhil.lad@onixnet.com</v>
      </c>
      <c r="D747" s="4" t="str">
        <f>IFERROR(__xludf.DUMMYFUNCTION("""COMPUTED_VALUE"""),"Active")</f>
        <v>Active</v>
      </c>
      <c r="E747" s="4" t="str">
        <f>IFERROR(__xludf.DUMMYFUNCTION("""COMPUTED_VALUE"""),"Delivery Services")</f>
        <v>Delivery Services</v>
      </c>
      <c r="F747" s="4" t="str">
        <f>IFERROR(__xludf.DUMMYFUNCTION("""COMPUTED_VALUE"""),"Vurimi Vamsi Krishna")</f>
        <v>Vurimi Vamsi Krishna</v>
      </c>
      <c r="G747" s="4" t="str">
        <f>IFERROR(__xludf.DUMMYFUNCTION("""COMPUTED_VALUE"""),"Cluster - Varun")</f>
        <v>Cluster - Varun</v>
      </c>
      <c r="H747" s="4" t="str">
        <f>IFERROR(__xludf.DUMMYFUNCTION("""COMPUTED_VALUE"""),"ONINLLRP9")</f>
        <v>ONINLLRP9</v>
      </c>
      <c r="I747" s="5">
        <f>IFERROR(__xludf.DUMMYFUNCTION("""COMPUTED_VALUE"""),20.0)</f>
        <v>20</v>
      </c>
      <c r="J747" s="4" t="str">
        <f>IFERROR(__xludf.DUMMYFUNCTION("""COMPUTED_VALUE"""),"Tier 3")</f>
        <v>Tier 3</v>
      </c>
      <c r="K747" s="4" t="str">
        <f>IFERROR(__xludf.DUMMYFUNCTION("""COMPUTED_VALUE"""),"Active")</f>
        <v>Active</v>
      </c>
      <c r="L747" s="4" t="str">
        <f>IFERROR(__xludf.DUMMYFUNCTION("""COMPUTED_VALUE"""),"Gemini Enterprise Agent Platform")</f>
        <v>Gemini Enterprise Agent Platform</v>
      </c>
    </row>
    <row r="748">
      <c r="A748" s="4" t="str">
        <f>IFERROR(__xludf.DUMMYFUNCTION("""COMPUTED_VALUE"""),"DME2775")</f>
        <v>DME2775</v>
      </c>
      <c r="B748" s="4" t="str">
        <f>IFERROR(__xludf.DUMMYFUNCTION("""COMPUTED_VALUE"""),"Tushar Sadashiv Malkar")</f>
        <v>Tushar Sadashiv Malkar</v>
      </c>
      <c r="C748" s="4" t="str">
        <f>IFERROR(__xludf.DUMMYFUNCTION("""COMPUTED_VALUE"""),"tushar.malkar@onixnet.com")</f>
        <v>tushar.malkar@onixnet.com</v>
      </c>
      <c r="D748" s="4" t="str">
        <f>IFERROR(__xludf.DUMMYFUNCTION("""COMPUTED_VALUE"""),"Active")</f>
        <v>Active</v>
      </c>
      <c r="E748" s="4" t="str">
        <f>IFERROR(__xludf.DUMMYFUNCTION("""COMPUTED_VALUE"""),"Product Engineering")</f>
        <v>Product Engineering</v>
      </c>
      <c r="F748" s="4" t="str">
        <f>IFERROR(__xludf.DUMMYFUNCTION("""COMPUTED_VALUE"""),"Gayathri Keerthivasagam")</f>
        <v>Gayathri Keerthivasagam</v>
      </c>
      <c r="G748" s="4" t="str">
        <f>IFERROR(__xludf.DUMMYFUNCTION("""COMPUTED_VALUE"""),"Cluster - Mayur")</f>
        <v>Cluster - Mayur</v>
      </c>
      <c r="H748" s="4" t="str">
        <f>IFERROR(__xludf.DUMMYFUNCTION("""COMPUTED_VALUE"""),"ONITMIDJ1")</f>
        <v>ONITMIDJ1</v>
      </c>
      <c r="I748" s="5">
        <f>IFERROR(__xludf.DUMMYFUNCTION("""COMPUTED_VALUE"""),6.0)</f>
        <v>6</v>
      </c>
      <c r="J748" s="4" t="str">
        <f>IFERROR(__xludf.DUMMYFUNCTION("""COMPUTED_VALUE"""),"Tier 4")</f>
        <v>Tier 4</v>
      </c>
      <c r="K748" s="4" t="str">
        <f>IFERROR(__xludf.DUMMYFUNCTION("""COMPUTED_VALUE"""),"Active")</f>
        <v>Active</v>
      </c>
      <c r="L748" s="4" t="str">
        <f>IFERROR(__xludf.DUMMYFUNCTION("""COMPUTED_VALUE"""),"BigQuery")</f>
        <v>BigQuery</v>
      </c>
    </row>
    <row r="749">
      <c r="A749" s="4" t="str">
        <f>IFERROR(__xludf.DUMMYFUNCTION("""COMPUTED_VALUE"""),"DME2776")</f>
        <v>DME2776</v>
      </c>
      <c r="B749" s="4" t="str">
        <f>IFERROR(__xludf.DUMMYFUNCTION("""COMPUTED_VALUE"""),"Pradnya Kailas Kate")</f>
        <v>Pradnya Kailas Kate</v>
      </c>
      <c r="C749" s="4" t="str">
        <f>IFERROR(__xludf.DUMMYFUNCTION("""COMPUTED_VALUE"""),"pradnya.kate@onixnet.com")</f>
        <v>pradnya.kate@onixnet.com</v>
      </c>
      <c r="D749" s="4" t="str">
        <f>IFERROR(__xludf.DUMMYFUNCTION("""COMPUTED_VALUE"""),"Active")</f>
        <v>Active</v>
      </c>
      <c r="E749" s="4" t="str">
        <f>IFERROR(__xludf.DUMMYFUNCTION("""COMPUTED_VALUE"""),"Product Engineering")</f>
        <v>Product Engineering</v>
      </c>
      <c r="F749" s="4" t="str">
        <f>IFERROR(__xludf.DUMMYFUNCTION("""COMPUTED_VALUE"""),"Anil Aleppy")</f>
        <v>Anil Aleppy</v>
      </c>
      <c r="G749" s="4" t="str">
        <f>IFERROR(__xludf.DUMMYFUNCTION("""COMPUTED_VALUE"""),"Cluster - Mayur")</f>
        <v>Cluster - Mayur</v>
      </c>
      <c r="H749" s="4" t="str">
        <f>IFERROR(__xludf.DUMMYFUNCTION("""COMPUTED_VALUE"""),"ONIPKBWB0")</f>
        <v>ONIPKBWB0</v>
      </c>
      <c r="I749" s="5">
        <f>IFERROR(__xludf.DUMMYFUNCTION("""COMPUTED_VALUE"""),9.0)</f>
        <v>9</v>
      </c>
      <c r="J749" s="4" t="str">
        <f>IFERROR(__xludf.DUMMYFUNCTION("""COMPUTED_VALUE"""),"Tier 4")</f>
        <v>Tier 4</v>
      </c>
      <c r="K749" s="4" t="str">
        <f>IFERROR(__xludf.DUMMYFUNCTION("""COMPUTED_VALUE"""),"Active")</f>
        <v>Active</v>
      </c>
      <c r="L749" s="4" t="str">
        <f>IFERROR(__xludf.DUMMYFUNCTION("""COMPUTED_VALUE"""),"Google Kubernetes Engine")</f>
        <v>Google Kubernetes Engine</v>
      </c>
    </row>
    <row r="750">
      <c r="A750" s="4" t="str">
        <f>IFERROR(__xludf.DUMMYFUNCTION("""COMPUTED_VALUE"""),"DME2777")</f>
        <v>DME2777</v>
      </c>
      <c r="B750" s="4" t="str">
        <f>IFERROR(__xludf.DUMMYFUNCTION("""COMPUTED_VALUE"""),"Himanshu Tripathi")</f>
        <v>Himanshu Tripathi</v>
      </c>
      <c r="C750" s="4" t="str">
        <f>IFERROR(__xludf.DUMMYFUNCTION("""COMPUTED_VALUE"""),"himanshu.tripathi@onixnet.com")</f>
        <v>himanshu.tripathi@onixnet.com</v>
      </c>
      <c r="D750" s="4" t="str">
        <f>IFERROR(__xludf.DUMMYFUNCTION("""COMPUTED_VALUE"""),"Active")</f>
        <v>Active</v>
      </c>
      <c r="E750" s="4" t="str">
        <f>IFERROR(__xludf.DUMMYFUNCTION("""COMPUTED_VALUE"""),"Delivery Services")</f>
        <v>Delivery Services</v>
      </c>
      <c r="F750" s="4" t="str">
        <f>IFERROR(__xludf.DUMMYFUNCTION("""COMPUTED_VALUE"""),"Anushri Agrawal")</f>
        <v>Anushri Agrawal</v>
      </c>
      <c r="G750" s="4" t="str">
        <f>IFERROR(__xludf.DUMMYFUNCTION("""COMPUTED_VALUE"""),"Cluster - Gaurav")</f>
        <v>Cluster - Gaurav</v>
      </c>
      <c r="H750" s="4" t="str">
        <f>IFERROR(__xludf.DUMMYFUNCTION("""COMPUTED_VALUE"""),"ONIHTMJB1")</f>
        <v>ONIHTMJB1</v>
      </c>
      <c r="I750" s="5">
        <f>IFERROR(__xludf.DUMMYFUNCTION("""COMPUTED_VALUE"""),15.0)</f>
        <v>15</v>
      </c>
      <c r="J750" s="4" t="str">
        <f>IFERROR(__xludf.DUMMYFUNCTION("""COMPUTED_VALUE"""),"Tier 4")</f>
        <v>Tier 4</v>
      </c>
      <c r="K750" s="4" t="str">
        <f>IFERROR(__xludf.DUMMYFUNCTION("""COMPUTED_VALUE"""),"Active")</f>
        <v>Active</v>
      </c>
      <c r="L750" s="4" t="str">
        <f>IFERROR(__xludf.DUMMYFUNCTION("""COMPUTED_VALUE"""),"AI Applications")</f>
        <v>AI Applications</v>
      </c>
    </row>
    <row r="751">
      <c r="A751" s="4" t="str">
        <f>IFERROR(__xludf.DUMMYFUNCTION("""COMPUTED_VALUE"""),"DME2780")</f>
        <v>DME2780</v>
      </c>
      <c r="B751" s="4" t="str">
        <f>IFERROR(__xludf.DUMMYFUNCTION("""COMPUTED_VALUE"""),"Amol Parasram Chopade")</f>
        <v>Amol Parasram Chopade</v>
      </c>
      <c r="C751" s="4" t="str">
        <f>IFERROR(__xludf.DUMMYFUNCTION("""COMPUTED_VALUE"""),"amol.chopade@onixnet.com")</f>
        <v>amol.chopade@onixnet.com</v>
      </c>
      <c r="D751" s="4" t="str">
        <f>IFERROR(__xludf.DUMMYFUNCTION("""COMPUTED_VALUE"""),"Active")</f>
        <v>Active</v>
      </c>
      <c r="E751" s="4" t="str">
        <f>IFERROR(__xludf.DUMMYFUNCTION("""COMPUTED_VALUE"""),"Delivery Services")</f>
        <v>Delivery Services</v>
      </c>
      <c r="F751" s="4" t="str">
        <f>IFERROR(__xludf.DUMMYFUNCTION("""COMPUTED_VALUE"""),"Jitender Singh")</f>
        <v>Jitender Singh</v>
      </c>
      <c r="G751" s="4" t="str">
        <f>IFERROR(__xludf.DUMMYFUNCTION("""COMPUTED_VALUE"""),"Cluster - Gaurav")</f>
        <v>Cluster - Gaurav</v>
      </c>
      <c r="H751" s="4" t="str">
        <f>IFERROR(__xludf.DUMMYFUNCTION("""COMPUTED_VALUE"""),"ONIACMBE0")</f>
        <v>ONIACMBE0</v>
      </c>
      <c r="I751" s="5">
        <f>IFERROR(__xludf.DUMMYFUNCTION("""COMPUTED_VALUE"""),35.0)</f>
        <v>35</v>
      </c>
      <c r="J751" s="4" t="str">
        <f>IFERROR(__xludf.DUMMYFUNCTION("""COMPUTED_VALUE"""),"Tier 2")</f>
        <v>Tier 2</v>
      </c>
      <c r="K751" s="4" t="str">
        <f>IFERROR(__xludf.DUMMYFUNCTION("""COMPUTED_VALUE"""),"Active")</f>
        <v>Active</v>
      </c>
      <c r="L751" s="4" t="str">
        <f>IFERROR(__xludf.DUMMYFUNCTION("""COMPUTED_VALUE"""),"Gemini Enterprise Agent Platform")</f>
        <v>Gemini Enterprise Agent Platform</v>
      </c>
    </row>
    <row r="752">
      <c r="A752" s="4" t="str">
        <f>IFERROR(__xludf.DUMMYFUNCTION("""COMPUTED_VALUE"""),"DME2801")</f>
        <v>DME2801</v>
      </c>
      <c r="B752" s="4" t="str">
        <f>IFERROR(__xludf.DUMMYFUNCTION("""COMPUTED_VALUE"""),"Sunny Mathur")</f>
        <v>Sunny Mathur</v>
      </c>
      <c r="C752" s="4" t="str">
        <f>IFERROR(__xludf.DUMMYFUNCTION("""COMPUTED_VALUE"""),"sunny.mathur@onixnet.com")</f>
        <v>sunny.mathur@onixnet.com</v>
      </c>
      <c r="D752" s="4" t="str">
        <f>IFERROR(__xludf.DUMMYFUNCTION("""COMPUTED_VALUE"""),"Active")</f>
        <v>Active</v>
      </c>
      <c r="E752" s="4" t="str">
        <f>IFERROR(__xludf.DUMMYFUNCTION("""COMPUTED_VALUE"""),"Delivery Services")</f>
        <v>Delivery Services</v>
      </c>
      <c r="F752" s="4" t="str">
        <f>IFERROR(__xludf.DUMMYFUNCTION("""COMPUTED_VALUE"""),"Prasad Pramod Kulkarni")</f>
        <v>Prasad Pramod Kulkarni</v>
      </c>
      <c r="G752" s="4" t="str">
        <f>IFERROR(__xludf.DUMMYFUNCTION("""COMPUTED_VALUE"""),"Cluster - Sagar")</f>
        <v>Cluster - Sagar</v>
      </c>
      <c r="H752" s="4" t="str">
        <f>IFERROR(__xludf.DUMMYFUNCTION("""COMPUTED_VALUE"""),"ONISMHQP1")</f>
        <v>ONISMHQP1</v>
      </c>
      <c r="I752" s="5">
        <f>IFERROR(__xludf.DUMMYFUNCTION("""COMPUTED_VALUE"""),0.0)</f>
        <v>0</v>
      </c>
      <c r="J752" s="4" t="str">
        <f>IFERROR(__xludf.DUMMYFUNCTION("""COMPUTED_VALUE"""),"Tier 4")</f>
        <v>Tier 4</v>
      </c>
      <c r="K752" s="4" t="str">
        <f>IFERROR(__xludf.DUMMYFUNCTION("""COMPUTED_VALUE"""),"ID Created DRP score 0")</f>
        <v>ID Created DRP score 0</v>
      </c>
      <c r="L752" s="4"/>
    </row>
    <row r="753">
      <c r="A753" s="4" t="str">
        <f>IFERROR(__xludf.DUMMYFUNCTION("""COMPUTED_VALUE"""),"DME2796")</f>
        <v>DME2796</v>
      </c>
      <c r="B753" s="4" t="str">
        <f>IFERROR(__xludf.DUMMYFUNCTION("""COMPUTED_VALUE"""),"Vaishnavi Aabasaheb Sakhare")</f>
        <v>Vaishnavi Aabasaheb Sakhare</v>
      </c>
      <c r="C753" s="4" t="str">
        <f>IFERROR(__xludf.DUMMYFUNCTION("""COMPUTED_VALUE"""),"vaishnavi.sakhare@onixnet.com")</f>
        <v>vaishnavi.sakhare@onixnet.com</v>
      </c>
      <c r="D753" s="4" t="str">
        <f>IFERROR(__xludf.DUMMYFUNCTION("""COMPUTED_VALUE"""),"Active")</f>
        <v>Active</v>
      </c>
      <c r="E753" s="4" t="str">
        <f>IFERROR(__xludf.DUMMYFUNCTION("""COMPUTED_VALUE"""),"Delivery Services")</f>
        <v>Delivery Services</v>
      </c>
      <c r="F753" s="4" t="str">
        <f>IFERROR(__xludf.DUMMYFUNCTION("""COMPUTED_VALUE"""),"Shubham Agnihotri")</f>
        <v>Shubham Agnihotri</v>
      </c>
      <c r="G753" s="4" t="str">
        <f>IFERROR(__xludf.DUMMYFUNCTION("""COMPUTED_VALUE"""),"Cluster - Gaurav")</f>
        <v>Cluster - Gaurav</v>
      </c>
      <c r="H753" s="4" t="str">
        <f>IFERROR(__xludf.DUMMYFUNCTION("""COMPUTED_VALUE"""),"ONIVSXBT9")</f>
        <v>ONIVSXBT9</v>
      </c>
      <c r="I753" s="5">
        <f>IFERROR(__xludf.DUMMYFUNCTION("""COMPUTED_VALUE"""),5.0)</f>
        <v>5</v>
      </c>
      <c r="J753" s="4" t="str">
        <f>IFERROR(__xludf.DUMMYFUNCTION("""COMPUTED_VALUE"""),"Tier 4")</f>
        <v>Tier 4</v>
      </c>
      <c r="K753" s="4" t="str">
        <f>IFERROR(__xludf.DUMMYFUNCTION("""COMPUTED_VALUE"""),"Active")</f>
        <v>Active</v>
      </c>
      <c r="L753" s="4" t="str">
        <f>IFERROR(__xludf.DUMMYFUNCTION("""COMPUTED_VALUE"""),"Gemini Enterprise Agent Platform")</f>
        <v>Gemini Enterprise Agent Platform</v>
      </c>
    </row>
    <row r="754">
      <c r="A754" s="4" t="str">
        <f>IFERROR(__xludf.DUMMYFUNCTION("""COMPUTED_VALUE"""),"DME2784")</f>
        <v>DME2784</v>
      </c>
      <c r="B754" s="4" t="str">
        <f>IFERROR(__xludf.DUMMYFUNCTION("""COMPUTED_VALUE"""),"Ayush Kumar Poddar")</f>
        <v>Ayush Kumar Poddar</v>
      </c>
      <c r="C754" s="4" t="str">
        <f>IFERROR(__xludf.DUMMYFUNCTION("""COMPUTED_VALUE"""),"ayush.poddar@onixnet.com")</f>
        <v>ayush.poddar@onixnet.com</v>
      </c>
      <c r="D754" s="4" t="str">
        <f>IFERROR(__xludf.DUMMYFUNCTION("""COMPUTED_VALUE"""),"Active")</f>
        <v>Active</v>
      </c>
      <c r="E754" s="4" t="str">
        <f>IFERROR(__xludf.DUMMYFUNCTION("""COMPUTED_VALUE"""),"Delivery Services")</f>
        <v>Delivery Services</v>
      </c>
      <c r="F754" s="4" t="str">
        <f>IFERROR(__xludf.DUMMYFUNCTION("""COMPUTED_VALUE"""),"Poonam Sharma")</f>
        <v>Poonam Sharma</v>
      </c>
      <c r="G754" s="4" t="str">
        <f>IFERROR(__xludf.DUMMYFUNCTION("""COMPUTED_VALUE"""),"Cluster - Sachin")</f>
        <v>Cluster - Sachin</v>
      </c>
      <c r="H754" s="4" t="str">
        <f>IFERROR(__xludf.DUMMYFUNCTION("""COMPUTED_VALUE"""),"ONIAPGGG6")</f>
        <v>ONIAPGGG6</v>
      </c>
      <c r="I754" s="5">
        <f>IFERROR(__xludf.DUMMYFUNCTION("""COMPUTED_VALUE"""),45.0)</f>
        <v>45</v>
      </c>
      <c r="J754" s="4" t="str">
        <f>IFERROR(__xludf.DUMMYFUNCTION("""COMPUTED_VALUE"""),"Tier 2")</f>
        <v>Tier 2</v>
      </c>
      <c r="K754" s="4" t="str">
        <f>IFERROR(__xludf.DUMMYFUNCTION("""COMPUTED_VALUE"""),"Active")</f>
        <v>Active</v>
      </c>
      <c r="L754" s="4" t="str">
        <f>IFERROR(__xludf.DUMMYFUNCTION("""COMPUTED_VALUE"""),"Gemini Enterprise Agent Platform")</f>
        <v>Gemini Enterprise Agent Platform</v>
      </c>
    </row>
    <row r="755">
      <c r="A755" s="4" t="str">
        <f>IFERROR(__xludf.DUMMYFUNCTION("""COMPUTED_VALUE"""),"DME2788")</f>
        <v>DME2788</v>
      </c>
      <c r="B755" s="4" t="str">
        <f>IFERROR(__xludf.DUMMYFUNCTION("""COMPUTED_VALUE"""),"Jigardeep Singh Bhatia")</f>
        <v>Jigardeep Singh Bhatia</v>
      </c>
      <c r="C755" s="4" t="str">
        <f>IFERROR(__xludf.DUMMYFUNCTION("""COMPUTED_VALUE"""),"jigardeep.bhatia@onixnet.com")</f>
        <v>jigardeep.bhatia@onixnet.com</v>
      </c>
      <c r="D755" s="4" t="str">
        <f>IFERROR(__xludf.DUMMYFUNCTION("""COMPUTED_VALUE"""),"Active")</f>
        <v>Active</v>
      </c>
      <c r="E755" s="4" t="str">
        <f>IFERROR(__xludf.DUMMYFUNCTION("""COMPUTED_VALUE"""),"Eagle Assessment")</f>
        <v>Eagle Assessment</v>
      </c>
      <c r="F755" s="4" t="str">
        <f>IFERROR(__xludf.DUMMYFUNCTION("""COMPUTED_VALUE"""),"Ankit Khandelwal")</f>
        <v>Ankit Khandelwal</v>
      </c>
      <c r="G755" s="4" t="str">
        <f>IFERROR(__xludf.DUMMYFUNCTION("""COMPUTED_VALUE"""),"Cluster - Kalpa")</f>
        <v>Cluster - Kalpa</v>
      </c>
      <c r="H755" s="4" t="str">
        <f>IFERROR(__xludf.DUMMYFUNCTION("""COMPUTED_VALUE"""),"ONIJBBFP5")</f>
        <v>ONIJBBFP5</v>
      </c>
      <c r="I755" s="5">
        <f>IFERROR(__xludf.DUMMYFUNCTION("""COMPUTED_VALUE"""),37.0)</f>
        <v>37</v>
      </c>
      <c r="J755" s="4" t="str">
        <f>IFERROR(__xludf.DUMMYFUNCTION("""COMPUTED_VALUE"""),"Tier 2")</f>
        <v>Tier 2</v>
      </c>
      <c r="K755" s="4" t="str">
        <f>IFERROR(__xludf.DUMMYFUNCTION("""COMPUTED_VALUE"""),"Active")</f>
        <v>Active</v>
      </c>
      <c r="L755" s="4" t="str">
        <f>IFERROR(__xludf.DUMMYFUNCTION("""COMPUTED_VALUE"""),"Gemini Enterprise Agent Platform")</f>
        <v>Gemini Enterprise Agent Platform</v>
      </c>
    </row>
    <row r="756">
      <c r="A756" s="4" t="str">
        <f>IFERROR(__xludf.DUMMYFUNCTION("""COMPUTED_VALUE"""),"DME2797")</f>
        <v>DME2797</v>
      </c>
      <c r="B756" s="4" t="str">
        <f>IFERROR(__xludf.DUMMYFUNCTION("""COMPUTED_VALUE"""),"Ajay Kate")</f>
        <v>Ajay Kate</v>
      </c>
      <c r="C756" s="4" t="str">
        <f>IFERROR(__xludf.DUMMYFUNCTION("""COMPUTED_VALUE"""),"ajay.kate@onixnet.com")</f>
        <v>ajay.kate@onixnet.com</v>
      </c>
      <c r="D756" s="4" t="str">
        <f>IFERROR(__xludf.DUMMYFUNCTION("""COMPUTED_VALUE"""),"Active")</f>
        <v>Active</v>
      </c>
      <c r="E756" s="4" t="str">
        <f>IFERROR(__xludf.DUMMYFUNCTION("""COMPUTED_VALUE"""),"Delivery Services")</f>
        <v>Delivery Services</v>
      </c>
      <c r="F756" s="4" t="str">
        <f>IFERROR(__xludf.DUMMYFUNCTION("""COMPUTED_VALUE"""),"Jitender Singh")</f>
        <v>Jitender Singh</v>
      </c>
      <c r="G756" s="4" t="str">
        <f>IFERROR(__xludf.DUMMYFUNCTION("""COMPUTED_VALUE"""),"Cluster - Gaurav")</f>
        <v>Cluster - Gaurav</v>
      </c>
      <c r="H756" s="4" t="str">
        <f>IFERROR(__xludf.DUMMYFUNCTION("""COMPUTED_VALUE"""),"ONIAKFKY2")</f>
        <v>ONIAKFKY2</v>
      </c>
      <c r="I756" s="5">
        <f>IFERROR(__xludf.DUMMYFUNCTION("""COMPUTED_VALUE"""),10.0)</f>
        <v>10</v>
      </c>
      <c r="J756" s="4" t="str">
        <f>IFERROR(__xludf.DUMMYFUNCTION("""COMPUTED_VALUE"""),"Tier 4")</f>
        <v>Tier 4</v>
      </c>
      <c r="K756" s="4" t="str">
        <f>IFERROR(__xludf.DUMMYFUNCTION("""COMPUTED_VALUE"""),"Active")</f>
        <v>Active</v>
      </c>
      <c r="L756" s="4" t="str">
        <f>IFERROR(__xludf.DUMMYFUNCTION("""COMPUTED_VALUE"""),"BigQuery")</f>
        <v>BigQuery</v>
      </c>
    </row>
    <row r="757">
      <c r="A757" s="4" t="str">
        <f>IFERROR(__xludf.DUMMYFUNCTION("""COMPUTED_VALUE"""),"DME2785")</f>
        <v>DME2785</v>
      </c>
      <c r="B757" s="4" t="str">
        <f>IFERROR(__xludf.DUMMYFUNCTION("""COMPUTED_VALUE"""),"Chinmay Uday Kapote")</f>
        <v>Chinmay Uday Kapote</v>
      </c>
      <c r="C757" s="4" t="str">
        <f>IFERROR(__xludf.DUMMYFUNCTION("""COMPUTED_VALUE"""),"chinmay.kapote@onixnet.com")</f>
        <v>chinmay.kapote@onixnet.com</v>
      </c>
      <c r="D757" s="4" t="str">
        <f>IFERROR(__xludf.DUMMYFUNCTION("""COMPUTED_VALUE"""),"Active")</f>
        <v>Active</v>
      </c>
      <c r="E757" s="4" t="str">
        <f>IFERROR(__xludf.DUMMYFUNCTION("""COMPUTED_VALUE"""),"Delivery Services")</f>
        <v>Delivery Services</v>
      </c>
      <c r="F757" s="4" t="str">
        <f>IFERROR(__xludf.DUMMYFUNCTION("""COMPUTED_VALUE"""),"Mayuresh Kedari")</f>
        <v>Mayuresh Kedari</v>
      </c>
      <c r="G757" s="4" t="str">
        <f>IFERROR(__xludf.DUMMYFUNCTION("""COMPUTED_VALUE"""),"Cluster - Gaurav")</f>
        <v>Cluster - Gaurav</v>
      </c>
      <c r="H757" s="4" t="str">
        <f>IFERROR(__xludf.DUMMYFUNCTION("""COMPUTED_VALUE"""),"ONICKNGO2")</f>
        <v>ONICKNGO2</v>
      </c>
      <c r="I757" s="5">
        <f>IFERROR(__xludf.DUMMYFUNCTION("""COMPUTED_VALUE"""),46.0)</f>
        <v>46</v>
      </c>
      <c r="J757" s="4" t="str">
        <f>IFERROR(__xludf.DUMMYFUNCTION("""COMPUTED_VALUE"""),"Tier 2")</f>
        <v>Tier 2</v>
      </c>
      <c r="K757" s="4" t="str">
        <f>IFERROR(__xludf.DUMMYFUNCTION("""COMPUTED_VALUE"""),"Active")</f>
        <v>Active</v>
      </c>
      <c r="L757" s="4" t="str">
        <f>IFERROR(__xludf.DUMMYFUNCTION("""COMPUTED_VALUE"""),"Gemini Enterprise Agent Platform")</f>
        <v>Gemini Enterprise Agent Platform</v>
      </c>
    </row>
    <row r="758">
      <c r="A758" s="4" t="str">
        <f>IFERROR(__xludf.DUMMYFUNCTION("""COMPUTED_VALUE"""),"DME2792")</f>
        <v>DME2792</v>
      </c>
      <c r="B758" s="4" t="str">
        <f>IFERROR(__xludf.DUMMYFUNCTION("""COMPUTED_VALUE"""),"Pratiksha Vijay Bista")</f>
        <v>Pratiksha Vijay Bista</v>
      </c>
      <c r="C758" s="4" t="str">
        <f>IFERROR(__xludf.DUMMYFUNCTION("""COMPUTED_VALUE"""),"pratiksha.bista@onixnet.com")</f>
        <v>pratiksha.bista@onixnet.com</v>
      </c>
      <c r="D758" s="4" t="str">
        <f>IFERROR(__xludf.DUMMYFUNCTION("""COMPUTED_VALUE"""),"Active")</f>
        <v>Active</v>
      </c>
      <c r="E758" s="4" t="str">
        <f>IFERROR(__xludf.DUMMYFUNCTION("""COMPUTED_VALUE"""),"Product Engineering")</f>
        <v>Product Engineering</v>
      </c>
      <c r="F758" s="4" t="str">
        <f>IFERROR(__xludf.DUMMYFUNCTION("""COMPUTED_VALUE"""),"Savan Tak")</f>
        <v>Savan Tak</v>
      </c>
      <c r="G758" s="4" t="str">
        <f>IFERROR(__xludf.DUMMYFUNCTION("""COMPUTED_VALUE"""),"Cluster - Mayur")</f>
        <v>Cluster - Mayur</v>
      </c>
      <c r="H758" s="4" t="str">
        <f>IFERROR(__xludf.DUMMYFUNCTION("""COMPUTED_VALUE"""),"ONIPBXKX9")</f>
        <v>ONIPBXKX9</v>
      </c>
      <c r="I758" s="5">
        <f>IFERROR(__xludf.DUMMYFUNCTION("""COMPUTED_VALUE"""),5.0)</f>
        <v>5</v>
      </c>
      <c r="J758" s="4" t="str">
        <f>IFERROR(__xludf.DUMMYFUNCTION("""COMPUTED_VALUE"""),"Tier 4")</f>
        <v>Tier 4</v>
      </c>
      <c r="K758" s="4" t="str">
        <f>IFERROR(__xludf.DUMMYFUNCTION("""COMPUTED_VALUE"""),"Active")</f>
        <v>Active</v>
      </c>
      <c r="L758" s="4" t="str">
        <f>IFERROR(__xludf.DUMMYFUNCTION("""COMPUTED_VALUE"""),"Gemini Enterprise Agent Platform")</f>
        <v>Gemini Enterprise Agent Platform</v>
      </c>
    </row>
    <row r="759">
      <c r="A759" s="4" t="str">
        <f>IFERROR(__xludf.DUMMYFUNCTION("""COMPUTED_VALUE"""),"DME2789")</f>
        <v>DME2789</v>
      </c>
      <c r="B759" s="4" t="str">
        <f>IFERROR(__xludf.DUMMYFUNCTION("""COMPUTED_VALUE"""),"Anagha Girish Kulkarni")</f>
        <v>Anagha Girish Kulkarni</v>
      </c>
      <c r="C759" s="4" t="str">
        <f>IFERROR(__xludf.DUMMYFUNCTION("""COMPUTED_VALUE"""),"anagha.kulkarni@onixnet.com")</f>
        <v>anagha.kulkarni@onixnet.com</v>
      </c>
      <c r="D759" s="4" t="str">
        <f>IFERROR(__xludf.DUMMYFUNCTION("""COMPUTED_VALUE"""),"Active")</f>
        <v>Active</v>
      </c>
      <c r="E759" s="4" t="str">
        <f>IFERROR(__xludf.DUMMYFUNCTION("""COMPUTED_VALUE"""),"Delivery Services")</f>
        <v>Delivery Services</v>
      </c>
      <c r="F759" s="4" t="str">
        <f>IFERROR(__xludf.DUMMYFUNCTION("""COMPUTED_VALUE"""),"Anushri Agrawal")</f>
        <v>Anushri Agrawal</v>
      </c>
      <c r="G759" s="4" t="str">
        <f>IFERROR(__xludf.DUMMYFUNCTION("""COMPUTED_VALUE"""),"Cluster - Gaurav")</f>
        <v>Cluster - Gaurav</v>
      </c>
      <c r="H759" s="4" t="str">
        <f>IFERROR(__xludf.DUMMYFUNCTION("""COMPUTED_VALUE"""),"ONIAKUSR6")</f>
        <v>ONIAKUSR6</v>
      </c>
      <c r="I759" s="5">
        <f>IFERROR(__xludf.DUMMYFUNCTION("""COMPUTED_VALUE"""),5.0)</f>
        <v>5</v>
      </c>
      <c r="J759" s="4" t="str">
        <f>IFERROR(__xludf.DUMMYFUNCTION("""COMPUTED_VALUE"""),"Tier 4")</f>
        <v>Tier 4</v>
      </c>
      <c r="K759" s="4" t="str">
        <f>IFERROR(__xludf.DUMMYFUNCTION("""COMPUTED_VALUE"""),"Active")</f>
        <v>Active</v>
      </c>
      <c r="L759" s="4" t="str">
        <f>IFERROR(__xludf.DUMMYFUNCTION("""COMPUTED_VALUE"""),"Gemini Enterprise Agent Platform")</f>
        <v>Gemini Enterprise Agent Platform</v>
      </c>
    </row>
    <row r="760">
      <c r="A760" s="4" t="str">
        <f>IFERROR(__xludf.DUMMYFUNCTION("""COMPUTED_VALUE"""),"DME2791")</f>
        <v>DME2791</v>
      </c>
      <c r="B760" s="4" t="str">
        <f>IFERROR(__xludf.DUMMYFUNCTION("""COMPUTED_VALUE"""),"Pratiksha Tambe")</f>
        <v>Pratiksha Tambe</v>
      </c>
      <c r="C760" s="4" t="str">
        <f>IFERROR(__xludf.DUMMYFUNCTION("""COMPUTED_VALUE"""),"pratiksha.tambe@onixnet.com")</f>
        <v>pratiksha.tambe@onixnet.com</v>
      </c>
      <c r="D760" s="4" t="str">
        <f>IFERROR(__xludf.DUMMYFUNCTION("""COMPUTED_VALUE"""),"Active")</f>
        <v>Active</v>
      </c>
      <c r="E760" s="4" t="str">
        <f>IFERROR(__xludf.DUMMYFUNCTION("""COMPUTED_VALUE"""),"Delivery Services")</f>
        <v>Delivery Services</v>
      </c>
      <c r="F760" s="4" t="str">
        <f>IFERROR(__xludf.DUMMYFUNCTION("""COMPUTED_VALUE"""),"Prabhat Jain")</f>
        <v>Prabhat Jain</v>
      </c>
      <c r="G760" s="4" t="str">
        <f>IFERROR(__xludf.DUMMYFUNCTION("""COMPUTED_VALUE"""),"Cluster - Gaurav")</f>
        <v>Cluster - Gaurav</v>
      </c>
      <c r="H760" s="4" t="str">
        <f>IFERROR(__xludf.DUMMYFUNCTION("""COMPUTED_VALUE"""),"ONIPTFTH5")</f>
        <v>ONIPTFTH5</v>
      </c>
      <c r="I760" s="5">
        <f>IFERROR(__xludf.DUMMYFUNCTION("""COMPUTED_VALUE"""),5.0)</f>
        <v>5</v>
      </c>
      <c r="J760" s="4" t="str">
        <f>IFERROR(__xludf.DUMMYFUNCTION("""COMPUTED_VALUE"""),"Tier 4")</f>
        <v>Tier 4</v>
      </c>
      <c r="K760" s="4" t="str">
        <f>IFERROR(__xludf.DUMMYFUNCTION("""COMPUTED_VALUE"""),"Active")</f>
        <v>Active</v>
      </c>
      <c r="L760" s="4" t="str">
        <f>IFERROR(__xludf.DUMMYFUNCTION("""COMPUTED_VALUE"""),"BigQuery")</f>
        <v>BigQuery</v>
      </c>
    </row>
    <row r="761">
      <c r="A761" s="4" t="str">
        <f>IFERROR(__xludf.DUMMYFUNCTION("""COMPUTED_VALUE"""),"DME2794")</f>
        <v>DME2794</v>
      </c>
      <c r="B761" s="4" t="str">
        <f>IFERROR(__xludf.DUMMYFUNCTION("""COMPUTED_VALUE"""),"Shinde Devyani Jaysing")</f>
        <v>Shinde Devyani Jaysing</v>
      </c>
      <c r="C761" s="4" t="str">
        <f>IFERROR(__xludf.DUMMYFUNCTION("""COMPUTED_VALUE"""),"devyani.shinde@onixnet.com")</f>
        <v>devyani.shinde@onixnet.com</v>
      </c>
      <c r="D761" s="4" t="str">
        <f>IFERROR(__xludf.DUMMYFUNCTION("""COMPUTED_VALUE"""),"Active")</f>
        <v>Active</v>
      </c>
      <c r="E761" s="4" t="str">
        <f>IFERROR(__xludf.DUMMYFUNCTION("""COMPUTED_VALUE"""),"Delivery Services")</f>
        <v>Delivery Services</v>
      </c>
      <c r="F761" s="4" t="str">
        <f>IFERROR(__xludf.DUMMYFUNCTION("""COMPUTED_VALUE"""),"Prabhat Jain")</f>
        <v>Prabhat Jain</v>
      </c>
      <c r="G761" s="4" t="str">
        <f>IFERROR(__xludf.DUMMYFUNCTION("""COMPUTED_VALUE"""),"Cluster - Gaurav")</f>
        <v>Cluster - Gaurav</v>
      </c>
      <c r="H761" s="4" t="str">
        <f>IFERROR(__xludf.DUMMYFUNCTION("""COMPUTED_VALUE"""),"ONIDSRAN0")</f>
        <v>ONIDSRAN0</v>
      </c>
      <c r="I761" s="5">
        <f>IFERROR(__xludf.DUMMYFUNCTION("""COMPUTED_VALUE"""),15.0)</f>
        <v>15</v>
      </c>
      <c r="J761" s="4" t="str">
        <f>IFERROR(__xludf.DUMMYFUNCTION("""COMPUTED_VALUE"""),"Tier 4")</f>
        <v>Tier 4</v>
      </c>
      <c r="K761" s="4" t="str">
        <f>IFERROR(__xludf.DUMMYFUNCTION("""COMPUTED_VALUE"""),"Active")</f>
        <v>Active</v>
      </c>
      <c r="L761" s="4" t="str">
        <f>IFERROR(__xludf.DUMMYFUNCTION("""COMPUTED_VALUE"""),"Gemini Enterprise Agent Platform")</f>
        <v>Gemini Enterprise Agent Platform</v>
      </c>
    </row>
    <row r="762">
      <c r="A762" s="4" t="str">
        <f>IFERROR(__xludf.DUMMYFUNCTION("""COMPUTED_VALUE"""),"DME2790")</f>
        <v>DME2790</v>
      </c>
      <c r="B762" s="4" t="str">
        <f>IFERROR(__xludf.DUMMYFUNCTION("""COMPUTED_VALUE"""),"Mohd Sumama")</f>
        <v>Mohd Sumama</v>
      </c>
      <c r="C762" s="4" t="str">
        <f>IFERROR(__xludf.DUMMYFUNCTION("""COMPUTED_VALUE"""),"mohd.sumama@onixnet.com")</f>
        <v>mohd.sumama@onixnet.com</v>
      </c>
      <c r="D762" s="4" t="str">
        <f>IFERROR(__xludf.DUMMYFUNCTION("""COMPUTED_VALUE"""),"Active")</f>
        <v>Active</v>
      </c>
      <c r="E762" s="4" t="str">
        <f>IFERROR(__xludf.DUMMYFUNCTION("""COMPUTED_VALUE"""),"Delivery Services")</f>
        <v>Delivery Services</v>
      </c>
      <c r="F762" s="4" t="str">
        <f>IFERROR(__xludf.DUMMYFUNCTION("""COMPUTED_VALUE"""),"Arpana Shetty")</f>
        <v>Arpana Shetty</v>
      </c>
      <c r="G762" s="4" t="str">
        <f>IFERROR(__xludf.DUMMYFUNCTION("""COMPUTED_VALUE"""),"Cluster - Gaurav")</f>
        <v>Cluster - Gaurav</v>
      </c>
      <c r="H762" s="4" t="str">
        <f>IFERROR(__xludf.DUMMYFUNCTION("""COMPUTED_VALUE"""),"ONIMSSXO2")</f>
        <v>ONIMSSXO2</v>
      </c>
      <c r="I762" s="5">
        <f>IFERROR(__xludf.DUMMYFUNCTION("""COMPUTED_VALUE"""),45.0)</f>
        <v>45</v>
      </c>
      <c r="J762" s="4" t="str">
        <f>IFERROR(__xludf.DUMMYFUNCTION("""COMPUTED_VALUE"""),"Tier 2")</f>
        <v>Tier 2</v>
      </c>
      <c r="K762" s="4" t="str">
        <f>IFERROR(__xludf.DUMMYFUNCTION("""COMPUTED_VALUE"""),"Active")</f>
        <v>Active</v>
      </c>
      <c r="L762" s="4" t="str">
        <f>IFERROR(__xludf.DUMMYFUNCTION("""COMPUTED_VALUE"""),"Gemini Enterprise Agent Platform")</f>
        <v>Gemini Enterprise Agent Platform</v>
      </c>
    </row>
    <row r="763">
      <c r="A763" s="4" t="str">
        <f>IFERROR(__xludf.DUMMYFUNCTION("""COMPUTED_VALUE"""),"DME2783")</f>
        <v>DME2783</v>
      </c>
      <c r="B763" s="4" t="str">
        <f>IFERROR(__xludf.DUMMYFUNCTION("""COMPUTED_VALUE"""),"Ankit Purushottam Sayane")</f>
        <v>Ankit Purushottam Sayane</v>
      </c>
      <c r="C763" s="4" t="str">
        <f>IFERROR(__xludf.DUMMYFUNCTION("""COMPUTED_VALUE"""),"ankit.sayane@onixnet.com")</f>
        <v>ankit.sayane@onixnet.com</v>
      </c>
      <c r="D763" s="4" t="str">
        <f>IFERROR(__xludf.DUMMYFUNCTION("""COMPUTED_VALUE"""),"Active")</f>
        <v>Active</v>
      </c>
      <c r="E763" s="4" t="str">
        <f>IFERROR(__xludf.DUMMYFUNCTION("""COMPUTED_VALUE"""),"Delivery Services")</f>
        <v>Delivery Services</v>
      </c>
      <c r="F763" s="4" t="str">
        <f>IFERROR(__xludf.DUMMYFUNCTION("""COMPUTED_VALUE"""),"Amit Malav")</f>
        <v>Amit Malav</v>
      </c>
      <c r="G763" s="4" t="str">
        <f>IFERROR(__xludf.DUMMYFUNCTION("""COMPUTED_VALUE"""),"Cluster - Gaurav")</f>
        <v>Cluster - Gaurav</v>
      </c>
      <c r="H763" s="4" t="str">
        <f>IFERROR(__xludf.DUMMYFUNCTION("""COMPUTED_VALUE"""),"ONIASLAB5")</f>
        <v>ONIASLAB5</v>
      </c>
      <c r="I763" s="5">
        <f>IFERROR(__xludf.DUMMYFUNCTION("""COMPUTED_VALUE"""),46.0)</f>
        <v>46</v>
      </c>
      <c r="J763" s="4" t="str">
        <f>IFERROR(__xludf.DUMMYFUNCTION("""COMPUTED_VALUE"""),"Tier 2")</f>
        <v>Tier 2</v>
      </c>
      <c r="K763" s="4" t="str">
        <f>IFERROR(__xludf.DUMMYFUNCTION("""COMPUTED_VALUE"""),"Active")</f>
        <v>Active</v>
      </c>
      <c r="L763" s="4" t="str">
        <f>IFERROR(__xludf.DUMMYFUNCTION("""COMPUTED_VALUE"""),"Gemini Enterprise Agent Platform")</f>
        <v>Gemini Enterprise Agent Platform</v>
      </c>
    </row>
    <row r="764">
      <c r="A764" s="4" t="str">
        <f>IFERROR(__xludf.DUMMYFUNCTION("""COMPUTED_VALUE"""),"DME2795")</f>
        <v>DME2795</v>
      </c>
      <c r="B764" s="4" t="str">
        <f>IFERROR(__xludf.DUMMYFUNCTION("""COMPUTED_VALUE"""),"Shubham Bharat Rokade")</f>
        <v>Shubham Bharat Rokade</v>
      </c>
      <c r="C764" s="4" t="str">
        <f>IFERROR(__xludf.DUMMYFUNCTION("""COMPUTED_VALUE"""),"shubham.rokade@onixnet.com")</f>
        <v>shubham.rokade@onixnet.com</v>
      </c>
      <c r="D764" s="4" t="str">
        <f>IFERROR(__xludf.DUMMYFUNCTION("""COMPUTED_VALUE"""),"Active")</f>
        <v>Active</v>
      </c>
      <c r="E764" s="4" t="str">
        <f>IFERROR(__xludf.DUMMYFUNCTION("""COMPUTED_VALUE"""),"Delivery Services")</f>
        <v>Delivery Services</v>
      </c>
      <c r="F764" s="4" t="str">
        <f>IFERROR(__xludf.DUMMYFUNCTION("""COMPUTED_VALUE"""),"Sushant Patil")</f>
        <v>Sushant Patil</v>
      </c>
      <c r="G764" s="4" t="str">
        <f>IFERROR(__xludf.DUMMYFUNCTION("""COMPUTED_VALUE"""),"Cluster - Gaurav")</f>
        <v>Cluster - Gaurav</v>
      </c>
      <c r="H764" s="4" t="str">
        <f>IFERROR(__xludf.DUMMYFUNCTION("""COMPUTED_VALUE"""),"ONISRMKV3")</f>
        <v>ONISRMKV3</v>
      </c>
      <c r="I764" s="5">
        <f>IFERROR(__xludf.DUMMYFUNCTION("""COMPUTED_VALUE"""),41.0)</f>
        <v>41</v>
      </c>
      <c r="J764" s="4" t="str">
        <f>IFERROR(__xludf.DUMMYFUNCTION("""COMPUTED_VALUE"""),"Tier 2")</f>
        <v>Tier 2</v>
      </c>
      <c r="K764" s="4" t="str">
        <f>IFERROR(__xludf.DUMMYFUNCTION("""COMPUTED_VALUE"""),"Active")</f>
        <v>Active</v>
      </c>
      <c r="L764" s="4" t="str">
        <f>IFERROR(__xludf.DUMMYFUNCTION("""COMPUTED_VALUE"""),"Gemini Enterprise Agent Platform")</f>
        <v>Gemini Enterprise Agent Platform</v>
      </c>
    </row>
    <row r="765">
      <c r="A765" s="4" t="str">
        <f>IFERROR(__xludf.DUMMYFUNCTION("""COMPUTED_VALUE"""),"DME2793")</f>
        <v>DME2793</v>
      </c>
      <c r="B765" s="4" t="str">
        <f>IFERROR(__xludf.DUMMYFUNCTION("""COMPUTED_VALUE"""),"Sai Suresh Kakde")</f>
        <v>Sai Suresh Kakde</v>
      </c>
      <c r="C765" s="4" t="str">
        <f>IFERROR(__xludf.DUMMYFUNCTION("""COMPUTED_VALUE"""),"sai.kakde@onixnet.com")</f>
        <v>sai.kakde@onixnet.com</v>
      </c>
      <c r="D765" s="4" t="str">
        <f>IFERROR(__xludf.DUMMYFUNCTION("""COMPUTED_VALUE"""),"Active")</f>
        <v>Active</v>
      </c>
      <c r="E765" s="4" t="str">
        <f>IFERROR(__xludf.DUMMYFUNCTION("""COMPUTED_VALUE"""),"Delivery Services")</f>
        <v>Delivery Services</v>
      </c>
      <c r="F765" s="4" t="str">
        <f>IFERROR(__xludf.DUMMYFUNCTION("""COMPUTED_VALUE"""),"Manoj Patil")</f>
        <v>Manoj Patil</v>
      </c>
      <c r="G765" s="4" t="str">
        <f>IFERROR(__xludf.DUMMYFUNCTION("""COMPUTED_VALUE"""),"Cluster - Shreepad")</f>
        <v>Cluster - Shreepad</v>
      </c>
      <c r="H765" s="4" t="str">
        <f>IFERROR(__xludf.DUMMYFUNCTION("""COMPUTED_VALUE"""),"ONISKKIR2")</f>
        <v>ONISKKIR2</v>
      </c>
      <c r="I765" s="5">
        <f>IFERROR(__xludf.DUMMYFUNCTION("""COMPUTED_VALUE"""),25.0)</f>
        <v>25</v>
      </c>
      <c r="J765" s="4" t="str">
        <f>IFERROR(__xludf.DUMMYFUNCTION("""COMPUTED_VALUE"""),"Tier 3")</f>
        <v>Tier 3</v>
      </c>
      <c r="K765" s="4" t="str">
        <f>IFERROR(__xludf.DUMMYFUNCTION("""COMPUTED_VALUE"""),"Active")</f>
        <v>Active</v>
      </c>
      <c r="L765" s="4" t="str">
        <f>IFERROR(__xludf.DUMMYFUNCTION("""COMPUTED_VALUE"""),"BigQuery")</f>
        <v>BigQuery</v>
      </c>
    </row>
    <row r="766">
      <c r="A766" s="4" t="str">
        <f>IFERROR(__xludf.DUMMYFUNCTION("""COMPUTED_VALUE"""),"DME2798")</f>
        <v>DME2798</v>
      </c>
      <c r="B766" s="4" t="str">
        <f>IFERROR(__xludf.DUMMYFUNCTION("""COMPUTED_VALUE"""),"Abhishek Tambi")</f>
        <v>Abhishek Tambi</v>
      </c>
      <c r="C766" s="4" t="str">
        <f>IFERROR(__xludf.DUMMYFUNCTION("""COMPUTED_VALUE"""),"abhishek.tambi@onixnet.com")</f>
        <v>abhishek.tambi@onixnet.com</v>
      </c>
      <c r="D766" s="4" t="str">
        <f>IFERROR(__xludf.DUMMYFUNCTION("""COMPUTED_VALUE"""),"Active")</f>
        <v>Active</v>
      </c>
      <c r="E766" s="4" t="str">
        <f>IFERROR(__xludf.DUMMYFUNCTION("""COMPUTED_VALUE"""),"Delivery Services")</f>
        <v>Delivery Services</v>
      </c>
      <c r="F766" s="4" t="str">
        <f>IFERROR(__xludf.DUMMYFUNCTION("""COMPUTED_VALUE"""),"Gayatri Nachiket Bondale")</f>
        <v>Gayatri Nachiket Bondale</v>
      </c>
      <c r="G766" s="4" t="str">
        <f>IFERROR(__xludf.DUMMYFUNCTION("""COMPUTED_VALUE"""),"Cluster - Gaurav")</f>
        <v>Cluster - Gaurav</v>
      </c>
      <c r="H766" s="4" t="str">
        <f>IFERROR(__xludf.DUMMYFUNCTION("""COMPUTED_VALUE"""),"ONIATYQW7")</f>
        <v>ONIATYQW7</v>
      </c>
      <c r="I766" s="5">
        <f>IFERROR(__xludf.DUMMYFUNCTION("""COMPUTED_VALUE"""),5.0)</f>
        <v>5</v>
      </c>
      <c r="J766" s="4" t="str">
        <f>IFERROR(__xludf.DUMMYFUNCTION("""COMPUTED_VALUE"""),"Tier 4")</f>
        <v>Tier 4</v>
      </c>
      <c r="K766" s="4" t="str">
        <f>IFERROR(__xludf.DUMMYFUNCTION("""COMPUTED_VALUE"""),"Active")</f>
        <v>Active</v>
      </c>
      <c r="L766" s="4" t="str">
        <f>IFERROR(__xludf.DUMMYFUNCTION("""COMPUTED_VALUE"""),"Gemini Enterprise Agent Platform")</f>
        <v>Gemini Enterprise Agent Platform</v>
      </c>
    </row>
    <row r="767">
      <c r="A767" s="4" t="str">
        <f>IFERROR(__xludf.DUMMYFUNCTION("""COMPUTED_VALUE"""),"DME2799")</f>
        <v>DME2799</v>
      </c>
      <c r="B767" s="4" t="str">
        <f>IFERROR(__xludf.DUMMYFUNCTION("""COMPUTED_VALUE"""),"Yashi Sahu")</f>
        <v>Yashi Sahu</v>
      </c>
      <c r="C767" s="4" t="str">
        <f>IFERROR(__xludf.DUMMYFUNCTION("""COMPUTED_VALUE"""),"yashi.sahu@onixnet.com")</f>
        <v>yashi.sahu@onixnet.com</v>
      </c>
      <c r="D767" s="4" t="str">
        <f>IFERROR(__xludf.DUMMYFUNCTION("""COMPUTED_VALUE"""),"Active")</f>
        <v>Active</v>
      </c>
      <c r="E767" s="4" t="str">
        <f>IFERROR(__xludf.DUMMYFUNCTION("""COMPUTED_VALUE"""),"Delivery Services")</f>
        <v>Delivery Services</v>
      </c>
      <c r="F767" s="4" t="str">
        <f>IFERROR(__xludf.DUMMYFUNCTION("""COMPUTED_VALUE"""),"Pooja Chawda")</f>
        <v>Pooja Chawda</v>
      </c>
      <c r="G767" s="4" t="str">
        <f>IFERROR(__xludf.DUMMYFUNCTION("""COMPUTED_VALUE"""),"Cluster - Sandeep")</f>
        <v>Cluster - Sandeep</v>
      </c>
      <c r="H767" s="4" t="str">
        <f>IFERROR(__xludf.DUMMYFUNCTION("""COMPUTED_VALUE"""),"ONIYSVLQ3")</f>
        <v>ONIYSVLQ3</v>
      </c>
      <c r="I767" s="5">
        <f>IFERROR(__xludf.DUMMYFUNCTION("""COMPUTED_VALUE"""),47.0)</f>
        <v>47</v>
      </c>
      <c r="J767" s="4" t="str">
        <f>IFERROR(__xludf.DUMMYFUNCTION("""COMPUTED_VALUE"""),"Tier 2")</f>
        <v>Tier 2</v>
      </c>
      <c r="K767" s="4" t="str">
        <f>IFERROR(__xludf.DUMMYFUNCTION("""COMPUTED_VALUE"""),"Active")</f>
        <v>Active</v>
      </c>
      <c r="L767" s="4" t="str">
        <f>IFERROR(__xludf.DUMMYFUNCTION("""COMPUTED_VALUE"""),"Gemini Enterprise Agent Platform")</f>
        <v>Gemini Enterprise Agent Platform</v>
      </c>
    </row>
    <row r="768">
      <c r="A768" s="4" t="str">
        <f>IFERROR(__xludf.DUMMYFUNCTION("""COMPUTED_VALUE"""),"DME2800")</f>
        <v>DME2800</v>
      </c>
      <c r="B768" s="4" t="str">
        <f>IFERROR(__xludf.DUMMYFUNCTION("""COMPUTED_VALUE"""),"Tanish Mall")</f>
        <v>Tanish Mall</v>
      </c>
      <c r="C768" s="4" t="str">
        <f>IFERROR(__xludf.DUMMYFUNCTION("""COMPUTED_VALUE"""),"tanish.mall@onixnet.com")</f>
        <v>tanish.mall@onixnet.com</v>
      </c>
      <c r="D768" s="4" t="str">
        <f>IFERROR(__xludf.DUMMYFUNCTION("""COMPUTED_VALUE"""),"Active")</f>
        <v>Active</v>
      </c>
      <c r="E768" s="4" t="str">
        <f>IFERROR(__xludf.DUMMYFUNCTION("""COMPUTED_VALUE"""),"Delivery Services")</f>
        <v>Delivery Services</v>
      </c>
      <c r="F768" s="4" t="str">
        <f>IFERROR(__xludf.DUMMYFUNCTION("""COMPUTED_VALUE"""),"Aarti Borhade")</f>
        <v>Aarti Borhade</v>
      </c>
      <c r="G768" s="4" t="str">
        <f>IFERROR(__xludf.DUMMYFUNCTION("""COMPUTED_VALUE"""),"Cluster - Sagar")</f>
        <v>Cluster - Sagar</v>
      </c>
      <c r="H768" s="4" t="str">
        <f>IFERROR(__xludf.DUMMYFUNCTION("""COMPUTED_VALUE"""),"ONITMNNU2")</f>
        <v>ONITMNNU2</v>
      </c>
      <c r="I768" s="5">
        <f>IFERROR(__xludf.DUMMYFUNCTION("""COMPUTED_VALUE"""),30.0)</f>
        <v>30</v>
      </c>
      <c r="J768" s="4" t="str">
        <f>IFERROR(__xludf.DUMMYFUNCTION("""COMPUTED_VALUE"""),"Tier 3")</f>
        <v>Tier 3</v>
      </c>
      <c r="K768" s="4" t="str">
        <f>IFERROR(__xludf.DUMMYFUNCTION("""COMPUTED_VALUE"""),"Active")</f>
        <v>Active</v>
      </c>
      <c r="L768" s="4" t="str">
        <f>IFERROR(__xludf.DUMMYFUNCTION("""COMPUTED_VALUE"""),"Gemini Enterprise")</f>
        <v>Gemini Enterprise</v>
      </c>
    </row>
    <row r="769">
      <c r="A769" s="4" t="str">
        <f>IFERROR(__xludf.DUMMYFUNCTION("""COMPUTED_VALUE"""),"DME2802")</f>
        <v>DME2802</v>
      </c>
      <c r="B769" s="4" t="str">
        <f>IFERROR(__xludf.DUMMYFUNCTION("""COMPUTED_VALUE"""),"Nitesh Verma")</f>
        <v>Nitesh Verma</v>
      </c>
      <c r="C769" s="4" t="str">
        <f>IFERROR(__xludf.DUMMYFUNCTION("""COMPUTED_VALUE"""),"nitesh.verma@onixnet.com")</f>
        <v>nitesh.verma@onixnet.com</v>
      </c>
      <c r="D769" s="4" t="str">
        <f>IFERROR(__xludf.DUMMYFUNCTION("""COMPUTED_VALUE"""),"Active")</f>
        <v>Active</v>
      </c>
      <c r="E769" s="4" t="str">
        <f>IFERROR(__xludf.DUMMYFUNCTION("""COMPUTED_VALUE"""),"Delivery Services")</f>
        <v>Delivery Services</v>
      </c>
      <c r="F769" s="4" t="str">
        <f>IFERROR(__xludf.DUMMYFUNCTION("""COMPUTED_VALUE"""),"Varunesh Khandelwal")</f>
        <v>Varunesh Khandelwal</v>
      </c>
      <c r="G769" s="4" t="str">
        <f>IFERROR(__xludf.DUMMYFUNCTION("""COMPUTED_VALUE"""),"Cluster - Gaurav")</f>
        <v>Cluster - Gaurav</v>
      </c>
      <c r="H769" s="4"/>
      <c r="I769" s="5"/>
      <c r="J769" s="4"/>
      <c r="K769" s="4" t="str">
        <f>IFERROR(__xludf.DUMMYFUNCTION("""COMPUTED_VALUE"""),"ID Not Created")</f>
        <v>ID Not Created</v>
      </c>
      <c r="L769" s="4"/>
    </row>
    <row r="770">
      <c r="A770" s="4" t="str">
        <f>IFERROR(__xludf.DUMMYFUNCTION("""COMPUTED_VALUE"""),"DME2803")</f>
        <v>DME2803</v>
      </c>
      <c r="B770" s="4" t="str">
        <f>IFERROR(__xludf.DUMMYFUNCTION("""COMPUTED_VALUE"""),"Shubham Waman Pawade")</f>
        <v>Shubham Waman Pawade</v>
      </c>
      <c r="C770" s="4" t="str">
        <f>IFERROR(__xludf.DUMMYFUNCTION("""COMPUTED_VALUE"""),"shubham.pawade@onixnet.com")</f>
        <v>shubham.pawade@onixnet.com</v>
      </c>
      <c r="D770" s="4" t="str">
        <f>IFERROR(__xludf.DUMMYFUNCTION("""COMPUTED_VALUE"""),"Active")</f>
        <v>Active</v>
      </c>
      <c r="E770" s="4" t="str">
        <f>IFERROR(__xludf.DUMMYFUNCTION("""COMPUTED_VALUE"""),"Product Engineering")</f>
        <v>Product Engineering</v>
      </c>
      <c r="F770" s="4" t="str">
        <f>IFERROR(__xludf.DUMMYFUNCTION("""COMPUTED_VALUE"""),"Savan Tak")</f>
        <v>Savan Tak</v>
      </c>
      <c r="G770" s="4" t="str">
        <f>IFERROR(__xludf.DUMMYFUNCTION("""COMPUTED_VALUE"""),"Cluster - Mayur")</f>
        <v>Cluster - Mayur</v>
      </c>
      <c r="H770" s="4"/>
      <c r="I770" s="5"/>
      <c r="J770" s="4"/>
      <c r="K770" s="4" t="str">
        <f>IFERROR(__xludf.DUMMYFUNCTION("""COMPUTED_VALUE"""),"ID Not Created")</f>
        <v>ID Not Created</v>
      </c>
      <c r="L770" s="4"/>
    </row>
    <row r="771">
      <c r="A771" s="4" t="str">
        <f>IFERROR(__xludf.DUMMYFUNCTION("""COMPUTED_VALUE"""),"ONIX404")</f>
        <v>ONIX404</v>
      </c>
      <c r="B771" s="4" t="str">
        <f>IFERROR(__xludf.DUMMYFUNCTION("""COMPUTED_VALUE"""),"Yui Neng -Dany- Lan Hing Lit")</f>
        <v>Yui Neng -Dany- Lan Hing Lit</v>
      </c>
      <c r="C771" s="4" t="str">
        <f>IFERROR(__xludf.DUMMYFUNCTION("""COMPUTED_VALUE"""),"dany.lan@onixnet.com")</f>
        <v>dany.lan@onixnet.com</v>
      </c>
      <c r="D771" s="4" t="str">
        <f>IFERROR(__xludf.DUMMYFUNCTION("""COMPUTED_VALUE"""),"Active")</f>
        <v>Active</v>
      </c>
      <c r="E771" s="4" t="str">
        <f>IFERROR(__xludf.DUMMYFUNCTION("""COMPUTED_VALUE"""),"Services")</f>
        <v>Services</v>
      </c>
      <c r="F771" s="4" t="str">
        <f>IFERROR(__xludf.DUMMYFUNCTION("""COMPUTED_VALUE"""),"Justin McKibben")</f>
        <v>Justin McKibben</v>
      </c>
      <c r="G771" s="4" t="str">
        <f>IFERROR(__xludf.DUMMYFUNCTION("""COMPUTED_VALUE"""),"Portfolio - Courtney (US East)")</f>
        <v>Portfolio - Courtney (US East)</v>
      </c>
      <c r="H771" s="4" t="str">
        <f>IFERROR(__xludf.DUMMYFUNCTION("""COMPUTED_VALUE"""),"ONIDLAKK0")</f>
        <v>ONIDLAKK0</v>
      </c>
      <c r="I771" s="5">
        <f>IFERROR(__xludf.DUMMYFUNCTION("""COMPUTED_VALUE"""),9.0)</f>
        <v>9</v>
      </c>
      <c r="J771" s="4" t="str">
        <f>IFERROR(__xludf.DUMMYFUNCTION("""COMPUTED_VALUE"""),"Tier 4")</f>
        <v>Tier 4</v>
      </c>
      <c r="K771" s="4" t="str">
        <f>IFERROR(__xludf.DUMMYFUNCTION("""COMPUTED_VALUE"""),"Active")</f>
        <v>Active</v>
      </c>
      <c r="L771" s="4" t="str">
        <f>IFERROR(__xludf.DUMMYFUNCTION("""COMPUTED_VALUE"""),"Google Kubernetes Engine")</f>
        <v>Google Kubernetes Engine</v>
      </c>
    </row>
    <row r="772">
      <c r="A772" s="4" t="str">
        <f>IFERROR(__xludf.DUMMYFUNCTION("""COMPUTED_VALUE"""),"ONIX651")</f>
        <v>ONIX651</v>
      </c>
      <c r="B772" s="4" t="str">
        <f>IFERROR(__xludf.DUMMYFUNCTION("""COMPUTED_VALUE"""),"Mallory Webber")</f>
        <v>Mallory Webber</v>
      </c>
      <c r="C772" s="4" t="str">
        <f>IFERROR(__xludf.DUMMYFUNCTION("""COMPUTED_VALUE"""),"mallory.webber@onixnet.com")</f>
        <v>mallory.webber@onixnet.com</v>
      </c>
      <c r="D772" s="4" t="str">
        <f>IFERROR(__xludf.DUMMYFUNCTION("""COMPUTED_VALUE"""),"Active")</f>
        <v>Active</v>
      </c>
      <c r="E772" s="4" t="str">
        <f>IFERROR(__xludf.DUMMYFUNCTION("""COMPUTED_VALUE"""),"Services")</f>
        <v>Services</v>
      </c>
      <c r="F772" s="4" t="str">
        <f>IFERROR(__xludf.DUMMYFUNCTION("""COMPUTED_VALUE"""),"LeePatrick McIntire")</f>
        <v>LeePatrick McIntire</v>
      </c>
      <c r="G772" s="4" t="str">
        <f>IFERROR(__xludf.DUMMYFUNCTION("""COMPUTED_VALUE"""),"Portfolio - Scott")</f>
        <v>Portfolio - Scott</v>
      </c>
      <c r="H772" s="4" t="str">
        <f>IFERROR(__xludf.DUMMYFUNCTION("""COMPUTED_VALUE"""),"ONIMWDJY2")</f>
        <v>ONIMWDJY2</v>
      </c>
      <c r="I772" s="5">
        <f>IFERROR(__xludf.DUMMYFUNCTION("""COMPUTED_VALUE"""),63.0)</f>
        <v>63</v>
      </c>
      <c r="J772" s="4" t="str">
        <f>IFERROR(__xludf.DUMMYFUNCTION("""COMPUTED_VALUE"""),"Tier 1")</f>
        <v>Tier 1</v>
      </c>
      <c r="K772" s="4" t="str">
        <f>IFERROR(__xludf.DUMMYFUNCTION("""COMPUTED_VALUE"""),"Active")</f>
        <v>Active</v>
      </c>
      <c r="L772" s="4" t="str">
        <f>IFERROR(__xludf.DUMMYFUNCTION("""COMPUTED_VALUE"""),"Gemini Enterprise")</f>
        <v>Gemini Enterprise</v>
      </c>
    </row>
    <row r="773">
      <c r="A773" s="4" t="str">
        <f>IFERROR(__xludf.DUMMYFUNCTION("""COMPUTED_VALUE"""),"ONIX656")</f>
        <v>ONIX656</v>
      </c>
      <c r="B773" s="4" t="str">
        <f>IFERROR(__xludf.DUMMYFUNCTION("""COMPUTED_VALUE"""),"Phillip Weston")</f>
        <v>Phillip Weston</v>
      </c>
      <c r="C773" s="4" t="str">
        <f>IFERROR(__xludf.DUMMYFUNCTION("""COMPUTED_VALUE"""),"phillip.weston@onixnet.com")</f>
        <v>phillip.weston@onixnet.com</v>
      </c>
      <c r="D773" s="4" t="str">
        <f>IFERROR(__xludf.DUMMYFUNCTION("""COMPUTED_VALUE"""),"Active")</f>
        <v>Active</v>
      </c>
      <c r="E773" s="4" t="str">
        <f>IFERROR(__xludf.DUMMYFUNCTION("""COMPUTED_VALUE"""),"Services")</f>
        <v>Services</v>
      </c>
      <c r="F773" s="4" t="str">
        <f>IFERROR(__xludf.DUMMYFUNCTION("""COMPUTED_VALUE"""),"LeePatrick McIntire")</f>
        <v>LeePatrick McIntire</v>
      </c>
      <c r="G773" s="4" t="str">
        <f>IFERROR(__xludf.DUMMYFUNCTION("""COMPUTED_VALUE"""),"Portfolio - Thomas (AI)")</f>
        <v>Portfolio - Thomas (AI)</v>
      </c>
      <c r="H773" s="4" t="str">
        <f>IFERROR(__xludf.DUMMYFUNCTION("""COMPUTED_VALUE"""),"ONIPWZNW0")</f>
        <v>ONIPWZNW0</v>
      </c>
      <c r="I773" s="5">
        <f>IFERROR(__xludf.DUMMYFUNCTION("""COMPUTED_VALUE"""),39.0)</f>
        <v>39</v>
      </c>
      <c r="J773" s="4" t="str">
        <f>IFERROR(__xludf.DUMMYFUNCTION("""COMPUTED_VALUE"""),"Tier 2")</f>
        <v>Tier 2</v>
      </c>
      <c r="K773" s="4" t="str">
        <f>IFERROR(__xludf.DUMMYFUNCTION("""COMPUTED_VALUE"""),"Active")</f>
        <v>Active</v>
      </c>
      <c r="L773" s="4" t="str">
        <f>IFERROR(__xludf.DUMMYFUNCTION("""COMPUTED_VALUE"""),"Gemini Enterprise Agent Platform")</f>
        <v>Gemini Enterprise Agent Platform</v>
      </c>
    </row>
    <row r="774">
      <c r="A774" s="4" t="str">
        <f>IFERROR(__xludf.DUMMYFUNCTION("""COMPUTED_VALUE"""),"ONIX678")</f>
        <v>ONIX678</v>
      </c>
      <c r="B774" s="4" t="str">
        <f>IFERROR(__xludf.DUMMYFUNCTION("""COMPUTED_VALUE"""),"Suchitra Nagarajan")</f>
        <v>Suchitra Nagarajan</v>
      </c>
      <c r="C774" s="4" t="str">
        <f>IFERROR(__xludf.DUMMYFUNCTION("""COMPUTED_VALUE"""),"suchitra.nagarajan@onixnet.com")</f>
        <v>suchitra.nagarajan@onixnet.com</v>
      </c>
      <c r="D774" s="4" t="str">
        <f>IFERROR(__xludf.DUMMYFUNCTION("""COMPUTED_VALUE"""),"Active")</f>
        <v>Active</v>
      </c>
      <c r="E774" s="4" t="str">
        <f>IFERROR(__xludf.DUMMYFUNCTION("""COMPUTED_VALUE"""),"Services")</f>
        <v>Services</v>
      </c>
      <c r="F774" s="4" t="str">
        <f>IFERROR(__xludf.DUMMYFUNCTION("""COMPUTED_VALUE"""),"James Vandermost")</f>
        <v>James Vandermost</v>
      </c>
      <c r="G774" s="4" t="str">
        <f>IFERROR(__xludf.DUMMYFUNCTION("""COMPUTED_VALUE"""),"Portfolio - Thomas (AI)")</f>
        <v>Portfolio - Thomas (AI)</v>
      </c>
      <c r="H774" s="4" t="str">
        <f>IFERROR(__xludf.DUMMYFUNCTION("""COMPUTED_VALUE"""),"ONISNDQC1")</f>
        <v>ONISNDQC1</v>
      </c>
      <c r="I774" s="5">
        <f>IFERROR(__xludf.DUMMYFUNCTION("""COMPUTED_VALUE"""),19.0)</f>
        <v>19</v>
      </c>
      <c r="J774" s="4" t="str">
        <f>IFERROR(__xludf.DUMMYFUNCTION("""COMPUTED_VALUE"""),"Tier 4")</f>
        <v>Tier 4</v>
      </c>
      <c r="K774" s="4" t="str">
        <f>IFERROR(__xludf.DUMMYFUNCTION("""COMPUTED_VALUE"""),"Active")</f>
        <v>Active</v>
      </c>
      <c r="L774" s="4" t="str">
        <f>IFERROR(__xludf.DUMMYFUNCTION("""COMPUTED_VALUE"""),"Gemini Enterprise Agent Platform")</f>
        <v>Gemini Enterprise Agent Platform</v>
      </c>
    </row>
    <row r="775">
      <c r="A775" s="4" t="str">
        <f>IFERROR(__xludf.DUMMYFUNCTION("""COMPUTED_VALUE"""),"ONIX519")</f>
        <v>ONIX519</v>
      </c>
      <c r="B775" s="4" t="str">
        <f>IFERROR(__xludf.DUMMYFUNCTION("""COMPUTED_VALUE"""),"Sakshi Saxena")</f>
        <v>Sakshi Saxena</v>
      </c>
      <c r="C775" s="4" t="str">
        <f>IFERROR(__xludf.DUMMYFUNCTION("""COMPUTED_VALUE"""),"sakshi.saxena@onixnet.com")</f>
        <v>sakshi.saxena@onixnet.com</v>
      </c>
      <c r="D775" s="4" t="str">
        <f>IFERROR(__xludf.DUMMYFUNCTION("""COMPUTED_VALUE"""),"Active")</f>
        <v>Active</v>
      </c>
      <c r="E775" s="4" t="str">
        <f>IFERROR(__xludf.DUMMYFUNCTION("""COMPUTED_VALUE"""),"Services")</f>
        <v>Services</v>
      </c>
      <c r="F775" s="4" t="str">
        <f>IFERROR(__xludf.DUMMYFUNCTION("""COMPUTED_VALUE"""),"Gaurav Agarwaal")</f>
        <v>Gaurav Agarwaal</v>
      </c>
      <c r="G775" s="4" t="str">
        <f>IFERROR(__xludf.DUMMYFUNCTION("""COMPUTED_VALUE"""),"Portfolio - Gaurav A (Presales)")</f>
        <v>Portfolio - Gaurav A (Presales)</v>
      </c>
      <c r="H775" s="4" t="str">
        <f>IFERROR(__xludf.DUMMYFUNCTION("""COMPUTED_VALUE"""),"ONISSITX2")</f>
        <v>ONISSITX2</v>
      </c>
      <c r="I775" s="5">
        <f>IFERROR(__xludf.DUMMYFUNCTION("""COMPUTED_VALUE"""),7.0)</f>
        <v>7</v>
      </c>
      <c r="J775" s="4" t="str">
        <f>IFERROR(__xludf.DUMMYFUNCTION("""COMPUTED_VALUE"""),"Tier 4")</f>
        <v>Tier 4</v>
      </c>
      <c r="K775" s="4" t="str">
        <f>IFERROR(__xludf.DUMMYFUNCTION("""COMPUTED_VALUE"""),"Active")</f>
        <v>Active</v>
      </c>
      <c r="L775" s="4" t="str">
        <f>IFERROR(__xludf.DUMMYFUNCTION("""COMPUTED_VALUE"""),"Gemini Enterprise Agent Platform")</f>
        <v>Gemini Enterprise Agent Platform</v>
      </c>
    </row>
    <row r="776">
      <c r="A776" s="4" t="str">
        <f>IFERROR(__xludf.DUMMYFUNCTION("""COMPUTED_VALUE"""),"ONIX692")</f>
        <v>ONIX692</v>
      </c>
      <c r="B776" s="4" t="str">
        <f>IFERROR(__xludf.DUMMYFUNCTION("""COMPUTED_VALUE"""),"Anuradha Balasubramanian")</f>
        <v>Anuradha Balasubramanian</v>
      </c>
      <c r="C776" s="4" t="str">
        <f>IFERROR(__xludf.DUMMYFUNCTION("""COMPUTED_VALUE"""),"anuradha.balasubramanian@onixnet.com")</f>
        <v>anuradha.balasubramanian@onixnet.com</v>
      </c>
      <c r="D776" s="4" t="str">
        <f>IFERROR(__xludf.DUMMYFUNCTION("""COMPUTED_VALUE"""),"Active")</f>
        <v>Active</v>
      </c>
      <c r="E776" s="4" t="str">
        <f>IFERROR(__xludf.DUMMYFUNCTION("""COMPUTED_VALUE"""),"Services")</f>
        <v>Services</v>
      </c>
      <c r="F776" s="4" t="str">
        <f>IFERROR(__xludf.DUMMYFUNCTION("""COMPUTED_VALUE"""),"LeePatrick McIntire")</f>
        <v>LeePatrick McIntire</v>
      </c>
      <c r="G776" s="4" t="str">
        <f>IFERROR(__xludf.DUMMYFUNCTION("""COMPUTED_VALUE"""),"Portfolio - Thomas (AI)")</f>
        <v>Portfolio - Thomas (AI)</v>
      </c>
      <c r="H776" s="4"/>
      <c r="I776" s="5"/>
      <c r="J776" s="4"/>
      <c r="K776" s="4" t="str">
        <f>IFERROR(__xludf.DUMMYFUNCTION("""COMPUTED_VALUE"""),"ID Not Created")</f>
        <v>ID Not Created</v>
      </c>
      <c r="L776" s="4"/>
    </row>
    <row r="777">
      <c r="A777" s="4" t="str">
        <f>IFERROR(__xludf.DUMMYFUNCTION("""COMPUTED_VALUE"""),"ONIX697")</f>
        <v>ONIX697</v>
      </c>
      <c r="B777" s="4" t="str">
        <f>IFERROR(__xludf.DUMMYFUNCTION("""COMPUTED_VALUE"""),"Myles Johnson")</f>
        <v>Myles Johnson</v>
      </c>
      <c r="C777" s="4" t="str">
        <f>IFERROR(__xludf.DUMMYFUNCTION("""COMPUTED_VALUE"""),"myles.johnson@onixnet.com")</f>
        <v>myles.johnson@onixnet.com</v>
      </c>
      <c r="D777" s="4" t="str">
        <f>IFERROR(__xludf.DUMMYFUNCTION("""COMPUTED_VALUE"""),"Active")</f>
        <v>Active</v>
      </c>
      <c r="E777" s="4" t="str">
        <f>IFERROR(__xludf.DUMMYFUNCTION("""COMPUTED_VALUE"""),"Sales")</f>
        <v>Sales</v>
      </c>
      <c r="F777" s="4" t="str">
        <f>IFERROR(__xludf.DUMMYFUNCTION("""COMPUTED_VALUE"""),"Kathleen Hansen")</f>
        <v>Kathleen Hansen</v>
      </c>
      <c r="G777" s="4" t="str">
        <f>IFERROR(__xludf.DUMMYFUNCTION("""COMPUTED_VALUE"""),"Portfolio - Ankur (Sales)")</f>
        <v>Portfolio - Ankur (Sales)</v>
      </c>
      <c r="H777" s="4" t="str">
        <f>IFERROR(__xludf.DUMMYFUNCTION("""COMPUTED_VALUE"""),"ONIMJZIG3")</f>
        <v>ONIMJZIG3</v>
      </c>
      <c r="I777" s="5">
        <f>IFERROR(__xludf.DUMMYFUNCTION("""COMPUTED_VALUE"""),0.0)</f>
        <v>0</v>
      </c>
      <c r="J777" s="4" t="str">
        <f>IFERROR(__xludf.DUMMYFUNCTION("""COMPUTED_VALUE"""),"Tier 4")</f>
        <v>Tier 4</v>
      </c>
      <c r="K777" s="4" t="str">
        <f>IFERROR(__xludf.DUMMYFUNCTION("""COMPUTED_VALUE"""),"ID Created DRP score 0")</f>
        <v>ID Created DRP score 0</v>
      </c>
      <c r="L777" s="4"/>
    </row>
    <row r="778">
      <c r="A778" s="4" t="str">
        <f>IFERROR(__xludf.DUMMYFUNCTION("""COMPUTED_VALUE"""),"ONIX703")</f>
        <v>ONIX703</v>
      </c>
      <c r="B778" s="4" t="str">
        <f>IFERROR(__xludf.DUMMYFUNCTION("""COMPUTED_VALUE"""),"Abdel Megahed")</f>
        <v>Abdel Megahed</v>
      </c>
      <c r="C778" s="4" t="str">
        <f>IFERROR(__xludf.DUMMYFUNCTION("""COMPUTED_VALUE"""),"abdel.megahed@onixnet.com")</f>
        <v>abdel.megahed@onixnet.com</v>
      </c>
      <c r="D778" s="4" t="str">
        <f>IFERROR(__xludf.DUMMYFUNCTION("""COMPUTED_VALUE"""),"Active")</f>
        <v>Active</v>
      </c>
      <c r="E778" s="4" t="str">
        <f>IFERROR(__xludf.DUMMYFUNCTION("""COMPUTED_VALUE"""),"Services")</f>
        <v>Services</v>
      </c>
      <c r="F778" s="4" t="str">
        <f>IFERROR(__xludf.DUMMYFUNCTION("""COMPUTED_VALUE"""),"Kyle Clark")</f>
        <v>Kyle Clark</v>
      </c>
      <c r="G778" s="4" t="str">
        <f>IFERROR(__xludf.DUMMYFUNCTION("""COMPUTED_VALUE"""),"Portfolio - Thomas (AI)")</f>
        <v>Portfolio - Thomas (AI)</v>
      </c>
      <c r="H778" s="4" t="str">
        <f>IFERROR(__xludf.DUMMYFUNCTION("""COMPUTED_VALUE"""),"ONIAMSSZ4")</f>
        <v>ONIAMSSZ4</v>
      </c>
      <c r="I778" s="5">
        <f>IFERROR(__xludf.DUMMYFUNCTION("""COMPUTED_VALUE"""),19.0)</f>
        <v>19</v>
      </c>
      <c r="J778" s="4" t="str">
        <f>IFERROR(__xludf.DUMMYFUNCTION("""COMPUTED_VALUE"""),"Tier 4")</f>
        <v>Tier 4</v>
      </c>
      <c r="K778" s="4" t="str">
        <f>IFERROR(__xludf.DUMMYFUNCTION("""COMPUTED_VALUE"""),"Active")</f>
        <v>Active</v>
      </c>
      <c r="L778" s="4" t="str">
        <f>IFERROR(__xludf.DUMMYFUNCTION("""COMPUTED_VALUE"""),"GECX - Agent Assist")</f>
        <v>GECX - Agent Assist</v>
      </c>
    </row>
    <row r="779">
      <c r="A779" s="4" t="str">
        <f>IFERROR(__xludf.DUMMYFUNCTION("""COMPUTED_VALUE"""),"ONIX705")</f>
        <v>ONIX705</v>
      </c>
      <c r="B779" s="4" t="str">
        <f>IFERROR(__xludf.DUMMYFUNCTION("""COMPUTED_VALUE"""),"Ricardo de Andrade")</f>
        <v>Ricardo de Andrade</v>
      </c>
      <c r="C779" s="4" t="str">
        <f>IFERROR(__xludf.DUMMYFUNCTION("""COMPUTED_VALUE"""),"ricardo.de.andrade@onixnet.com")</f>
        <v>ricardo.de.andrade@onixnet.com</v>
      </c>
      <c r="D779" s="4" t="str">
        <f>IFERROR(__xludf.DUMMYFUNCTION("""COMPUTED_VALUE"""),"Active")</f>
        <v>Active</v>
      </c>
      <c r="E779" s="4" t="str">
        <f>IFERROR(__xludf.DUMMYFUNCTION("""COMPUTED_VALUE"""),"Services")</f>
        <v>Services</v>
      </c>
      <c r="F779" s="4" t="str">
        <f>IFERROR(__xludf.DUMMYFUNCTION("""COMPUTED_VALUE"""),"LeePatrick McIntire")</f>
        <v>LeePatrick McIntire</v>
      </c>
      <c r="G779" s="4" t="str">
        <f>IFERROR(__xludf.DUMMYFUNCTION("""COMPUTED_VALUE"""),"Portfolio - Thomas (AI)")</f>
        <v>Portfolio - Thomas (AI)</v>
      </c>
      <c r="H779" s="4" t="str">
        <f>IFERROR(__xludf.DUMMYFUNCTION("""COMPUTED_VALUE"""),"ONIRDNKR6")</f>
        <v>ONIRDNKR6</v>
      </c>
      <c r="I779" s="5">
        <f>IFERROR(__xludf.DUMMYFUNCTION("""COMPUTED_VALUE"""),34.0)</f>
        <v>34</v>
      </c>
      <c r="J779" s="4" t="str">
        <f>IFERROR(__xludf.DUMMYFUNCTION("""COMPUTED_VALUE"""),"Tier 3")</f>
        <v>Tier 3</v>
      </c>
      <c r="K779" s="4" t="str">
        <f>IFERROR(__xludf.DUMMYFUNCTION("""COMPUTED_VALUE"""),"Active")</f>
        <v>Active</v>
      </c>
      <c r="L779" s="4" t="str">
        <f>IFERROR(__xludf.DUMMYFUNCTION("""COMPUTED_VALUE"""),"Gemini Enterprise Agent Platform")</f>
        <v>Gemini Enterprise Agent Platform</v>
      </c>
    </row>
    <row r="780">
      <c r="A780" s="4" t="str">
        <f>IFERROR(__xludf.DUMMYFUNCTION("""COMPUTED_VALUE"""),"ONIX696")</f>
        <v>ONIX696</v>
      </c>
      <c r="B780" s="4" t="str">
        <f>IFERROR(__xludf.DUMMYFUNCTION("""COMPUTED_VALUE"""),"Roshan Chandrakant Deshmukh")</f>
        <v>Roshan Chandrakant Deshmukh</v>
      </c>
      <c r="C780" s="4" t="str">
        <f>IFERROR(__xludf.DUMMYFUNCTION("""COMPUTED_VALUE"""),"Roshan.Deshmukh@onixnet.com")</f>
        <v>Roshan.Deshmukh@onixnet.com</v>
      </c>
      <c r="D780" s="4" t="str">
        <f>IFERROR(__xludf.DUMMYFUNCTION("""COMPUTED_VALUE"""),"Active")</f>
        <v>Active</v>
      </c>
      <c r="E780" s="4" t="str">
        <f>IFERROR(__xludf.DUMMYFUNCTION("""COMPUTED_VALUE"""),"Services")</f>
        <v>Services</v>
      </c>
      <c r="F780" s="4" t="str">
        <f>IFERROR(__xludf.DUMMYFUNCTION("""COMPUTED_VALUE"""),"Venkata Naresh Kajjayam")</f>
        <v>Venkata Naresh Kajjayam</v>
      </c>
      <c r="G780" s="4" t="str">
        <f>IFERROR(__xludf.DUMMYFUNCTION("""COMPUTED_VALUE"""),"Portfolio - Kanth")</f>
        <v>Portfolio - Kanth</v>
      </c>
      <c r="H780" s="4" t="str">
        <f>IFERROR(__xludf.DUMMYFUNCTION("""COMPUTED_VALUE"""),"ONIRDQFZ6")</f>
        <v>ONIRDQFZ6</v>
      </c>
      <c r="I780" s="5">
        <f>IFERROR(__xludf.DUMMYFUNCTION("""COMPUTED_VALUE"""),0.0)</f>
        <v>0</v>
      </c>
      <c r="J780" s="4" t="str">
        <f>IFERROR(__xludf.DUMMYFUNCTION("""COMPUTED_VALUE"""),"Tier 4")</f>
        <v>Tier 4</v>
      </c>
      <c r="K780" s="4" t="str">
        <f>IFERROR(__xludf.DUMMYFUNCTION("""COMPUTED_VALUE"""),"ID Created DRP score 0")</f>
        <v>ID Created DRP score 0</v>
      </c>
      <c r="L780" s="4"/>
    </row>
    <row r="781">
      <c r="A781" s="4" t="str">
        <f>IFERROR(__xludf.DUMMYFUNCTION("""COMPUTED_VALUE"""),"ONIX699")</f>
        <v>ONIX699</v>
      </c>
      <c r="B781" s="4" t="str">
        <f>IFERROR(__xludf.DUMMYFUNCTION("""COMPUTED_VALUE"""),"Chaithra Sathya Bhat")</f>
        <v>Chaithra Sathya Bhat</v>
      </c>
      <c r="C781" s="4" t="str">
        <f>IFERROR(__xludf.DUMMYFUNCTION("""COMPUTED_VALUE"""),"chaithra.sathyanarayana@onixnet.com")</f>
        <v>chaithra.sathyanarayana@onixnet.com</v>
      </c>
      <c r="D781" s="4" t="str">
        <f>IFERROR(__xludf.DUMMYFUNCTION("""COMPUTED_VALUE"""),"Active")</f>
        <v>Active</v>
      </c>
      <c r="E781" s="4" t="str">
        <f>IFERROR(__xludf.DUMMYFUNCTION("""COMPUTED_VALUE"""),"Services")</f>
        <v>Services</v>
      </c>
      <c r="F781" s="4" t="str">
        <f>IFERROR(__xludf.DUMMYFUNCTION("""COMPUTED_VALUE"""),"Anurag Mynam")</f>
        <v>Anurag Mynam</v>
      </c>
      <c r="G781" s="4" t="str">
        <f>IFERROR(__xludf.DUMMYFUNCTION("""COMPUTED_VALUE"""),"Portfolio - Thomas (AI)")</f>
        <v>Portfolio - Thomas (AI)</v>
      </c>
      <c r="H781" s="4" t="str">
        <f>IFERROR(__xludf.DUMMYFUNCTION("""COMPUTED_VALUE"""),"ONICBNTQ0")</f>
        <v>ONICBNTQ0</v>
      </c>
      <c r="I781" s="5">
        <f>IFERROR(__xludf.DUMMYFUNCTION("""COMPUTED_VALUE"""),0.0)</f>
        <v>0</v>
      </c>
      <c r="J781" s="4" t="str">
        <f>IFERROR(__xludf.DUMMYFUNCTION("""COMPUTED_VALUE"""),"Tier 4")</f>
        <v>Tier 4</v>
      </c>
      <c r="K781" s="4" t="str">
        <f>IFERROR(__xludf.DUMMYFUNCTION("""COMPUTED_VALUE"""),"ID Created DRP score 0")</f>
        <v>ID Created DRP score 0</v>
      </c>
      <c r="L781" s="4"/>
    </row>
    <row r="782">
      <c r="A782" s="4" t="str">
        <f>IFERROR(__xludf.DUMMYFUNCTION("""COMPUTED_VALUE"""),"ONIX702")</f>
        <v>ONIX702</v>
      </c>
      <c r="B782" s="4" t="str">
        <f>IFERROR(__xludf.DUMMYFUNCTION("""COMPUTED_VALUE"""),"Miya Thomas")</f>
        <v>Miya Thomas</v>
      </c>
      <c r="C782" s="4" t="str">
        <f>IFERROR(__xludf.DUMMYFUNCTION("""COMPUTED_VALUE"""),"miya.thomas@onixnet.com")</f>
        <v>miya.thomas@onixnet.com</v>
      </c>
      <c r="D782" s="4" t="str">
        <f>IFERROR(__xludf.DUMMYFUNCTION("""COMPUTED_VALUE"""),"Active")</f>
        <v>Active</v>
      </c>
      <c r="E782" s="4" t="str">
        <f>IFERROR(__xludf.DUMMYFUNCTION("""COMPUTED_VALUE"""),"Services")</f>
        <v>Services</v>
      </c>
      <c r="F782" s="4" t="str">
        <f>IFERROR(__xludf.DUMMYFUNCTION("""COMPUTED_VALUE"""),"Kyle Clark")</f>
        <v>Kyle Clark</v>
      </c>
      <c r="G782" s="4" t="str">
        <f>IFERROR(__xludf.DUMMYFUNCTION("""COMPUTED_VALUE"""),"Portfolio - Thomas (AI)")</f>
        <v>Portfolio - Thomas (AI)</v>
      </c>
      <c r="H782" s="4" t="str">
        <f>IFERROR(__xludf.DUMMYFUNCTION("""COMPUTED_VALUE"""),"ONIMTJEI9")</f>
        <v>ONIMTJEI9</v>
      </c>
      <c r="I782" s="5">
        <f>IFERROR(__xludf.DUMMYFUNCTION("""COMPUTED_VALUE"""),23.0)</f>
        <v>23</v>
      </c>
      <c r="J782" s="4" t="str">
        <f>IFERROR(__xludf.DUMMYFUNCTION("""COMPUTED_VALUE"""),"Tier 3")</f>
        <v>Tier 3</v>
      </c>
      <c r="K782" s="4" t="str">
        <f>IFERROR(__xludf.DUMMYFUNCTION("""COMPUTED_VALUE"""),"Active")</f>
        <v>Active</v>
      </c>
      <c r="L782" s="4" t="str">
        <f>IFERROR(__xludf.DUMMYFUNCTION("""COMPUTED_VALUE"""),"Gemini Enterprise Agent Platform")</f>
        <v>Gemini Enterprise Agent Platform</v>
      </c>
    </row>
    <row r="783">
      <c r="A783" s="4" t="str">
        <f>IFERROR(__xludf.DUMMYFUNCTION("""COMPUTED_VALUE"""),"ONIX701")</f>
        <v>ONIX701</v>
      </c>
      <c r="B783" s="4" t="str">
        <f>IFERROR(__xludf.DUMMYFUNCTION("""COMPUTED_VALUE"""),"Sai Krishna Srinivas Gudipudi")</f>
        <v>Sai Krishna Srinivas Gudipudi</v>
      </c>
      <c r="C783" s="4" t="str">
        <f>IFERROR(__xludf.DUMMYFUNCTION("""COMPUTED_VALUE"""),"sai.srinivas@onixnet.com")</f>
        <v>sai.srinivas@onixnet.com</v>
      </c>
      <c r="D783" s="4" t="str">
        <f>IFERROR(__xludf.DUMMYFUNCTION("""COMPUTED_VALUE"""),"Active")</f>
        <v>Active</v>
      </c>
      <c r="E783" s="4" t="str">
        <f>IFERROR(__xludf.DUMMYFUNCTION("""COMPUTED_VALUE"""),"Services")</f>
        <v>Services</v>
      </c>
      <c r="F783" s="4" t="str">
        <f>IFERROR(__xludf.DUMMYFUNCTION("""COMPUTED_VALUE"""),"LeePatrick McIntire")</f>
        <v>LeePatrick McIntire</v>
      </c>
      <c r="G783" s="4" t="str">
        <f>IFERROR(__xludf.DUMMYFUNCTION("""COMPUTED_VALUE"""),"Portfolio - Thomas (AI)")</f>
        <v>Portfolio - Thomas (AI)</v>
      </c>
      <c r="H783" s="4" t="str">
        <f>IFERROR(__xludf.DUMMYFUNCTION("""COMPUTED_VALUE"""),"ONISGTNF6")</f>
        <v>ONISGTNF6</v>
      </c>
      <c r="I783" s="5">
        <f>IFERROR(__xludf.DUMMYFUNCTION("""COMPUTED_VALUE"""),10.0)</f>
        <v>10</v>
      </c>
      <c r="J783" s="4" t="str">
        <f>IFERROR(__xludf.DUMMYFUNCTION("""COMPUTED_VALUE"""),"Tier 4")</f>
        <v>Tier 4</v>
      </c>
      <c r="K783" s="4" t="str">
        <f>IFERROR(__xludf.DUMMYFUNCTION("""COMPUTED_VALUE"""),"Active")</f>
        <v>Active</v>
      </c>
      <c r="L783" s="4" t="str">
        <f>IFERROR(__xludf.DUMMYFUNCTION("""COMPUTED_VALUE"""),"Gemini Enterprise")</f>
        <v>Gemini Enterprise</v>
      </c>
    </row>
    <row r="784">
      <c r="A784" s="4" t="str">
        <f>IFERROR(__xludf.DUMMYFUNCTION("""COMPUTED_VALUE"""),"ONIX704")</f>
        <v>ONIX704</v>
      </c>
      <c r="B784" s="4" t="str">
        <f>IFERROR(__xludf.DUMMYFUNCTION("""COMPUTED_VALUE"""),"LeePatrick McIntire")</f>
        <v>LeePatrick McIntire</v>
      </c>
      <c r="C784" s="4" t="str">
        <f>IFERROR(__xludf.DUMMYFUNCTION("""COMPUTED_VALUE"""),"leepatrick.mcintire@onixnet.com")</f>
        <v>leepatrick.mcintire@onixnet.com</v>
      </c>
      <c r="D784" s="4" t="str">
        <f>IFERROR(__xludf.DUMMYFUNCTION("""COMPUTED_VALUE"""),"Active")</f>
        <v>Active</v>
      </c>
      <c r="E784" s="4" t="str">
        <f>IFERROR(__xludf.DUMMYFUNCTION("""COMPUTED_VALUE"""),"Services")</f>
        <v>Services</v>
      </c>
      <c r="F784" s="4" t="str">
        <f>IFERROR(__xludf.DUMMYFUNCTION("""COMPUTED_VALUE"""),"Thomas Kraus")</f>
        <v>Thomas Kraus</v>
      </c>
      <c r="G784" s="4" t="str">
        <f>IFERROR(__xludf.DUMMYFUNCTION("""COMPUTED_VALUE"""),"Portfolio - Thomas (AI)")</f>
        <v>Portfolio - Thomas (AI)</v>
      </c>
      <c r="H784" s="4" t="str">
        <f>IFERROR(__xludf.DUMMYFUNCTION("""COMPUTED_VALUE"""),"ONILMBXD2")</f>
        <v>ONILMBXD2</v>
      </c>
      <c r="I784" s="5">
        <f>IFERROR(__xludf.DUMMYFUNCTION("""COMPUTED_VALUE"""),0.0)</f>
        <v>0</v>
      </c>
      <c r="J784" s="4" t="str">
        <f>IFERROR(__xludf.DUMMYFUNCTION("""COMPUTED_VALUE"""),"Tier 4")</f>
        <v>Tier 4</v>
      </c>
      <c r="K784" s="4" t="str">
        <f>IFERROR(__xludf.DUMMYFUNCTION("""COMPUTED_VALUE"""),"ID Created DRP score 0")</f>
        <v>ID Created DRP score 0</v>
      </c>
      <c r="L784" s="4"/>
    </row>
    <row r="785">
      <c r="A785" s="4" t="str">
        <f>IFERROR(__xludf.DUMMYFUNCTION("""COMPUTED_VALUE"""),"ONIX706")</f>
        <v>ONIX706</v>
      </c>
      <c r="B785" s="4" t="str">
        <f>IFERROR(__xludf.DUMMYFUNCTION("""COMPUTED_VALUE"""),"Venkat Srinivasan")</f>
        <v>Venkat Srinivasan</v>
      </c>
      <c r="C785" s="4" t="str">
        <f>IFERROR(__xludf.DUMMYFUNCTION("""COMPUTED_VALUE"""),"venkat.srinivasan@onixnet.com")</f>
        <v>venkat.srinivasan@onixnet.com</v>
      </c>
      <c r="D785" s="4" t="str">
        <f>IFERROR(__xludf.DUMMYFUNCTION("""COMPUTED_VALUE"""),"Active")</f>
        <v>Active</v>
      </c>
      <c r="E785" s="4" t="str">
        <f>IFERROR(__xludf.DUMMYFUNCTION("""COMPUTED_VALUE"""),"Services")</f>
        <v>Services</v>
      </c>
      <c r="F785" s="4" t="str">
        <f>IFERROR(__xludf.DUMMYFUNCTION("""COMPUTED_VALUE"""),"Rajesh Rai")</f>
        <v>Rajesh Rai</v>
      </c>
      <c r="G785" s="4" t="str">
        <f>IFERROR(__xludf.DUMMYFUNCTION("""COMPUTED_VALUE"""),"Portfolio - Rajesh")</f>
        <v>Portfolio - Rajesh</v>
      </c>
      <c r="H785" s="4"/>
      <c r="I785" s="5"/>
      <c r="J785" s="4"/>
      <c r="K785" s="4" t="str">
        <f>IFERROR(__xludf.DUMMYFUNCTION("""COMPUTED_VALUE"""),"ID Not Created")</f>
        <v>ID Not Created</v>
      </c>
      <c r="L785" s="4"/>
    </row>
    <row r="786">
      <c r="A786" s="4" t="str">
        <f>IFERROR(__xludf.DUMMYFUNCTION("""COMPUTED_VALUE"""),"DME2830")</f>
        <v>DME2830</v>
      </c>
      <c r="B786" s="4" t="str">
        <f>IFERROR(__xludf.DUMMYFUNCTION("""COMPUTED_VALUE"""),"PALAK KAUSHIK")</f>
        <v>PALAK KAUSHIK</v>
      </c>
      <c r="C786" s="4" t="str">
        <f>IFERROR(__xludf.DUMMYFUNCTION("""COMPUTED_VALUE"""),"palak.kaushik@onixnet.com")</f>
        <v>palak.kaushik@onixnet.com</v>
      </c>
      <c r="D786" s="4" t="str">
        <f>IFERROR(__xludf.DUMMYFUNCTION("""COMPUTED_VALUE"""),"Active")</f>
        <v>Active</v>
      </c>
      <c r="E786" s="4" t="str">
        <f>IFERROR(__xludf.DUMMYFUNCTION("""COMPUTED_VALUE"""),"Product Engineering")</f>
        <v>Product Engineering</v>
      </c>
      <c r="F786" s="4" t="str">
        <f>IFERROR(__xludf.DUMMYFUNCTION("""COMPUTED_VALUE"""),"Mayur Jain")</f>
        <v>Mayur Jain</v>
      </c>
      <c r="G786" s="4" t="str">
        <f>IFERROR(__xludf.DUMMYFUNCTION("""COMPUTED_VALUE"""),"Cluster - Mayur")</f>
        <v>Cluster - Mayur</v>
      </c>
      <c r="H786" s="4" t="str">
        <f>IFERROR(__xludf.DUMMYFUNCTION("""COMPUTED_VALUE"""),"ONIPKTBT4")</f>
        <v>ONIPKTBT4</v>
      </c>
      <c r="I786" s="5">
        <f>IFERROR(__xludf.DUMMYFUNCTION("""COMPUTED_VALUE"""),0.0)</f>
        <v>0</v>
      </c>
      <c r="J786" s="4" t="str">
        <f>IFERROR(__xludf.DUMMYFUNCTION("""COMPUTED_VALUE"""),"Tier 4")</f>
        <v>Tier 4</v>
      </c>
      <c r="K786" s="4" t="str">
        <f>IFERROR(__xludf.DUMMYFUNCTION("""COMPUTED_VALUE"""),"ID Created DRP score 0")</f>
        <v>ID Created DRP score 0</v>
      </c>
      <c r="L786" s="4"/>
    </row>
    <row r="787">
      <c r="A787" s="4" t="str">
        <f>IFERROR(__xludf.DUMMYFUNCTION("""COMPUTED_VALUE"""),"DME2804")</f>
        <v>DME2804</v>
      </c>
      <c r="B787" s="4" t="str">
        <f>IFERROR(__xludf.DUMMYFUNCTION("""COMPUTED_VALUE"""),"Savan Subhashrao Tak")</f>
        <v>Savan Subhashrao Tak</v>
      </c>
      <c r="C787" s="4" t="str">
        <f>IFERROR(__xludf.DUMMYFUNCTION("""COMPUTED_VALUE"""),"savan.tak@onixnet.com")</f>
        <v>savan.tak@onixnet.com</v>
      </c>
      <c r="D787" s="4" t="str">
        <f>IFERROR(__xludf.DUMMYFUNCTION("""COMPUTED_VALUE"""),"Active")</f>
        <v>Active</v>
      </c>
      <c r="E787" s="4" t="str">
        <f>IFERROR(__xludf.DUMMYFUNCTION("""COMPUTED_VALUE"""),"Product Engineering")</f>
        <v>Product Engineering</v>
      </c>
      <c r="F787" s="4" t="str">
        <f>IFERROR(__xludf.DUMMYFUNCTION("""COMPUTED_VALUE"""),"Mayur Jain")</f>
        <v>Mayur Jain</v>
      </c>
      <c r="G787" s="4" t="str">
        <f>IFERROR(__xludf.DUMMYFUNCTION("""COMPUTED_VALUE"""),"Cluster - Mayur")</f>
        <v>Cluster - Mayur</v>
      </c>
      <c r="H787" s="4"/>
      <c r="I787" s="5"/>
      <c r="J787" s="4"/>
      <c r="K787" s="4" t="str">
        <f>IFERROR(__xludf.DUMMYFUNCTION("""COMPUTED_VALUE"""),"ID Not Created")</f>
        <v>ID Not Created</v>
      </c>
      <c r="L787" s="4"/>
    </row>
    <row r="788">
      <c r="A788" s="4" t="str">
        <f>IFERROR(__xludf.DUMMYFUNCTION("""COMPUTED_VALUE"""),"DME2811")</f>
        <v>DME2811</v>
      </c>
      <c r="B788" s="4" t="str">
        <f>IFERROR(__xludf.DUMMYFUNCTION("""COMPUTED_VALUE"""),"Ajay Tiwari")</f>
        <v>Ajay Tiwari</v>
      </c>
      <c r="C788" s="4" t="str">
        <f>IFERROR(__xludf.DUMMYFUNCTION("""COMPUTED_VALUE"""),"ajay.tiwari@onixnet.com")</f>
        <v>ajay.tiwari@onixnet.com</v>
      </c>
      <c r="D788" s="4" t="str">
        <f>IFERROR(__xludf.DUMMYFUNCTION("""COMPUTED_VALUE"""),"Active")</f>
        <v>Active</v>
      </c>
      <c r="E788" s="4" t="str">
        <f>IFERROR(__xludf.DUMMYFUNCTION("""COMPUTED_VALUE"""),"Product Engineering")</f>
        <v>Product Engineering</v>
      </c>
      <c r="F788" s="4" t="str">
        <f>IFERROR(__xludf.DUMMYFUNCTION("""COMPUTED_VALUE"""),"Nikhil Rajendra Patil")</f>
        <v>Nikhil Rajendra Patil</v>
      </c>
      <c r="G788" s="4" t="str">
        <f>IFERROR(__xludf.DUMMYFUNCTION("""COMPUTED_VALUE"""),"Cluster - Mayur")</f>
        <v>Cluster - Mayur</v>
      </c>
      <c r="H788" s="4"/>
      <c r="I788" s="5"/>
      <c r="J788" s="4"/>
      <c r="K788" s="4" t="str">
        <f>IFERROR(__xludf.DUMMYFUNCTION("""COMPUTED_VALUE"""),"ID Not Created")</f>
        <v>ID Not Created</v>
      </c>
      <c r="L788" s="4"/>
    </row>
    <row r="789">
      <c r="A789" s="4" t="str">
        <f>IFERROR(__xludf.DUMMYFUNCTION("""COMPUTED_VALUE"""),"DMC0961")</f>
        <v>DMC0961</v>
      </c>
      <c r="B789" s="4" t="str">
        <f>IFERROR(__xludf.DUMMYFUNCTION("""COMPUTED_VALUE"""),"Prithviraj Prakash Badiger")</f>
        <v>Prithviraj Prakash Badiger</v>
      </c>
      <c r="C789" s="4" t="str">
        <f>IFERROR(__xludf.DUMMYFUNCTION("""COMPUTED_VALUE"""),"prithviraj.badiger@onixnet.com")</f>
        <v>prithviraj.badiger@onixnet.com</v>
      </c>
      <c r="D789" s="4" t="str">
        <f>IFERROR(__xludf.DUMMYFUNCTION("""COMPUTED_VALUE"""),"Active")</f>
        <v>Active</v>
      </c>
      <c r="E789" s="4" t="str">
        <f>IFERROR(__xludf.DUMMYFUNCTION("""COMPUTED_VALUE"""),"Product Engineering")</f>
        <v>Product Engineering</v>
      </c>
      <c r="F789" s="4" t="str">
        <f>IFERROR(__xludf.DUMMYFUNCTION("""COMPUTED_VALUE"""),"Nikhil Rajendra Patil")</f>
        <v>Nikhil Rajendra Patil</v>
      </c>
      <c r="G789" s="4" t="str">
        <f>IFERROR(__xludf.DUMMYFUNCTION("""COMPUTED_VALUE"""),"Cluster - Mayur")</f>
        <v>Cluster - Mayur</v>
      </c>
      <c r="H789" s="4" t="str">
        <f>IFERROR(__xludf.DUMMYFUNCTION("""COMPUTED_VALUE"""),"ONIPBZQF0")</f>
        <v>ONIPBZQF0</v>
      </c>
      <c r="I789" s="5">
        <f>IFERROR(__xludf.DUMMYFUNCTION("""COMPUTED_VALUE"""),29.0)</f>
        <v>29</v>
      </c>
      <c r="J789" s="4" t="str">
        <f>IFERROR(__xludf.DUMMYFUNCTION("""COMPUTED_VALUE"""),"Tier 3")</f>
        <v>Tier 3</v>
      </c>
      <c r="K789" s="4" t="str">
        <f>IFERROR(__xludf.DUMMYFUNCTION("""COMPUTED_VALUE"""),"Active")</f>
        <v>Active</v>
      </c>
      <c r="L789" s="4" t="str">
        <f>IFERROR(__xludf.DUMMYFUNCTION("""COMPUTED_VALUE"""),"BigQuery")</f>
        <v>BigQuery</v>
      </c>
    </row>
    <row r="790">
      <c r="A790" s="4" t="str">
        <f>IFERROR(__xludf.DUMMYFUNCTION("""COMPUTED_VALUE"""),"DME2812")</f>
        <v>DME2812</v>
      </c>
      <c r="B790" s="4" t="str">
        <f>IFERROR(__xludf.DUMMYFUNCTION("""COMPUTED_VALUE"""),"Suresh Kokkula")</f>
        <v>Suresh Kokkula</v>
      </c>
      <c r="C790" s="4" t="str">
        <f>IFERROR(__xludf.DUMMYFUNCTION("""COMPUTED_VALUE"""),"suresh.kokkula@onixnet.com")</f>
        <v>suresh.kokkula@onixnet.com</v>
      </c>
      <c r="D790" s="4" t="str">
        <f>IFERROR(__xludf.DUMMYFUNCTION("""COMPUTED_VALUE"""),"Active")</f>
        <v>Active</v>
      </c>
      <c r="E790" s="4" t="str">
        <f>IFERROR(__xludf.DUMMYFUNCTION("""COMPUTED_VALUE"""),"Delivery Services")</f>
        <v>Delivery Services</v>
      </c>
      <c r="F790" s="4" t="str">
        <f>IFERROR(__xludf.DUMMYFUNCTION("""COMPUTED_VALUE"""),"Ashish Shaligram Tiwari")</f>
        <v>Ashish Shaligram Tiwari</v>
      </c>
      <c r="G790" s="4" t="str">
        <f>IFERROR(__xludf.DUMMYFUNCTION("""COMPUTED_VALUE"""),"Cluster - Sachin")</f>
        <v>Cluster - Sachin</v>
      </c>
      <c r="H790" s="4" t="str">
        <f>IFERROR(__xludf.DUMMYFUNCTION("""COMPUTED_VALUE"""),"ONISKGJR9")</f>
        <v>ONISKGJR9</v>
      </c>
      <c r="I790" s="5">
        <f>IFERROR(__xludf.DUMMYFUNCTION("""COMPUTED_VALUE"""),20.0)</f>
        <v>20</v>
      </c>
      <c r="J790" s="4" t="str">
        <f>IFERROR(__xludf.DUMMYFUNCTION("""COMPUTED_VALUE"""),"Tier 3")</f>
        <v>Tier 3</v>
      </c>
      <c r="K790" s="4" t="str">
        <f>IFERROR(__xludf.DUMMYFUNCTION("""COMPUTED_VALUE"""),"Active")</f>
        <v>Active</v>
      </c>
      <c r="L790" s="4" t="str">
        <f>IFERROR(__xludf.DUMMYFUNCTION("""COMPUTED_VALUE"""),"AI Applications")</f>
        <v>AI Applications</v>
      </c>
    </row>
    <row r="791">
      <c r="A791" s="4" t="str">
        <f>IFERROR(__xludf.DUMMYFUNCTION("""COMPUTED_VALUE"""),"DME2814")</f>
        <v>DME2814</v>
      </c>
      <c r="B791" s="4" t="str">
        <f>IFERROR(__xludf.DUMMYFUNCTION("""COMPUTED_VALUE"""),"Ajay Deepak Babar")</f>
        <v>Ajay Deepak Babar</v>
      </c>
      <c r="C791" s="4" t="str">
        <f>IFERROR(__xludf.DUMMYFUNCTION("""COMPUTED_VALUE"""),"ajay.babar@onixnet.com")</f>
        <v>ajay.babar@onixnet.com</v>
      </c>
      <c r="D791" s="4" t="str">
        <f>IFERROR(__xludf.DUMMYFUNCTION("""COMPUTED_VALUE"""),"Active")</f>
        <v>Active</v>
      </c>
      <c r="E791" s="4" t="str">
        <f>IFERROR(__xludf.DUMMYFUNCTION("""COMPUTED_VALUE"""),"Delivery Services")</f>
        <v>Delivery Services</v>
      </c>
      <c r="F791" s="4" t="str">
        <f>IFERROR(__xludf.DUMMYFUNCTION("""COMPUTED_VALUE"""),"Hemanth Kolluru")</f>
        <v>Hemanth Kolluru</v>
      </c>
      <c r="G791" s="4" t="str">
        <f>IFERROR(__xludf.DUMMYFUNCTION("""COMPUTED_VALUE"""),"Cluster - Sachin")</f>
        <v>Cluster - Sachin</v>
      </c>
      <c r="H791" s="4" t="str">
        <f>IFERROR(__xludf.DUMMYFUNCTION("""COMPUTED_VALUE"""),"ONIABXHS4")</f>
        <v>ONIABXHS4</v>
      </c>
      <c r="I791" s="5">
        <f>IFERROR(__xludf.DUMMYFUNCTION("""COMPUTED_VALUE"""),0.0)</f>
        <v>0</v>
      </c>
      <c r="J791" s="4" t="str">
        <f>IFERROR(__xludf.DUMMYFUNCTION("""COMPUTED_VALUE"""),"Tier 4")</f>
        <v>Tier 4</v>
      </c>
      <c r="K791" s="4" t="str">
        <f>IFERROR(__xludf.DUMMYFUNCTION("""COMPUTED_VALUE"""),"ID Created DRP score 0")</f>
        <v>ID Created DRP score 0</v>
      </c>
      <c r="L791" s="4"/>
    </row>
    <row r="792">
      <c r="A792" s="4" t="str">
        <f>IFERROR(__xludf.DUMMYFUNCTION("""COMPUTED_VALUE"""),"DME2821")</f>
        <v>DME2821</v>
      </c>
      <c r="B792" s="4" t="str">
        <f>IFERROR(__xludf.DUMMYFUNCTION("""COMPUTED_VALUE"""),"Jegath S")</f>
        <v>Jegath S</v>
      </c>
      <c r="C792" s="4" t="str">
        <f>IFERROR(__xludf.DUMMYFUNCTION("""COMPUTED_VALUE"""),"jegath.s@onixnet.com")</f>
        <v>jegath.s@onixnet.com</v>
      </c>
      <c r="D792" s="4" t="str">
        <f>IFERROR(__xludf.DUMMYFUNCTION("""COMPUTED_VALUE"""),"Active")</f>
        <v>Active</v>
      </c>
      <c r="E792" s="4" t="str">
        <f>IFERROR(__xludf.DUMMYFUNCTION("""COMPUTED_VALUE"""),"Delivery Services")</f>
        <v>Delivery Services</v>
      </c>
      <c r="F792" s="4" t="str">
        <f>IFERROR(__xludf.DUMMYFUNCTION("""COMPUTED_VALUE"""),"LeePatrick McIntire")</f>
        <v>LeePatrick McIntire</v>
      </c>
      <c r="G792" s="4" t="str">
        <f>IFERROR(__xludf.DUMMYFUNCTION("""COMPUTED_VALUE"""),"Portfolio - Thomas (AI)")</f>
        <v>Portfolio - Thomas (AI)</v>
      </c>
      <c r="H792" s="4" t="str">
        <f>IFERROR(__xludf.DUMMYFUNCTION("""COMPUTED_VALUE"""),"ONIJSFSK4")</f>
        <v>ONIJSFSK4</v>
      </c>
      <c r="I792" s="5">
        <f>IFERROR(__xludf.DUMMYFUNCTION("""COMPUTED_VALUE"""),30.0)</f>
        <v>30</v>
      </c>
      <c r="J792" s="4" t="str">
        <f>IFERROR(__xludf.DUMMYFUNCTION("""COMPUTED_VALUE"""),"Tier 3")</f>
        <v>Tier 3</v>
      </c>
      <c r="K792" s="4" t="str">
        <f>IFERROR(__xludf.DUMMYFUNCTION("""COMPUTED_VALUE"""),"Active")</f>
        <v>Active</v>
      </c>
      <c r="L792" s="4" t="str">
        <f>IFERROR(__xludf.DUMMYFUNCTION("""COMPUTED_VALUE"""),"Google Compute Engine")</f>
        <v>Google Compute Engine</v>
      </c>
    </row>
    <row r="793">
      <c r="A793" s="4" t="str">
        <f>IFERROR(__xludf.DUMMYFUNCTION("""COMPUTED_VALUE"""),"DME2816")</f>
        <v>DME2816</v>
      </c>
      <c r="B793" s="4" t="str">
        <f>IFERROR(__xludf.DUMMYFUNCTION("""COMPUTED_VALUE"""),"Aditya Alkhaniya")</f>
        <v>Aditya Alkhaniya</v>
      </c>
      <c r="C793" s="4" t="str">
        <f>IFERROR(__xludf.DUMMYFUNCTION("""COMPUTED_VALUE"""),"aditya.alkhaniya@onixnet.com")</f>
        <v>aditya.alkhaniya@onixnet.com</v>
      </c>
      <c r="D793" s="4" t="str">
        <f>IFERROR(__xludf.DUMMYFUNCTION("""COMPUTED_VALUE"""),"Active")</f>
        <v>Active</v>
      </c>
      <c r="E793" s="4" t="str">
        <f>IFERROR(__xludf.DUMMYFUNCTION("""COMPUTED_VALUE"""),"Delivery Services")</f>
        <v>Delivery Services</v>
      </c>
      <c r="F793" s="4" t="str">
        <f>IFERROR(__xludf.DUMMYFUNCTION("""COMPUTED_VALUE"""),"Hemanth Kolluru")</f>
        <v>Hemanth Kolluru</v>
      </c>
      <c r="G793" s="4" t="str">
        <f>IFERROR(__xludf.DUMMYFUNCTION("""COMPUTED_VALUE"""),"Cluster - Sachin")</f>
        <v>Cluster - Sachin</v>
      </c>
      <c r="H793" s="4" t="str">
        <f>IFERROR(__xludf.DUMMYFUNCTION("""COMPUTED_VALUE"""),"ONIAASYM4")</f>
        <v>ONIAASYM4</v>
      </c>
      <c r="I793" s="5">
        <f>IFERROR(__xludf.DUMMYFUNCTION("""COMPUTED_VALUE"""),0.0)</f>
        <v>0</v>
      </c>
      <c r="J793" s="4" t="str">
        <f>IFERROR(__xludf.DUMMYFUNCTION("""COMPUTED_VALUE"""),"Tier 4")</f>
        <v>Tier 4</v>
      </c>
      <c r="K793" s="4" t="str">
        <f>IFERROR(__xludf.DUMMYFUNCTION("""COMPUTED_VALUE"""),"ID Created DRP score 0")</f>
        <v>ID Created DRP score 0</v>
      </c>
      <c r="L793" s="4"/>
    </row>
    <row r="794">
      <c r="A794" s="4" t="str">
        <f>IFERROR(__xludf.DUMMYFUNCTION("""COMPUTED_VALUE"""),"DME2815")</f>
        <v>DME2815</v>
      </c>
      <c r="B794" s="4" t="str">
        <f>IFERROR(__xludf.DUMMYFUNCTION("""COMPUTED_VALUE"""),"Nikhil Rajendra Patil")</f>
        <v>Nikhil Rajendra Patil</v>
      </c>
      <c r="C794" s="4" t="str">
        <f>IFERROR(__xludf.DUMMYFUNCTION("""COMPUTED_VALUE"""),"nikhil.patil1@onixnet.com")</f>
        <v>nikhil.patil1@onixnet.com</v>
      </c>
      <c r="D794" s="4" t="str">
        <f>IFERROR(__xludf.DUMMYFUNCTION("""COMPUTED_VALUE"""),"Active")</f>
        <v>Active</v>
      </c>
      <c r="E794" s="4" t="str">
        <f>IFERROR(__xludf.DUMMYFUNCTION("""COMPUTED_VALUE"""),"Product Engineering")</f>
        <v>Product Engineering</v>
      </c>
      <c r="F794" s="4" t="str">
        <f>IFERROR(__xludf.DUMMYFUNCTION("""COMPUTED_VALUE"""),"Savan Tak")</f>
        <v>Savan Tak</v>
      </c>
      <c r="G794" s="4" t="str">
        <f>IFERROR(__xludf.DUMMYFUNCTION("""COMPUTED_VALUE"""),"Cluster - Mayur")</f>
        <v>Cluster - Mayur</v>
      </c>
      <c r="H794" s="4" t="str">
        <f>IFERROR(__xludf.DUMMYFUNCTION("""COMPUTED_VALUE"""),"ONINPKXT8")</f>
        <v>ONINPKXT8</v>
      </c>
      <c r="I794" s="5">
        <f>IFERROR(__xludf.DUMMYFUNCTION("""COMPUTED_VALUE"""),15.0)</f>
        <v>15</v>
      </c>
      <c r="J794" s="4" t="str">
        <f>IFERROR(__xludf.DUMMYFUNCTION("""COMPUTED_VALUE"""),"Tier 4")</f>
        <v>Tier 4</v>
      </c>
      <c r="K794" s="4" t="str">
        <f>IFERROR(__xludf.DUMMYFUNCTION("""COMPUTED_VALUE"""),"Active")</f>
        <v>Active</v>
      </c>
      <c r="L794" s="4" t="str">
        <f>IFERROR(__xludf.DUMMYFUNCTION("""COMPUTED_VALUE"""),"AI Applications")</f>
        <v>AI Applications</v>
      </c>
    </row>
    <row r="795">
      <c r="A795" s="4" t="str">
        <f>IFERROR(__xludf.DUMMYFUNCTION("""COMPUTED_VALUE"""),"DME2818")</f>
        <v>DME2818</v>
      </c>
      <c r="B795" s="4" t="str">
        <f>IFERROR(__xludf.DUMMYFUNCTION("""COMPUTED_VALUE"""),"Punam Vilas Subre")</f>
        <v>Punam Vilas Subre</v>
      </c>
      <c r="C795" s="4" t="str">
        <f>IFERROR(__xludf.DUMMYFUNCTION("""COMPUTED_VALUE"""),"punam.subre@onixnet.com")</f>
        <v>punam.subre@onixnet.com</v>
      </c>
      <c r="D795" s="4" t="str">
        <f>IFERROR(__xludf.DUMMYFUNCTION("""COMPUTED_VALUE"""),"Active")</f>
        <v>Active</v>
      </c>
      <c r="E795" s="4" t="str">
        <f>IFERROR(__xludf.DUMMYFUNCTION("""COMPUTED_VALUE"""),"Delivery Services")</f>
        <v>Delivery Services</v>
      </c>
      <c r="F795" s="4" t="str">
        <f>IFERROR(__xludf.DUMMYFUNCTION("""COMPUTED_VALUE"""),"Lanyo Francis")</f>
        <v>Lanyo Francis</v>
      </c>
      <c r="G795" s="4" t="str">
        <f>IFERROR(__xludf.DUMMYFUNCTION("""COMPUTED_VALUE"""),"Cluster - Devayani")</f>
        <v>Cluster - Devayani</v>
      </c>
      <c r="H795" s="4" t="str">
        <f>IFERROR(__xludf.DUMMYFUNCTION("""COMPUTED_VALUE"""),"ONIPSXNN3")</f>
        <v>ONIPSXNN3</v>
      </c>
      <c r="I795" s="5">
        <f>IFERROR(__xludf.DUMMYFUNCTION("""COMPUTED_VALUE"""),52.0)</f>
        <v>52</v>
      </c>
      <c r="J795" s="4" t="str">
        <f>IFERROR(__xludf.DUMMYFUNCTION("""COMPUTED_VALUE"""),"Tier 1")</f>
        <v>Tier 1</v>
      </c>
      <c r="K795" s="4" t="str">
        <f>IFERROR(__xludf.DUMMYFUNCTION("""COMPUTED_VALUE"""),"Active")</f>
        <v>Active</v>
      </c>
      <c r="L795" s="4" t="str">
        <f>IFERROR(__xludf.DUMMYFUNCTION("""COMPUTED_VALUE"""),"Gemini Enterprise")</f>
        <v>Gemini Enterprise</v>
      </c>
    </row>
    <row r="796">
      <c r="A796" s="4" t="str">
        <f>IFERROR(__xludf.DUMMYFUNCTION("""COMPUTED_VALUE"""),"DME2817")</f>
        <v>DME2817</v>
      </c>
      <c r="B796" s="4" t="str">
        <f>IFERROR(__xludf.DUMMYFUNCTION("""COMPUTED_VALUE"""),"Shaikh Mailk Shaikh Chand Chaudhari")</f>
        <v>Shaikh Mailk Shaikh Chand Chaudhari</v>
      </c>
      <c r="C796" s="4" t="str">
        <f>IFERROR(__xludf.DUMMYFUNCTION("""COMPUTED_VALUE"""),"shaikhmalik.c@onixnet.com")</f>
        <v>shaikhmalik.c@onixnet.com</v>
      </c>
      <c r="D796" s="4" t="str">
        <f>IFERROR(__xludf.DUMMYFUNCTION("""COMPUTED_VALUE"""),"Active")</f>
        <v>Active</v>
      </c>
      <c r="E796" s="4" t="str">
        <f>IFERROR(__xludf.DUMMYFUNCTION("""COMPUTED_VALUE"""),"Delivery Services")</f>
        <v>Delivery Services</v>
      </c>
      <c r="F796" s="4" t="str">
        <f>IFERROR(__xludf.DUMMYFUNCTION("""COMPUTED_VALUE"""),"Sheela Sawant")</f>
        <v>Sheela Sawant</v>
      </c>
      <c r="G796" s="4" t="str">
        <f>IFERROR(__xludf.DUMMYFUNCTION("""COMPUTED_VALUE"""),"Cluster - Sagar")</f>
        <v>Cluster - Sagar</v>
      </c>
      <c r="H796" s="4" t="str">
        <f>IFERROR(__xludf.DUMMYFUNCTION("""COMPUTED_VALUE"""),"ONISCVMB7")</f>
        <v>ONISCVMB7</v>
      </c>
      <c r="I796" s="5">
        <f>IFERROR(__xludf.DUMMYFUNCTION("""COMPUTED_VALUE"""),54.0)</f>
        <v>54</v>
      </c>
      <c r="J796" s="4" t="str">
        <f>IFERROR(__xludf.DUMMYFUNCTION("""COMPUTED_VALUE"""),"Tier 1")</f>
        <v>Tier 1</v>
      </c>
      <c r="K796" s="4" t="str">
        <f>IFERROR(__xludf.DUMMYFUNCTION("""COMPUTED_VALUE"""),"Active")</f>
        <v>Active</v>
      </c>
      <c r="L796" s="4" t="str">
        <f>IFERROR(__xludf.DUMMYFUNCTION("""COMPUTED_VALUE"""),"Looker")</f>
        <v>Looker</v>
      </c>
    </row>
    <row r="797">
      <c r="A797" s="4" t="str">
        <f>IFERROR(__xludf.DUMMYFUNCTION("""COMPUTED_VALUE"""),"DME2822")</f>
        <v>DME2822</v>
      </c>
      <c r="B797" s="4" t="str">
        <f>IFERROR(__xludf.DUMMYFUNCTION("""COMPUTED_VALUE"""),"Vinay Mishra")</f>
        <v>Vinay Mishra</v>
      </c>
      <c r="C797" s="4" t="str">
        <f>IFERROR(__xludf.DUMMYFUNCTION("""COMPUTED_VALUE"""),"vinay.mishra@onixnet.com")</f>
        <v>vinay.mishra@onixnet.com</v>
      </c>
      <c r="D797" s="4" t="str">
        <f>IFERROR(__xludf.DUMMYFUNCTION("""COMPUTED_VALUE"""),"Active")</f>
        <v>Active</v>
      </c>
      <c r="E797" s="4" t="str">
        <f>IFERROR(__xludf.DUMMYFUNCTION("""COMPUTED_VALUE"""),"Delivery Services")</f>
        <v>Delivery Services</v>
      </c>
      <c r="F797" s="4" t="str">
        <f>IFERROR(__xludf.DUMMYFUNCTION("""COMPUTED_VALUE"""),"Varun Katyal")</f>
        <v>Varun Katyal</v>
      </c>
      <c r="G797" s="4" t="str">
        <f>IFERROR(__xludf.DUMMYFUNCTION("""COMPUTED_VALUE"""),"Cluster - Varun")</f>
        <v>Cluster - Varun</v>
      </c>
      <c r="H797" s="4" t="str">
        <f>IFERROR(__xludf.DUMMYFUNCTION("""COMPUTED_VALUE"""),"ONIVMSKB3")</f>
        <v>ONIVMSKB3</v>
      </c>
      <c r="I797" s="5">
        <f>IFERROR(__xludf.DUMMYFUNCTION("""COMPUTED_VALUE"""),6.0)</f>
        <v>6</v>
      </c>
      <c r="J797" s="4" t="str">
        <f>IFERROR(__xludf.DUMMYFUNCTION("""COMPUTED_VALUE"""),"Tier 4")</f>
        <v>Tier 4</v>
      </c>
      <c r="K797" s="4" t="str">
        <f>IFERROR(__xludf.DUMMYFUNCTION("""COMPUTED_VALUE"""),"Active")</f>
        <v>Active</v>
      </c>
      <c r="L797" s="4" t="str">
        <f>IFERROR(__xludf.DUMMYFUNCTION("""COMPUTED_VALUE"""),"Google Kubernetes Engine")</f>
        <v>Google Kubernetes Engine</v>
      </c>
    </row>
    <row r="798">
      <c r="A798" s="4" t="str">
        <f>IFERROR(__xludf.DUMMYFUNCTION("""COMPUTED_VALUE"""),"DME2824")</f>
        <v>DME2824</v>
      </c>
      <c r="B798" s="4" t="str">
        <f>IFERROR(__xludf.DUMMYFUNCTION("""COMPUTED_VALUE"""),"Ujjawal Prakash")</f>
        <v>Ujjawal Prakash</v>
      </c>
      <c r="C798" s="4" t="str">
        <f>IFERROR(__xludf.DUMMYFUNCTION("""COMPUTED_VALUE"""),"ujjawal.prakash@onixnet.com")</f>
        <v>ujjawal.prakash@onixnet.com</v>
      </c>
      <c r="D798" s="4" t="str">
        <f>IFERROR(__xludf.DUMMYFUNCTION("""COMPUTED_VALUE"""),"Active")</f>
        <v>Active</v>
      </c>
      <c r="E798" s="4" t="str">
        <f>IFERROR(__xludf.DUMMYFUNCTION("""COMPUTED_VALUE"""),"Delivery Services")</f>
        <v>Delivery Services</v>
      </c>
      <c r="F798" s="4" t="str">
        <f>IFERROR(__xludf.DUMMYFUNCTION("""COMPUTED_VALUE"""),"Kanhaiya Jha")</f>
        <v>Kanhaiya Jha</v>
      </c>
      <c r="G798" s="4" t="str">
        <f>IFERROR(__xludf.DUMMYFUNCTION("""COMPUTED_VALUE"""),"Cluster - Kanhaiya")</f>
        <v>Cluster - Kanhaiya</v>
      </c>
      <c r="H798" s="4" t="str">
        <f>IFERROR(__xludf.DUMMYFUNCTION("""COMPUTED_VALUE"""),"ONIUPCRU1")</f>
        <v>ONIUPCRU1</v>
      </c>
      <c r="I798" s="5">
        <f>IFERROR(__xludf.DUMMYFUNCTION("""COMPUTED_VALUE"""),9.0)</f>
        <v>9</v>
      </c>
      <c r="J798" s="4" t="str">
        <f>IFERROR(__xludf.DUMMYFUNCTION("""COMPUTED_VALUE"""),"Tier 4")</f>
        <v>Tier 4</v>
      </c>
      <c r="K798" s="4" t="str">
        <f>IFERROR(__xludf.DUMMYFUNCTION("""COMPUTED_VALUE"""),"Active")</f>
        <v>Active</v>
      </c>
      <c r="L798" s="4" t="str">
        <f>IFERROR(__xludf.DUMMYFUNCTION("""COMPUTED_VALUE"""),"Dataflow")</f>
        <v>Dataflow</v>
      </c>
    </row>
    <row r="799">
      <c r="A799" s="4" t="str">
        <f>IFERROR(__xludf.DUMMYFUNCTION("""COMPUTED_VALUE"""),"DME2823")</f>
        <v>DME2823</v>
      </c>
      <c r="B799" s="4" t="str">
        <f>IFERROR(__xludf.DUMMYFUNCTION("""COMPUTED_VALUE"""),"Durgesh Kumar Nema")</f>
        <v>Durgesh Kumar Nema</v>
      </c>
      <c r="C799" s="4" t="str">
        <f>IFERROR(__xludf.DUMMYFUNCTION("""COMPUTED_VALUE"""),"durgesh.nema@onixnet.com")</f>
        <v>durgesh.nema@onixnet.com</v>
      </c>
      <c r="D799" s="4" t="str">
        <f>IFERROR(__xludf.DUMMYFUNCTION("""COMPUTED_VALUE"""),"Active")</f>
        <v>Active</v>
      </c>
      <c r="E799" s="4" t="str">
        <f>IFERROR(__xludf.DUMMYFUNCTION("""COMPUTED_VALUE"""),"Product Engineering")</f>
        <v>Product Engineering</v>
      </c>
      <c r="F799" s="4" t="str">
        <f>IFERROR(__xludf.DUMMYFUNCTION("""COMPUTED_VALUE"""),"Dhiraj Kumar")</f>
        <v>Dhiraj Kumar</v>
      </c>
      <c r="G799" s="4" t="str">
        <f>IFERROR(__xludf.DUMMYFUNCTION("""COMPUTED_VALUE"""),"Cluster - Niraj")</f>
        <v>Cluster - Niraj</v>
      </c>
      <c r="H799" s="4" t="str">
        <f>IFERROR(__xludf.DUMMYFUNCTION("""COMPUTED_VALUE"""),"ONIDNWVR3")</f>
        <v>ONIDNWVR3</v>
      </c>
      <c r="I799" s="5">
        <f>IFERROR(__xludf.DUMMYFUNCTION("""COMPUTED_VALUE"""),15.0)</f>
        <v>15</v>
      </c>
      <c r="J799" s="4" t="str">
        <f>IFERROR(__xludf.DUMMYFUNCTION("""COMPUTED_VALUE"""),"Tier 4")</f>
        <v>Tier 4</v>
      </c>
      <c r="K799" s="4" t="str">
        <f>IFERROR(__xludf.DUMMYFUNCTION("""COMPUTED_VALUE"""),"Active")</f>
        <v>Active</v>
      </c>
      <c r="L799" s="4" t="str">
        <f>IFERROR(__xludf.DUMMYFUNCTION("""COMPUTED_VALUE"""),"AI Applications")</f>
        <v>AI Applications</v>
      </c>
    </row>
    <row r="800">
      <c r="A800" s="4" t="str">
        <f>IFERROR(__xludf.DUMMYFUNCTION("""COMPUTED_VALUE"""),"DME2826")</f>
        <v>DME2826</v>
      </c>
      <c r="B800" s="4" t="str">
        <f>IFERROR(__xludf.DUMMYFUNCTION("""COMPUTED_VALUE"""),"Rasika Rajkumar Kasar")</f>
        <v>Rasika Rajkumar Kasar</v>
      </c>
      <c r="C800" s="4" t="str">
        <f>IFERROR(__xludf.DUMMYFUNCTION("""COMPUTED_VALUE"""),"rasika.kasar@onixnet.com")</f>
        <v>rasika.kasar@onixnet.com</v>
      </c>
      <c r="D800" s="4" t="str">
        <f>IFERROR(__xludf.DUMMYFUNCTION("""COMPUTED_VALUE"""),"Active")</f>
        <v>Active</v>
      </c>
      <c r="E800" s="4" t="str">
        <f>IFERROR(__xludf.DUMMYFUNCTION("""COMPUTED_VALUE"""),"Delivery Services")</f>
        <v>Delivery Services</v>
      </c>
      <c r="F800" s="4" t="str">
        <f>IFERROR(__xludf.DUMMYFUNCTION("""COMPUTED_VALUE"""),"Nisha Chandrakant Dhole")</f>
        <v>Nisha Chandrakant Dhole</v>
      </c>
      <c r="G800" s="4" t="str">
        <f>IFERROR(__xludf.DUMMYFUNCTION("""COMPUTED_VALUE"""),"Cluster - Sagar")</f>
        <v>Cluster - Sagar</v>
      </c>
      <c r="H800" s="4" t="str">
        <f>IFERROR(__xludf.DUMMYFUNCTION("""COMPUTED_VALUE"""),"ONIRKOFE3")</f>
        <v>ONIRKOFE3</v>
      </c>
      <c r="I800" s="5">
        <f>IFERROR(__xludf.DUMMYFUNCTION("""COMPUTED_VALUE"""),13.0)</f>
        <v>13</v>
      </c>
      <c r="J800" s="4" t="str">
        <f>IFERROR(__xludf.DUMMYFUNCTION("""COMPUTED_VALUE"""),"Tier 4")</f>
        <v>Tier 4</v>
      </c>
      <c r="K800" s="4" t="str">
        <f>IFERROR(__xludf.DUMMYFUNCTION("""COMPUTED_VALUE"""),"Active")</f>
        <v>Active</v>
      </c>
      <c r="L800" s="4" t="str">
        <f>IFERROR(__xludf.DUMMYFUNCTION("""COMPUTED_VALUE"""),"BigQuery")</f>
        <v>BigQuery</v>
      </c>
    </row>
    <row r="801">
      <c r="A801" s="4" t="str">
        <f>IFERROR(__xludf.DUMMYFUNCTION("""COMPUTED_VALUE"""),"DME2828")</f>
        <v>DME2828</v>
      </c>
      <c r="B801" s="4" t="str">
        <f>IFERROR(__xludf.DUMMYFUNCTION("""COMPUTED_VALUE"""),"Shubham Ashok Sawant")</f>
        <v>Shubham Ashok Sawant</v>
      </c>
      <c r="C801" s="4" t="str">
        <f>IFERROR(__xludf.DUMMYFUNCTION("""COMPUTED_VALUE"""),"shubham.sawant@onixnet.com")</f>
        <v>shubham.sawant@onixnet.com</v>
      </c>
      <c r="D801" s="4" t="str">
        <f>IFERROR(__xludf.DUMMYFUNCTION("""COMPUTED_VALUE"""),"Active")</f>
        <v>Active</v>
      </c>
      <c r="E801" s="4" t="str">
        <f>IFERROR(__xludf.DUMMYFUNCTION("""COMPUTED_VALUE"""),"Product Engineering")</f>
        <v>Product Engineering</v>
      </c>
      <c r="F801" s="4" t="str">
        <f>IFERROR(__xludf.DUMMYFUNCTION("""COMPUTED_VALUE"""),"Laxmikant Chavan")</f>
        <v>Laxmikant Chavan</v>
      </c>
      <c r="G801" s="4" t="str">
        <f>IFERROR(__xludf.DUMMYFUNCTION("""COMPUTED_VALUE"""),"Cluster - Mayur")</f>
        <v>Cluster - Mayur</v>
      </c>
      <c r="H801" s="4" t="str">
        <f>IFERROR(__xludf.DUMMYFUNCTION("""COMPUTED_VALUE"""),"ONISSWPS0")</f>
        <v>ONISSWPS0</v>
      </c>
      <c r="I801" s="5">
        <f>IFERROR(__xludf.DUMMYFUNCTION("""COMPUTED_VALUE"""),11.0)</f>
        <v>11</v>
      </c>
      <c r="J801" s="4" t="str">
        <f>IFERROR(__xludf.DUMMYFUNCTION("""COMPUTED_VALUE"""),"Tier 4")</f>
        <v>Tier 4</v>
      </c>
      <c r="K801" s="4" t="str">
        <f>IFERROR(__xludf.DUMMYFUNCTION("""COMPUTED_VALUE"""),"Active")</f>
        <v>Active</v>
      </c>
      <c r="L801" s="4" t="str">
        <f>IFERROR(__xludf.DUMMYFUNCTION("""COMPUTED_VALUE"""),"Gemini Enterprise Agent Platform")</f>
        <v>Gemini Enterprise Agent Platform</v>
      </c>
    </row>
    <row r="802">
      <c r="A802" s="4" t="str">
        <f>IFERROR(__xludf.DUMMYFUNCTION("""COMPUTED_VALUE"""),"ONIX658")</f>
        <v>ONIX658</v>
      </c>
      <c r="B802" s="4" t="str">
        <f>IFERROR(__xludf.DUMMYFUNCTION("""COMPUTED_VALUE"""),"Katie Fulton")</f>
        <v>Katie Fulton</v>
      </c>
      <c r="C802" s="4" t="str">
        <f>IFERROR(__xludf.DUMMYFUNCTION("""COMPUTED_VALUE"""),"katie.fulton@onixnet.com")</f>
        <v>katie.fulton@onixnet.com</v>
      </c>
      <c r="D802" s="4" t="str">
        <f>IFERROR(__xludf.DUMMYFUNCTION("""COMPUTED_VALUE"""),"Active")</f>
        <v>Active</v>
      </c>
      <c r="E802" s="4" t="str">
        <f>IFERROR(__xludf.DUMMYFUNCTION("""COMPUTED_VALUE"""),"Services")</f>
        <v>Services</v>
      </c>
      <c r="F802" s="4" t="str">
        <f>IFERROR(__xludf.DUMMYFUNCTION("""COMPUTED_VALUE"""),"Joshua Shnider")</f>
        <v>Joshua Shnider</v>
      </c>
      <c r="G802" s="4" t="str">
        <f>IFERROR(__xludf.DUMMYFUNCTION("""COMPUTED_VALUE"""),"Portfolio - Kanth")</f>
        <v>Portfolio - Kanth</v>
      </c>
      <c r="H802" s="4" t="str">
        <f>IFERROR(__xludf.DUMMYFUNCTION("""COMPUTED_VALUE"""),"ONIKFTXU9")</f>
        <v>ONIKFTXU9</v>
      </c>
      <c r="I802" s="5">
        <f>IFERROR(__xludf.DUMMYFUNCTION("""COMPUTED_VALUE"""),9.0)</f>
        <v>9</v>
      </c>
      <c r="J802" s="4" t="str">
        <f>IFERROR(__xludf.DUMMYFUNCTION("""COMPUTED_VALUE"""),"Tier 4")</f>
        <v>Tier 4</v>
      </c>
      <c r="K802" s="4" t="str">
        <f>IFERROR(__xludf.DUMMYFUNCTION("""COMPUTED_VALUE"""),"Active")</f>
        <v>Active</v>
      </c>
      <c r="L802" s="4" t="str">
        <f>IFERROR(__xludf.DUMMYFUNCTION("""COMPUTED_VALUE"""),"BigQuery")</f>
        <v>BigQuery</v>
      </c>
    </row>
    <row r="803">
      <c r="A803" s="4" t="str">
        <f>IFERROR(__xludf.DUMMYFUNCTION("""COMPUTED_VALUE"""),"ONIX671")</f>
        <v>ONIX671</v>
      </c>
      <c r="B803" s="4" t="str">
        <f>IFERROR(__xludf.DUMMYFUNCTION("""COMPUTED_VALUE"""),"Joo Kyung Kim")</f>
        <v>Joo Kyung Kim</v>
      </c>
      <c r="C803" s="4" t="str">
        <f>IFERROR(__xludf.DUMMYFUNCTION("""COMPUTED_VALUE"""),"joo.kim@onixnet.com")</f>
        <v>joo.kim@onixnet.com</v>
      </c>
      <c r="D803" s="4" t="str">
        <f>IFERROR(__xludf.DUMMYFUNCTION("""COMPUTED_VALUE"""),"Active")</f>
        <v>Active</v>
      </c>
      <c r="E803" s="4" t="str">
        <f>IFERROR(__xludf.DUMMYFUNCTION("""COMPUTED_VALUE"""),"Services")</f>
        <v>Services</v>
      </c>
      <c r="F803" s="4" t="str">
        <f>IFERROR(__xludf.DUMMYFUNCTION("""COMPUTED_VALUE"""),"James Vandermost")</f>
        <v>James Vandermost</v>
      </c>
      <c r="G803" s="4" t="str">
        <f>IFERROR(__xludf.DUMMYFUNCTION("""COMPUTED_VALUE"""),"Portfolio - Thomas (AI)")</f>
        <v>Portfolio - Thomas (AI)</v>
      </c>
      <c r="H803" s="4" t="str">
        <f>IFERROR(__xludf.DUMMYFUNCTION("""COMPUTED_VALUE"""),"ONIJKVGI7")</f>
        <v>ONIJKVGI7</v>
      </c>
      <c r="I803" s="5">
        <f>IFERROR(__xludf.DUMMYFUNCTION("""COMPUTED_VALUE"""),14.0)</f>
        <v>14</v>
      </c>
      <c r="J803" s="4" t="str">
        <f>IFERROR(__xludf.DUMMYFUNCTION("""COMPUTED_VALUE"""),"Tier 4")</f>
        <v>Tier 4</v>
      </c>
      <c r="K803" s="4" t="str">
        <f>IFERROR(__xludf.DUMMYFUNCTION("""COMPUTED_VALUE"""),"Active")</f>
        <v>Active</v>
      </c>
      <c r="L803" s="4" t="str">
        <f>IFERROR(__xludf.DUMMYFUNCTION("""COMPUTED_VALUE"""),"Gemini Enterprise")</f>
        <v>Gemini Enterprise</v>
      </c>
    </row>
    <row r="804">
      <c r="A804" s="4" t="str">
        <f>IFERROR(__xludf.DUMMYFUNCTION("""COMPUTED_VALUE"""),"ONIX710")</f>
        <v>ONIX710</v>
      </c>
      <c r="B804" s="4" t="str">
        <f>IFERROR(__xludf.DUMMYFUNCTION("""COMPUTED_VALUE"""),"Venkata AnjaneeNikhila Singeetam")</f>
        <v>Venkata AnjaneeNikhila Singeetam</v>
      </c>
      <c r="C804" s="4" t="str">
        <f>IFERROR(__xludf.DUMMYFUNCTION("""COMPUTED_VALUE"""),"anjanee.singeetam@onixnet.com")</f>
        <v>anjanee.singeetam@onixnet.com</v>
      </c>
      <c r="D804" s="4" t="str">
        <f>IFERROR(__xludf.DUMMYFUNCTION("""COMPUTED_VALUE"""),"Active")</f>
        <v>Active</v>
      </c>
      <c r="E804" s="4" t="str">
        <f>IFERROR(__xludf.DUMMYFUNCTION("""COMPUTED_VALUE"""),"Sales")</f>
        <v>Sales</v>
      </c>
      <c r="F804" s="4" t="str">
        <f>IFERROR(__xludf.DUMMYFUNCTION("""COMPUTED_VALUE"""),"Kathleen Hansen")</f>
        <v>Kathleen Hansen</v>
      </c>
      <c r="G804" s="4" t="str">
        <f>IFERROR(__xludf.DUMMYFUNCTION("""COMPUTED_VALUE"""),"Portfolio - Ankur (Sales)")</f>
        <v>Portfolio - Ankur (Sales)</v>
      </c>
      <c r="H804" s="4" t="str">
        <f>IFERROR(__xludf.DUMMYFUNCTION("""COMPUTED_VALUE"""),"ONIASTXN6")</f>
        <v>ONIASTXN6</v>
      </c>
      <c r="I804" s="5">
        <f>IFERROR(__xludf.DUMMYFUNCTION("""COMPUTED_VALUE"""),10.0)</f>
        <v>10</v>
      </c>
      <c r="J804" s="4" t="str">
        <f>IFERROR(__xludf.DUMMYFUNCTION("""COMPUTED_VALUE"""),"Tier 4")</f>
        <v>Tier 4</v>
      </c>
      <c r="K804" s="4" t="str">
        <f>IFERROR(__xludf.DUMMYFUNCTION("""COMPUTED_VALUE"""),"Active")</f>
        <v>Active</v>
      </c>
      <c r="L804" s="4" t="str">
        <f>IFERROR(__xludf.DUMMYFUNCTION("""COMPUTED_VALUE"""),"Gemini Enterprise")</f>
        <v>Gemini Enterprise</v>
      </c>
    </row>
    <row r="805">
      <c r="A805" s="4" t="str">
        <f>IFERROR(__xludf.DUMMYFUNCTION("""COMPUTED_VALUE"""),"ONIX690")</f>
        <v>ONIX690</v>
      </c>
      <c r="B805" s="4" t="str">
        <f>IFERROR(__xludf.DUMMYFUNCTION("""COMPUTED_VALUE"""),"Adam Vandergriff")</f>
        <v>Adam Vandergriff</v>
      </c>
      <c r="C805" s="4" t="str">
        <f>IFERROR(__xludf.DUMMYFUNCTION("""COMPUTED_VALUE"""),"adam.vandergriff@onixnet.com")</f>
        <v>adam.vandergriff@onixnet.com</v>
      </c>
      <c r="D805" s="4" t="str">
        <f>IFERROR(__xludf.DUMMYFUNCTION("""COMPUTED_VALUE"""),"Active")</f>
        <v>Active</v>
      </c>
      <c r="E805" s="4" t="str">
        <f>IFERROR(__xludf.DUMMYFUNCTION("""COMPUTED_VALUE"""),"Services")</f>
        <v>Services</v>
      </c>
      <c r="F805" s="4" t="str">
        <f>IFERROR(__xludf.DUMMYFUNCTION("""COMPUTED_VALUE"""),"LeePatrick McIntire")</f>
        <v>LeePatrick McIntire</v>
      </c>
      <c r="G805" s="4" t="str">
        <f>IFERROR(__xludf.DUMMYFUNCTION("""COMPUTED_VALUE"""),"Portfolio - Thomas (AI)")</f>
        <v>Portfolio - Thomas (AI)</v>
      </c>
      <c r="H805" s="4" t="str">
        <f>IFERROR(__xludf.DUMMYFUNCTION("""COMPUTED_VALUE"""),"ONIAVPAD6")</f>
        <v>ONIAVPAD6</v>
      </c>
      <c r="I805" s="5">
        <f>IFERROR(__xludf.DUMMYFUNCTION("""COMPUTED_VALUE"""),22.0)</f>
        <v>22</v>
      </c>
      <c r="J805" s="4" t="str">
        <f>IFERROR(__xludf.DUMMYFUNCTION("""COMPUTED_VALUE"""),"Tier 3")</f>
        <v>Tier 3</v>
      </c>
      <c r="K805" s="4" t="str">
        <f>IFERROR(__xludf.DUMMYFUNCTION("""COMPUTED_VALUE"""),"Active")</f>
        <v>Active</v>
      </c>
      <c r="L805" s="4" t="str">
        <f>IFERROR(__xludf.DUMMYFUNCTION("""COMPUTED_VALUE"""),"Gemini Enterprise")</f>
        <v>Gemini Enterprise</v>
      </c>
    </row>
    <row r="806">
      <c r="A806" s="4" t="str">
        <f>IFERROR(__xludf.DUMMYFUNCTION("""COMPUTED_VALUE"""),"DME2832")</f>
        <v>DME2832</v>
      </c>
      <c r="B806" s="4" t="str">
        <f>IFERROR(__xludf.DUMMYFUNCTION("""COMPUTED_VALUE"""),"Saurabh Singh")</f>
        <v>Saurabh Singh</v>
      </c>
      <c r="C806" s="4" t="str">
        <f>IFERROR(__xludf.DUMMYFUNCTION("""COMPUTED_VALUE"""),"saurabh.singh@onixnet.com")</f>
        <v>saurabh.singh@onixnet.com</v>
      </c>
      <c r="D806" s="4" t="str">
        <f>IFERROR(__xludf.DUMMYFUNCTION("""COMPUTED_VALUE"""),"Active")</f>
        <v>Active</v>
      </c>
      <c r="E806" s="4" t="str">
        <f>IFERROR(__xludf.DUMMYFUNCTION("""COMPUTED_VALUE"""),"Product Engineering")</f>
        <v>Product Engineering</v>
      </c>
      <c r="F806" s="4" t="str">
        <f>IFERROR(__xludf.DUMMYFUNCTION("""COMPUTED_VALUE"""),"Savan Tak")</f>
        <v>Savan Tak</v>
      </c>
      <c r="G806" s="4" t="str">
        <f>IFERROR(__xludf.DUMMYFUNCTION("""COMPUTED_VALUE"""),"Cluster - Mayur")</f>
        <v>Cluster - Mayur</v>
      </c>
      <c r="H806" s="4"/>
      <c r="I806" s="5"/>
      <c r="J806" s="4"/>
      <c r="K806" s="4" t="str">
        <f>IFERROR(__xludf.DUMMYFUNCTION("""COMPUTED_VALUE"""),"ID Not Created")</f>
        <v>ID Not Created</v>
      </c>
      <c r="L806" s="4"/>
    </row>
    <row r="807">
      <c r="A807" s="4" t="str">
        <f>IFERROR(__xludf.DUMMYFUNCTION("""COMPUTED_VALUE"""),"DME2835")</f>
        <v>DME2835</v>
      </c>
      <c r="B807" s="4" t="str">
        <f>IFERROR(__xludf.DUMMYFUNCTION("""COMPUTED_VALUE"""),"Pratibha Pandurang Bhagat")</f>
        <v>Pratibha Pandurang Bhagat</v>
      </c>
      <c r="C807" s="4" t="str">
        <f>IFERROR(__xludf.DUMMYFUNCTION("""COMPUTED_VALUE"""),"pratibha.bhagat@onixnet.com")</f>
        <v>pratibha.bhagat@onixnet.com</v>
      </c>
      <c r="D807" s="4" t="str">
        <f>IFERROR(__xludf.DUMMYFUNCTION("""COMPUTED_VALUE"""),"Active")</f>
        <v>Active</v>
      </c>
      <c r="E807" s="4" t="str">
        <f>IFERROR(__xludf.DUMMYFUNCTION("""COMPUTED_VALUE"""),"Delivery Services")</f>
        <v>Delivery Services</v>
      </c>
      <c r="F807" s="4" t="str">
        <f>IFERROR(__xludf.DUMMYFUNCTION("""COMPUTED_VALUE"""),"Poonam Sharma")</f>
        <v>Poonam Sharma</v>
      </c>
      <c r="G807" s="4" t="str">
        <f>IFERROR(__xludf.DUMMYFUNCTION("""COMPUTED_VALUE"""),"Cluster - Sachin")</f>
        <v>Cluster - Sachin</v>
      </c>
      <c r="H807" s="4" t="str">
        <f>IFERROR(__xludf.DUMMYFUNCTION("""COMPUTED_VALUE"""),"ONIPBRVH8")</f>
        <v>ONIPBRVH8</v>
      </c>
      <c r="I807" s="5">
        <f>IFERROR(__xludf.DUMMYFUNCTION("""COMPUTED_VALUE"""),10.0)</f>
        <v>10</v>
      </c>
      <c r="J807" s="4" t="str">
        <f>IFERROR(__xludf.DUMMYFUNCTION("""COMPUTED_VALUE"""),"Tier 4")</f>
        <v>Tier 4</v>
      </c>
      <c r="K807" s="4" t="str">
        <f>IFERROR(__xludf.DUMMYFUNCTION("""COMPUTED_VALUE"""),"Active")</f>
        <v>Active</v>
      </c>
      <c r="L807" s="4" t="str">
        <f>IFERROR(__xludf.DUMMYFUNCTION("""COMPUTED_VALUE"""),"Gemini Enterprise Agent Platform")</f>
        <v>Gemini Enterprise Agent Platform</v>
      </c>
    </row>
    <row r="808">
      <c r="A808" s="4" t="str">
        <f>IFERROR(__xludf.DUMMYFUNCTION("""COMPUTED_VALUE"""),"DME2839")</f>
        <v>DME2839</v>
      </c>
      <c r="B808" s="4" t="str">
        <f>IFERROR(__xludf.DUMMYFUNCTION("""COMPUTED_VALUE"""),"Gajavalli Rohith Venkat Guptha")</f>
        <v>Gajavalli Rohith Venkat Guptha</v>
      </c>
      <c r="C808" s="4" t="str">
        <f>IFERROR(__xludf.DUMMYFUNCTION("""COMPUTED_VALUE"""),"rohith.guptha@onixnet.com")</f>
        <v>rohith.guptha@onixnet.com</v>
      </c>
      <c r="D808" s="4" t="str">
        <f>IFERROR(__xludf.DUMMYFUNCTION("""COMPUTED_VALUE"""),"Active")</f>
        <v>Active</v>
      </c>
      <c r="E808" s="4" t="str">
        <f>IFERROR(__xludf.DUMMYFUNCTION("""COMPUTED_VALUE"""),"Delivery Services")</f>
        <v>Delivery Services</v>
      </c>
      <c r="F808" s="4" t="str">
        <f>IFERROR(__xludf.DUMMYFUNCTION("""COMPUTED_VALUE"""),"Akash Choudhari")</f>
        <v>Akash Choudhari</v>
      </c>
      <c r="G808" s="4" t="str">
        <f>IFERROR(__xludf.DUMMYFUNCTION("""COMPUTED_VALUE"""),"Cluster - Sandeep")</f>
        <v>Cluster - Sandeep</v>
      </c>
      <c r="H808" s="4" t="str">
        <f>IFERROR(__xludf.DUMMYFUNCTION("""COMPUTED_VALUE"""),"ONIRGKUY2")</f>
        <v>ONIRGKUY2</v>
      </c>
      <c r="I808" s="5">
        <f>IFERROR(__xludf.DUMMYFUNCTION("""COMPUTED_VALUE"""),40.0)</f>
        <v>40</v>
      </c>
      <c r="J808" s="4" t="str">
        <f>IFERROR(__xludf.DUMMYFUNCTION("""COMPUTED_VALUE"""),"Tier 2")</f>
        <v>Tier 2</v>
      </c>
      <c r="K808" s="4" t="str">
        <f>IFERROR(__xludf.DUMMYFUNCTION("""COMPUTED_VALUE"""),"Active")</f>
        <v>Active</v>
      </c>
      <c r="L808" s="4" t="str">
        <f>IFERROR(__xludf.DUMMYFUNCTION("""COMPUTED_VALUE"""),"Gemini Enterprise")</f>
        <v>Gemini Enterprise</v>
      </c>
    </row>
    <row r="809">
      <c r="A809" s="4" t="str">
        <f>IFERROR(__xludf.DUMMYFUNCTION("""COMPUTED_VALUE"""),"DME2838")</f>
        <v>DME2838</v>
      </c>
      <c r="B809" s="4" t="str">
        <f>IFERROR(__xludf.DUMMYFUNCTION("""COMPUTED_VALUE"""),"Ashwini Kumar")</f>
        <v>Ashwini Kumar</v>
      </c>
      <c r="C809" s="4" t="str">
        <f>IFERROR(__xludf.DUMMYFUNCTION("""COMPUTED_VALUE"""),"ashwini.kumar@onixnet.com")</f>
        <v>ashwini.kumar@onixnet.com</v>
      </c>
      <c r="D809" s="4" t="str">
        <f>IFERROR(__xludf.DUMMYFUNCTION("""COMPUTED_VALUE"""),"Active")</f>
        <v>Active</v>
      </c>
      <c r="E809" s="4" t="str">
        <f>IFERROR(__xludf.DUMMYFUNCTION("""COMPUTED_VALUE"""),"Delivery Services")</f>
        <v>Delivery Services</v>
      </c>
      <c r="F809" s="4" t="str">
        <f>IFERROR(__xludf.DUMMYFUNCTION("""COMPUTED_VALUE"""),"Kanhaiya Jha")</f>
        <v>Kanhaiya Jha</v>
      </c>
      <c r="G809" s="4" t="str">
        <f>IFERROR(__xludf.DUMMYFUNCTION("""COMPUTED_VALUE"""),"Cluster - Kanhaiya")</f>
        <v>Cluster - Kanhaiya</v>
      </c>
      <c r="H809" s="4" t="str">
        <f>IFERROR(__xludf.DUMMYFUNCTION("""COMPUTED_VALUE"""),"ONIAKAUY8")</f>
        <v>ONIAKAUY8</v>
      </c>
      <c r="I809" s="5">
        <f>IFERROR(__xludf.DUMMYFUNCTION("""COMPUTED_VALUE"""),0.0)</f>
        <v>0</v>
      </c>
      <c r="J809" s="4" t="str">
        <f>IFERROR(__xludf.DUMMYFUNCTION("""COMPUTED_VALUE"""),"Tier 4")</f>
        <v>Tier 4</v>
      </c>
      <c r="K809" s="4" t="str">
        <f>IFERROR(__xludf.DUMMYFUNCTION("""COMPUTED_VALUE"""),"ID Created DRP score 0")</f>
        <v>ID Created DRP score 0</v>
      </c>
      <c r="L809" s="4"/>
    </row>
    <row r="810">
      <c r="A810" s="4" t="str">
        <f>IFERROR(__xludf.DUMMYFUNCTION("""COMPUTED_VALUE"""),"DME3426")</f>
        <v>DME3426</v>
      </c>
      <c r="B810" s="4" t="str">
        <f>IFERROR(__xludf.DUMMYFUNCTION("""COMPUTED_VALUE"""),"Yeddula Likhitha Yeddula")</f>
        <v>Yeddula Likhitha Yeddula</v>
      </c>
      <c r="C810" s="4" t="str">
        <f>IFERROR(__xludf.DUMMYFUNCTION("""COMPUTED_VALUE"""),"likhitha.yeddula@onixnet.com")</f>
        <v>likhitha.yeddula@onixnet.com</v>
      </c>
      <c r="D810" s="4" t="str">
        <f>IFERROR(__xludf.DUMMYFUNCTION("""COMPUTED_VALUE"""),"Active")</f>
        <v>Active</v>
      </c>
      <c r="E810" s="4" t="str">
        <f>IFERROR(__xludf.DUMMYFUNCTION("""COMPUTED_VALUE"""),"Delivery Services")</f>
        <v>Delivery Services</v>
      </c>
      <c r="F810" s="4" t="str">
        <f>IFERROR(__xludf.DUMMYFUNCTION("""COMPUTED_VALUE"""),"Mayur Tawhare")</f>
        <v>Mayur Tawhare</v>
      </c>
      <c r="G810" s="4" t="str">
        <f>IFERROR(__xludf.DUMMYFUNCTION("""COMPUTED_VALUE"""),"Cluster - Varun")</f>
        <v>Cluster - Varun</v>
      </c>
      <c r="H810" s="4" t="str">
        <f>IFERROR(__xludf.DUMMYFUNCTION("""COMPUTED_VALUE"""),"ONIYLSVL9")</f>
        <v>ONIYLSVL9</v>
      </c>
      <c r="I810" s="5">
        <f>IFERROR(__xludf.DUMMYFUNCTION("""COMPUTED_VALUE"""),5.0)</f>
        <v>5</v>
      </c>
      <c r="J810" s="4" t="str">
        <f>IFERROR(__xludf.DUMMYFUNCTION("""COMPUTED_VALUE"""),"Tier 4")</f>
        <v>Tier 4</v>
      </c>
      <c r="K810" s="4" t="str">
        <f>IFERROR(__xludf.DUMMYFUNCTION("""COMPUTED_VALUE"""),"Active")</f>
        <v>Active</v>
      </c>
      <c r="L810" s="4" t="str">
        <f>IFERROR(__xludf.DUMMYFUNCTION("""COMPUTED_VALUE"""),"Gemini Enterprise Agent Platform")</f>
        <v>Gemini Enterprise Agent Platform</v>
      </c>
    </row>
    <row r="811">
      <c r="A811" s="4" t="str">
        <f>IFERROR(__xludf.DUMMYFUNCTION("""COMPUTED_VALUE"""),"DME2841")</f>
        <v>DME2841</v>
      </c>
      <c r="B811" s="4" t="str">
        <f>IFERROR(__xludf.DUMMYFUNCTION("""COMPUTED_VALUE"""),"Shrinath Popat Bothe")</f>
        <v>Shrinath Popat Bothe</v>
      </c>
      <c r="C811" s="4" t="str">
        <f>IFERROR(__xludf.DUMMYFUNCTION("""COMPUTED_VALUE"""),"shrinath.bothe@onixnet.com")</f>
        <v>shrinath.bothe@onixnet.com</v>
      </c>
      <c r="D811" s="4" t="str">
        <f>IFERROR(__xludf.DUMMYFUNCTION("""COMPUTED_VALUE"""),"Active")</f>
        <v>Active</v>
      </c>
      <c r="E811" s="4" t="str">
        <f>IFERROR(__xludf.DUMMYFUNCTION("""COMPUTED_VALUE"""),"Delivery Services")</f>
        <v>Delivery Services</v>
      </c>
      <c r="F811" s="4" t="str">
        <f>IFERROR(__xludf.DUMMYFUNCTION("""COMPUTED_VALUE"""),"Pratik Karpe")</f>
        <v>Pratik Karpe</v>
      </c>
      <c r="G811" s="4" t="str">
        <f>IFERROR(__xludf.DUMMYFUNCTION("""COMPUTED_VALUE"""),"Cluster - Gaurav")</f>
        <v>Cluster - Gaurav</v>
      </c>
      <c r="H811" s="4"/>
      <c r="I811" s="5"/>
      <c r="J811" s="4"/>
      <c r="K811" s="4" t="str">
        <f>IFERROR(__xludf.DUMMYFUNCTION("""COMPUTED_VALUE"""),"ID Not Created")</f>
        <v>ID Not Created</v>
      </c>
      <c r="L811" s="4"/>
    </row>
    <row r="812">
      <c r="A812" s="4" t="str">
        <f>IFERROR(__xludf.DUMMYFUNCTION("""COMPUTED_VALUE"""),"DME2843")</f>
        <v>DME2843</v>
      </c>
      <c r="B812" s="4" t="str">
        <f>IFERROR(__xludf.DUMMYFUNCTION("""COMPUTED_VALUE"""),"Rishikesh Sanjay Hatekar")</f>
        <v>Rishikesh Sanjay Hatekar</v>
      </c>
      <c r="C812" s="4" t="str">
        <f>IFERROR(__xludf.DUMMYFUNCTION("""COMPUTED_VALUE"""),"rishikesh.hatekar@onixnet.com")</f>
        <v>rishikesh.hatekar@onixnet.com</v>
      </c>
      <c r="D812" s="4" t="str">
        <f>IFERROR(__xludf.DUMMYFUNCTION("""COMPUTED_VALUE"""),"Active")</f>
        <v>Active</v>
      </c>
      <c r="E812" s="4" t="str">
        <f>IFERROR(__xludf.DUMMYFUNCTION("""COMPUTED_VALUE"""),"Delivery Services")</f>
        <v>Delivery Services</v>
      </c>
      <c r="F812" s="4" t="str">
        <f>IFERROR(__xludf.DUMMYFUNCTION("""COMPUTED_VALUE"""),"Akash Choudhari")</f>
        <v>Akash Choudhari</v>
      </c>
      <c r="G812" s="4" t="str">
        <f>IFERROR(__xludf.DUMMYFUNCTION("""COMPUTED_VALUE"""),"Cluster - Sandeep")</f>
        <v>Cluster - Sandeep</v>
      </c>
      <c r="H812" s="4" t="str">
        <f>IFERROR(__xludf.DUMMYFUNCTION("""COMPUTED_VALUE"""),"ONIRHCAP3")</f>
        <v>ONIRHCAP3</v>
      </c>
      <c r="I812" s="5">
        <f>IFERROR(__xludf.DUMMYFUNCTION("""COMPUTED_VALUE"""),36.0)</f>
        <v>36</v>
      </c>
      <c r="J812" s="4" t="str">
        <f>IFERROR(__xludf.DUMMYFUNCTION("""COMPUTED_VALUE"""),"Tier 2")</f>
        <v>Tier 2</v>
      </c>
      <c r="K812" s="4" t="str">
        <f>IFERROR(__xludf.DUMMYFUNCTION("""COMPUTED_VALUE"""),"Active")</f>
        <v>Active</v>
      </c>
      <c r="L812" s="4" t="str">
        <f>IFERROR(__xludf.DUMMYFUNCTION("""COMPUTED_VALUE"""),"Gemini Enterprise Agent Platform")</f>
        <v>Gemini Enterprise Agent Platform</v>
      </c>
    </row>
    <row r="813">
      <c r="A813" s="4" t="str">
        <f>IFERROR(__xludf.DUMMYFUNCTION("""COMPUTED_VALUE"""),"DME2846")</f>
        <v>DME2846</v>
      </c>
      <c r="B813" s="4" t="str">
        <f>IFERROR(__xludf.DUMMYFUNCTION("""COMPUTED_VALUE"""),"Manpreet Singh")</f>
        <v>Manpreet Singh</v>
      </c>
      <c r="C813" s="4" t="str">
        <f>IFERROR(__xludf.DUMMYFUNCTION("""COMPUTED_VALUE"""),"manpreet.singh@onixnet.com")</f>
        <v>manpreet.singh@onixnet.com</v>
      </c>
      <c r="D813" s="4" t="str">
        <f>IFERROR(__xludf.DUMMYFUNCTION("""COMPUTED_VALUE"""),"Active")</f>
        <v>Active</v>
      </c>
      <c r="E813" s="4" t="str">
        <f>IFERROR(__xludf.DUMMYFUNCTION("""COMPUTED_VALUE"""),"Delivery Services")</f>
        <v>Delivery Services</v>
      </c>
      <c r="F813" s="4" t="str">
        <f>IFERROR(__xludf.DUMMYFUNCTION("""COMPUTED_VALUE"""),"Varun Katyal")</f>
        <v>Varun Katyal</v>
      </c>
      <c r="G813" s="4" t="str">
        <f>IFERROR(__xludf.DUMMYFUNCTION("""COMPUTED_VALUE"""),"Cluster - Varun")</f>
        <v>Cluster - Varun</v>
      </c>
      <c r="H813" s="4" t="str">
        <f>IFERROR(__xludf.DUMMYFUNCTION("""COMPUTED_VALUE"""),"ONIMSQRM7")</f>
        <v>ONIMSQRM7</v>
      </c>
      <c r="I813" s="5">
        <f>IFERROR(__xludf.DUMMYFUNCTION("""COMPUTED_VALUE"""),10.0)</f>
        <v>10</v>
      </c>
      <c r="J813" s="4" t="str">
        <f>IFERROR(__xludf.DUMMYFUNCTION("""COMPUTED_VALUE"""),"Tier 4")</f>
        <v>Tier 4</v>
      </c>
      <c r="K813" s="4" t="str">
        <f>IFERROR(__xludf.DUMMYFUNCTION("""COMPUTED_VALUE"""),"Active")</f>
        <v>Active</v>
      </c>
      <c r="L813" s="4" t="str">
        <f>IFERROR(__xludf.DUMMYFUNCTION("""COMPUTED_VALUE"""),"AI Applications")</f>
        <v>AI Applications</v>
      </c>
    </row>
    <row r="814">
      <c r="A814" s="4" t="str">
        <f>IFERROR(__xludf.DUMMYFUNCTION("""COMPUTED_VALUE"""),"DME2845")</f>
        <v>DME2845</v>
      </c>
      <c r="B814" s="4" t="str">
        <f>IFERROR(__xludf.DUMMYFUNCTION("""COMPUTED_VALUE"""),"Kartik Sharma")</f>
        <v>Kartik Sharma</v>
      </c>
      <c r="C814" s="4" t="str">
        <f>IFERROR(__xludf.DUMMYFUNCTION("""COMPUTED_VALUE"""),"kartik.sharma@onixnet.com")</f>
        <v>kartik.sharma@onixnet.com</v>
      </c>
      <c r="D814" s="4" t="str">
        <f>IFERROR(__xludf.DUMMYFUNCTION("""COMPUTED_VALUE"""),"Active")</f>
        <v>Active</v>
      </c>
      <c r="E814" s="4" t="str">
        <f>IFERROR(__xludf.DUMMYFUNCTION("""COMPUTED_VALUE"""),"Delivery Services")</f>
        <v>Delivery Services</v>
      </c>
      <c r="F814" s="4" t="str">
        <f>IFERROR(__xludf.DUMMYFUNCTION("""COMPUTED_VALUE"""),"Devayani Girish Pillai")</f>
        <v>Devayani Girish Pillai</v>
      </c>
      <c r="G814" s="4" t="str">
        <f>IFERROR(__xludf.DUMMYFUNCTION("""COMPUTED_VALUE"""),"Cluster - Devayani")</f>
        <v>Cluster - Devayani</v>
      </c>
      <c r="H814" s="4" t="str">
        <f>IFERROR(__xludf.DUMMYFUNCTION("""COMPUTED_VALUE"""),"ONIKSAIV2")</f>
        <v>ONIKSAIV2</v>
      </c>
      <c r="I814" s="5">
        <f>IFERROR(__xludf.DUMMYFUNCTION("""COMPUTED_VALUE"""),54.0)</f>
        <v>54</v>
      </c>
      <c r="J814" s="4" t="str">
        <f>IFERROR(__xludf.DUMMYFUNCTION("""COMPUTED_VALUE"""),"Tier 1")</f>
        <v>Tier 1</v>
      </c>
      <c r="K814" s="4" t="str">
        <f>IFERROR(__xludf.DUMMYFUNCTION("""COMPUTED_VALUE"""),"Active")</f>
        <v>Active</v>
      </c>
      <c r="L814" s="4" t="str">
        <f>IFERROR(__xludf.DUMMYFUNCTION("""COMPUTED_VALUE"""),"Gemini Enterprise Agent Platform")</f>
        <v>Gemini Enterprise Agent Platform</v>
      </c>
    </row>
    <row r="815">
      <c r="A815" s="4" t="str">
        <f>IFERROR(__xludf.DUMMYFUNCTION("""COMPUTED_VALUE"""),"DME2848")</f>
        <v>DME2848</v>
      </c>
      <c r="B815" s="4" t="str">
        <f>IFERROR(__xludf.DUMMYFUNCTION("""COMPUTED_VALUE"""),"Devang Tushar Patil")</f>
        <v>Devang Tushar Patil</v>
      </c>
      <c r="C815" s="4" t="str">
        <f>IFERROR(__xludf.DUMMYFUNCTION("""COMPUTED_VALUE"""),"devang.patil@onixnet.com")</f>
        <v>devang.patil@onixnet.com</v>
      </c>
      <c r="D815" s="4" t="str">
        <f>IFERROR(__xludf.DUMMYFUNCTION("""COMPUTED_VALUE"""),"Active")</f>
        <v>Active</v>
      </c>
      <c r="E815" s="4" t="str">
        <f>IFERROR(__xludf.DUMMYFUNCTION("""COMPUTED_VALUE"""),"Product Engineering")</f>
        <v>Product Engineering</v>
      </c>
      <c r="F815" s="4" t="str">
        <f>IFERROR(__xludf.DUMMYFUNCTION("""COMPUTED_VALUE"""),"Aditya Basak")</f>
        <v>Aditya Basak</v>
      </c>
      <c r="G815" s="4" t="str">
        <f>IFERROR(__xludf.DUMMYFUNCTION("""COMPUTED_VALUE"""),"Cluster - Mayur")</f>
        <v>Cluster - Mayur</v>
      </c>
      <c r="H815" s="4"/>
      <c r="I815" s="5"/>
      <c r="J815" s="4"/>
      <c r="K815" s="4" t="str">
        <f>IFERROR(__xludf.DUMMYFUNCTION("""COMPUTED_VALUE"""),"ID Not Created")</f>
        <v>ID Not Created</v>
      </c>
      <c r="L815" s="4"/>
    </row>
    <row r="816">
      <c r="A816" s="4" t="str">
        <f>IFERROR(__xludf.DUMMYFUNCTION("""COMPUTED_VALUE"""),"DME2849")</f>
        <v>DME2849</v>
      </c>
      <c r="B816" s="4" t="str">
        <f>IFERROR(__xludf.DUMMYFUNCTION("""COMPUTED_VALUE"""),"Yogesh Raghunath Gaikwad")</f>
        <v>Yogesh Raghunath Gaikwad</v>
      </c>
      <c r="C816" s="4" t="str">
        <f>IFERROR(__xludf.DUMMYFUNCTION("""COMPUTED_VALUE"""),"yogesh.gaikwad@onixnet.com")</f>
        <v>yogesh.gaikwad@onixnet.com</v>
      </c>
      <c r="D816" s="4" t="str">
        <f>IFERROR(__xludf.DUMMYFUNCTION("""COMPUTED_VALUE"""),"Active")</f>
        <v>Active</v>
      </c>
      <c r="E816" s="4" t="str">
        <f>IFERROR(__xludf.DUMMYFUNCTION("""COMPUTED_VALUE"""),"Delivery Services")</f>
        <v>Delivery Services</v>
      </c>
      <c r="F816" s="4" t="str">
        <f>IFERROR(__xludf.DUMMYFUNCTION("""COMPUTED_VALUE"""),"Mithilesh Pardeshi")</f>
        <v>Mithilesh Pardeshi</v>
      </c>
      <c r="G816" s="4" t="str">
        <f>IFERROR(__xludf.DUMMYFUNCTION("""COMPUTED_VALUE"""),"Cluster - Gaurav")</f>
        <v>Cluster - Gaurav</v>
      </c>
      <c r="H816" s="4" t="str">
        <f>IFERROR(__xludf.DUMMYFUNCTION("""COMPUTED_VALUE"""),"ONIYGIKP9")</f>
        <v>ONIYGIKP9</v>
      </c>
      <c r="I816" s="5">
        <f>IFERROR(__xludf.DUMMYFUNCTION("""COMPUTED_VALUE"""),20.0)</f>
        <v>20</v>
      </c>
      <c r="J816" s="4" t="str">
        <f>IFERROR(__xludf.DUMMYFUNCTION("""COMPUTED_VALUE"""),"Tier 3")</f>
        <v>Tier 3</v>
      </c>
      <c r="K816" s="4" t="str">
        <f>IFERROR(__xludf.DUMMYFUNCTION("""COMPUTED_VALUE"""),"Active")</f>
        <v>Active</v>
      </c>
      <c r="L816" s="4" t="str">
        <f>IFERROR(__xludf.DUMMYFUNCTION("""COMPUTED_VALUE"""),"BigQuery")</f>
        <v>BigQuery</v>
      </c>
    </row>
    <row r="817">
      <c r="A817" s="4" t="str">
        <f>IFERROR(__xludf.DUMMYFUNCTION("""COMPUTED_VALUE"""),"DME2852")</f>
        <v>DME2852</v>
      </c>
      <c r="B817" s="4" t="str">
        <f>IFERROR(__xludf.DUMMYFUNCTION("""COMPUTED_VALUE"""),"Aryan Goyal")</f>
        <v>Aryan Goyal</v>
      </c>
      <c r="C817" s="4" t="str">
        <f>IFERROR(__xludf.DUMMYFUNCTION("""COMPUTED_VALUE"""),"aryan.goyal@onixnet.com")</f>
        <v>aryan.goyal@onixnet.com</v>
      </c>
      <c r="D817" s="4" t="str">
        <f>IFERROR(__xludf.DUMMYFUNCTION("""COMPUTED_VALUE"""),"Active")</f>
        <v>Active</v>
      </c>
      <c r="E817" s="4" t="str">
        <f>IFERROR(__xludf.DUMMYFUNCTION("""COMPUTED_VALUE"""),"Delivery Services")</f>
        <v>Delivery Services</v>
      </c>
      <c r="F817" s="4" t="str">
        <f>IFERROR(__xludf.DUMMYFUNCTION("""COMPUTED_VALUE"""),"Hemanth Kolluru")</f>
        <v>Hemanth Kolluru</v>
      </c>
      <c r="G817" s="4" t="str">
        <f>IFERROR(__xludf.DUMMYFUNCTION("""COMPUTED_VALUE"""),"Cluster - Sachin")</f>
        <v>Cluster - Sachin</v>
      </c>
      <c r="H817" s="4" t="str">
        <f>IFERROR(__xludf.DUMMYFUNCTION("""COMPUTED_VALUE"""),"ONIAGKXQ1")</f>
        <v>ONIAGKXQ1</v>
      </c>
      <c r="I817" s="5">
        <f>IFERROR(__xludf.DUMMYFUNCTION("""COMPUTED_VALUE"""),14.0)</f>
        <v>14</v>
      </c>
      <c r="J817" s="4" t="str">
        <f>IFERROR(__xludf.DUMMYFUNCTION("""COMPUTED_VALUE"""),"Tier 4")</f>
        <v>Tier 4</v>
      </c>
      <c r="K817" s="4" t="str">
        <f>IFERROR(__xludf.DUMMYFUNCTION("""COMPUTED_VALUE"""),"Active")</f>
        <v>Active</v>
      </c>
      <c r="L817" s="4" t="str">
        <f>IFERROR(__xludf.DUMMYFUNCTION("""COMPUTED_VALUE"""),"BigQuery")</f>
        <v>BigQuery</v>
      </c>
    </row>
    <row r="818">
      <c r="A818" s="4" t="str">
        <f>IFERROR(__xludf.DUMMYFUNCTION("""COMPUTED_VALUE"""),"DME2853")</f>
        <v>DME2853</v>
      </c>
      <c r="B818" s="4" t="str">
        <f>IFERROR(__xludf.DUMMYFUNCTION("""COMPUTED_VALUE"""),"Rashid Anwar")</f>
        <v>Rashid Anwar</v>
      </c>
      <c r="C818" s="4" t="str">
        <f>IFERROR(__xludf.DUMMYFUNCTION("""COMPUTED_VALUE"""),"rashid.anwar@onixnet.com")</f>
        <v>rashid.anwar@onixnet.com</v>
      </c>
      <c r="D818" s="4" t="str">
        <f>IFERROR(__xludf.DUMMYFUNCTION("""COMPUTED_VALUE"""),"Active")</f>
        <v>Active</v>
      </c>
      <c r="E818" s="4" t="str">
        <f>IFERROR(__xludf.DUMMYFUNCTION("""COMPUTED_VALUE"""),"Delivery Services")</f>
        <v>Delivery Services</v>
      </c>
      <c r="F818" s="4" t="str">
        <f>IFERROR(__xludf.DUMMYFUNCTION("""COMPUTED_VALUE"""),"Sheela Sawant")</f>
        <v>Sheela Sawant</v>
      </c>
      <c r="G818" s="4" t="str">
        <f>IFERROR(__xludf.DUMMYFUNCTION("""COMPUTED_VALUE"""),"Cluster - Sagar")</f>
        <v>Cluster - Sagar</v>
      </c>
      <c r="H818" s="4" t="str">
        <f>IFERROR(__xludf.DUMMYFUNCTION("""COMPUTED_VALUE"""),"ONIRAPZZ9")</f>
        <v>ONIRAPZZ9</v>
      </c>
      <c r="I818" s="5">
        <f>IFERROR(__xludf.DUMMYFUNCTION("""COMPUTED_VALUE"""),46.0)</f>
        <v>46</v>
      </c>
      <c r="J818" s="4" t="str">
        <f>IFERROR(__xludf.DUMMYFUNCTION("""COMPUTED_VALUE"""),"Tier 2")</f>
        <v>Tier 2</v>
      </c>
      <c r="K818" s="4" t="str">
        <f>IFERROR(__xludf.DUMMYFUNCTION("""COMPUTED_VALUE"""),"Active")</f>
        <v>Active</v>
      </c>
      <c r="L818" s="4" t="str">
        <f>IFERROR(__xludf.DUMMYFUNCTION("""COMPUTED_VALUE"""),"BigQuery")</f>
        <v>BigQuery</v>
      </c>
    </row>
    <row r="819">
      <c r="A819" s="4" t="str">
        <f>IFERROR(__xludf.DUMMYFUNCTION("""COMPUTED_VALUE"""),"DMSI0158")</f>
        <v>DMSI0158</v>
      </c>
      <c r="B819" s="4" t="str">
        <f>IFERROR(__xludf.DUMMYFUNCTION("""COMPUTED_VALUE"""),"Jithin Reddy Patlolla")</f>
        <v>Jithin Reddy Patlolla</v>
      </c>
      <c r="C819" s="4" t="str">
        <f>IFERROR(__xludf.DUMMYFUNCTION("""COMPUTED_VALUE"""),"jithin.patlolla@onixnet.com")</f>
        <v>jithin.patlolla@onixnet.com</v>
      </c>
      <c r="D819" s="4" t="str">
        <f>IFERROR(__xludf.DUMMYFUNCTION("""COMPUTED_VALUE"""),"Active")</f>
        <v>Active</v>
      </c>
      <c r="E819" s="4" t="str">
        <f>IFERROR(__xludf.DUMMYFUNCTION("""COMPUTED_VALUE"""),"Delivery Services")</f>
        <v>Delivery Services</v>
      </c>
      <c r="F819" s="4" t="str">
        <f>IFERROR(__xludf.DUMMYFUNCTION("""COMPUTED_VALUE"""),"Vinay Sunil Mhatre")</f>
        <v>Vinay Sunil Mhatre</v>
      </c>
      <c r="G819" s="4" t="str">
        <f>IFERROR(__xludf.DUMMYFUNCTION("""COMPUTED_VALUE"""),"Cluster - Sachin")</f>
        <v>Cluster - Sachin</v>
      </c>
      <c r="H819" s="4"/>
      <c r="I819" s="5"/>
      <c r="J819" s="4"/>
      <c r="K819" s="4" t="str">
        <f>IFERROR(__xludf.DUMMYFUNCTION("""COMPUTED_VALUE"""),"ID Not Created")</f>
        <v>ID Not Created</v>
      </c>
      <c r="L819" s="4"/>
    </row>
    <row r="820">
      <c r="A820" s="4" t="str">
        <f>IFERROR(__xludf.DUMMYFUNCTION("""COMPUTED_VALUE"""),"DME2859")</f>
        <v>DME2859</v>
      </c>
      <c r="B820" s="4" t="str">
        <f>IFERROR(__xludf.DUMMYFUNCTION("""COMPUTED_VALUE"""),"Prachi Singh")</f>
        <v>Prachi Singh</v>
      </c>
      <c r="C820" s="4" t="str">
        <f>IFERROR(__xludf.DUMMYFUNCTION("""COMPUTED_VALUE"""),"prachi.singh@onixnet.com")</f>
        <v>prachi.singh@onixnet.com</v>
      </c>
      <c r="D820" s="4" t="str">
        <f>IFERROR(__xludf.DUMMYFUNCTION("""COMPUTED_VALUE"""),"Active")</f>
        <v>Active</v>
      </c>
      <c r="E820" s="4" t="str">
        <f>IFERROR(__xludf.DUMMYFUNCTION("""COMPUTED_VALUE"""),"Solutions and Pre-Sales")</f>
        <v>Solutions and Pre-Sales</v>
      </c>
      <c r="F820" s="4" t="str">
        <f>IFERROR(__xludf.DUMMYFUNCTION("""COMPUTED_VALUE"""),"Priya Ranjan")</f>
        <v>Priya Ranjan</v>
      </c>
      <c r="G820" s="4" t="str">
        <f>IFERROR(__xludf.DUMMYFUNCTION("""COMPUTED_VALUE"""),"Portfolio - Gaurav A (Presales)")</f>
        <v>Portfolio - Gaurav A (Presales)</v>
      </c>
      <c r="H820" s="4" t="str">
        <f>IFERROR(__xludf.DUMMYFUNCTION("""COMPUTED_VALUE"""),"ONIPSIYZ7")</f>
        <v>ONIPSIYZ7</v>
      </c>
      <c r="I820" s="5">
        <f>IFERROR(__xludf.DUMMYFUNCTION("""COMPUTED_VALUE"""),5.0)</f>
        <v>5</v>
      </c>
      <c r="J820" s="4" t="str">
        <f>IFERROR(__xludf.DUMMYFUNCTION("""COMPUTED_VALUE"""),"Tier 4")</f>
        <v>Tier 4</v>
      </c>
      <c r="K820" s="4" t="str">
        <f>IFERROR(__xludf.DUMMYFUNCTION("""COMPUTED_VALUE"""),"Active")</f>
        <v>Active</v>
      </c>
      <c r="L820" s="4" t="str">
        <f>IFERROR(__xludf.DUMMYFUNCTION("""COMPUTED_VALUE"""),"Looker")</f>
        <v>Looker</v>
      </c>
    </row>
    <row r="821">
      <c r="A821" s="4" t="str">
        <f>IFERROR(__xludf.DUMMYFUNCTION("""COMPUTED_VALUE"""),"DME2855")</f>
        <v>DME2855</v>
      </c>
      <c r="B821" s="4" t="str">
        <f>IFERROR(__xludf.DUMMYFUNCTION("""COMPUTED_VALUE"""),"Sushant Dilip Chavare")</f>
        <v>Sushant Dilip Chavare</v>
      </c>
      <c r="C821" s="4" t="str">
        <f>IFERROR(__xludf.DUMMYFUNCTION("""COMPUTED_VALUE"""),"sushant.chavare@onixnet.com")</f>
        <v>sushant.chavare@onixnet.com</v>
      </c>
      <c r="D821" s="4" t="str">
        <f>IFERROR(__xludf.DUMMYFUNCTION("""COMPUTED_VALUE"""),"Active")</f>
        <v>Active</v>
      </c>
      <c r="E821" s="4" t="str">
        <f>IFERROR(__xludf.DUMMYFUNCTION("""COMPUTED_VALUE"""),"Delivery Services")</f>
        <v>Delivery Services</v>
      </c>
      <c r="F821" s="4" t="str">
        <f>IFERROR(__xludf.DUMMYFUNCTION("""COMPUTED_VALUE"""),"Vedant Bhogawade")</f>
        <v>Vedant Bhogawade</v>
      </c>
      <c r="G821" s="4" t="str">
        <f>IFERROR(__xludf.DUMMYFUNCTION("""COMPUTED_VALUE"""),"Cluster - Varun")</f>
        <v>Cluster - Varun</v>
      </c>
      <c r="H821" s="4" t="str">
        <f>IFERROR(__xludf.DUMMYFUNCTION("""COMPUTED_VALUE"""),"DATSCMMC2")</f>
        <v>DATSCMMC2</v>
      </c>
      <c r="I821" s="5">
        <f>IFERROR(__xludf.DUMMYFUNCTION("""COMPUTED_VALUE"""),15.0)</f>
        <v>15</v>
      </c>
      <c r="J821" s="4" t="str">
        <f>IFERROR(__xludf.DUMMYFUNCTION("""COMPUTED_VALUE"""),"Tier 4")</f>
        <v>Tier 4</v>
      </c>
      <c r="K821" s="4" t="str">
        <f>IFERROR(__xludf.DUMMYFUNCTION("""COMPUTED_VALUE"""),"Active")</f>
        <v>Active</v>
      </c>
      <c r="L821" s="4" t="str">
        <f>IFERROR(__xludf.DUMMYFUNCTION("""COMPUTED_VALUE"""),"BigQuery")</f>
        <v>BigQuery</v>
      </c>
    </row>
    <row r="822">
      <c r="A822" s="4" t="str">
        <f>IFERROR(__xludf.DUMMYFUNCTION("""COMPUTED_VALUE"""),"DME2860")</f>
        <v>DME2860</v>
      </c>
      <c r="B822" s="4" t="str">
        <f>IFERROR(__xludf.DUMMYFUNCTION("""COMPUTED_VALUE"""),"Yanduri Sai Nikhil")</f>
        <v>Yanduri Sai Nikhil</v>
      </c>
      <c r="C822" s="4" t="str">
        <f>IFERROR(__xludf.DUMMYFUNCTION("""COMPUTED_VALUE"""),"sai.nikhil@onixnet.com")</f>
        <v>sai.nikhil@onixnet.com</v>
      </c>
      <c r="D822" s="4" t="str">
        <f>IFERROR(__xludf.DUMMYFUNCTION("""COMPUTED_VALUE"""),"Active")</f>
        <v>Active</v>
      </c>
      <c r="E822" s="4" t="str">
        <f>IFERROR(__xludf.DUMMYFUNCTION("""COMPUTED_VALUE"""),"Product Engineering")</f>
        <v>Product Engineering</v>
      </c>
      <c r="F822" s="4" t="str">
        <f>IFERROR(__xludf.DUMMYFUNCTION("""COMPUTED_VALUE"""),"Abhishek Pravinkmar Jagtap")</f>
        <v>Abhishek Pravinkmar Jagtap</v>
      </c>
      <c r="G822" s="4" t="str">
        <f>IFERROR(__xludf.DUMMYFUNCTION("""COMPUTED_VALUE"""),"Cluster - Mayur")</f>
        <v>Cluster - Mayur</v>
      </c>
      <c r="H822" s="4" t="str">
        <f>IFERROR(__xludf.DUMMYFUNCTION("""COMPUTED_VALUE"""),"ONISNMHN3")</f>
        <v>ONISNMHN3</v>
      </c>
      <c r="I822" s="5">
        <f>IFERROR(__xludf.DUMMYFUNCTION("""COMPUTED_VALUE"""),10.0)</f>
        <v>10</v>
      </c>
      <c r="J822" s="4" t="str">
        <f>IFERROR(__xludf.DUMMYFUNCTION("""COMPUTED_VALUE"""),"Tier 4")</f>
        <v>Tier 4</v>
      </c>
      <c r="K822" s="4" t="str">
        <f>IFERROR(__xludf.DUMMYFUNCTION("""COMPUTED_VALUE"""),"Active")</f>
        <v>Active</v>
      </c>
      <c r="L822" s="4" t="str">
        <f>IFERROR(__xludf.DUMMYFUNCTION("""COMPUTED_VALUE"""),"Gemini Enterprise")</f>
        <v>Gemini Enterprise</v>
      </c>
    </row>
    <row r="823">
      <c r="A823" s="4" t="str">
        <f>IFERROR(__xludf.DUMMYFUNCTION("""COMPUTED_VALUE"""),"DME2861")</f>
        <v>DME2861</v>
      </c>
      <c r="B823" s="4" t="str">
        <f>IFERROR(__xludf.DUMMYFUNCTION("""COMPUTED_VALUE"""),"Abhijit Vinod Gophane")</f>
        <v>Abhijit Vinod Gophane</v>
      </c>
      <c r="C823" s="4" t="str">
        <f>IFERROR(__xludf.DUMMYFUNCTION("""COMPUTED_VALUE"""),"abhijit.gophane@onixnet.com")</f>
        <v>abhijit.gophane@onixnet.com</v>
      </c>
      <c r="D823" s="4" t="str">
        <f>IFERROR(__xludf.DUMMYFUNCTION("""COMPUTED_VALUE"""),"Active")</f>
        <v>Active</v>
      </c>
      <c r="E823" s="4" t="str">
        <f>IFERROR(__xludf.DUMMYFUNCTION("""COMPUTED_VALUE"""),"Delivery Services")</f>
        <v>Delivery Services</v>
      </c>
      <c r="F823" s="4" t="str">
        <f>IFERROR(__xludf.DUMMYFUNCTION("""COMPUTED_VALUE"""),"Punam S Paliwal")</f>
        <v>Punam S Paliwal</v>
      </c>
      <c r="G823" s="4" t="str">
        <f>IFERROR(__xludf.DUMMYFUNCTION("""COMPUTED_VALUE"""),"Cluster - Sagar")</f>
        <v>Cluster - Sagar</v>
      </c>
      <c r="H823" s="4" t="str">
        <f>IFERROR(__xludf.DUMMYFUNCTION("""COMPUTED_VALUE"""),"ONIAGQTR0")</f>
        <v>ONIAGQTR0</v>
      </c>
      <c r="I823" s="5">
        <f>IFERROR(__xludf.DUMMYFUNCTION("""COMPUTED_VALUE"""),5.0)</f>
        <v>5</v>
      </c>
      <c r="J823" s="4" t="str">
        <f>IFERROR(__xludf.DUMMYFUNCTION("""COMPUTED_VALUE"""),"Tier 4")</f>
        <v>Tier 4</v>
      </c>
      <c r="K823" s="4" t="str">
        <f>IFERROR(__xludf.DUMMYFUNCTION("""COMPUTED_VALUE"""),"Active")</f>
        <v>Active</v>
      </c>
      <c r="L823" s="4" t="str">
        <f>IFERROR(__xludf.DUMMYFUNCTION("""COMPUTED_VALUE"""),"Gemini Enterprise Agent Platform")</f>
        <v>Gemini Enterprise Agent Platform</v>
      </c>
    </row>
    <row r="824">
      <c r="A824" s="4" t="str">
        <f>IFERROR(__xludf.DUMMYFUNCTION("""COMPUTED_VALUE"""),"DME2862")</f>
        <v>DME2862</v>
      </c>
      <c r="B824" s="4" t="str">
        <f>IFERROR(__xludf.DUMMYFUNCTION("""COMPUTED_VALUE"""),"Amar Pawar")</f>
        <v>Amar Pawar</v>
      </c>
      <c r="C824" s="4" t="str">
        <f>IFERROR(__xludf.DUMMYFUNCTION("""COMPUTED_VALUE"""),"amar.pawar@onixnet.com")</f>
        <v>amar.pawar@onixnet.com</v>
      </c>
      <c r="D824" s="4" t="str">
        <f>IFERROR(__xludf.DUMMYFUNCTION("""COMPUTED_VALUE"""),"Active")</f>
        <v>Active</v>
      </c>
      <c r="E824" s="4" t="str">
        <f>IFERROR(__xludf.DUMMYFUNCTION("""COMPUTED_VALUE"""),"Delivery Services")</f>
        <v>Delivery Services</v>
      </c>
      <c r="F824" s="4" t="str">
        <f>IFERROR(__xludf.DUMMYFUNCTION("""COMPUTED_VALUE"""),"Anand Saraf")</f>
        <v>Anand Saraf</v>
      </c>
      <c r="G824" s="4" t="str">
        <f>IFERROR(__xludf.DUMMYFUNCTION("""COMPUTED_VALUE"""),"Cluster - Sachin")</f>
        <v>Cluster - Sachin</v>
      </c>
      <c r="H824" s="4" t="str">
        <f>IFERROR(__xludf.DUMMYFUNCTION("""COMPUTED_VALUE"""),"ONIAPAKL3")</f>
        <v>ONIAPAKL3</v>
      </c>
      <c r="I824" s="5">
        <f>IFERROR(__xludf.DUMMYFUNCTION("""COMPUTED_VALUE"""),5.0)</f>
        <v>5</v>
      </c>
      <c r="J824" s="4" t="str">
        <f>IFERROR(__xludf.DUMMYFUNCTION("""COMPUTED_VALUE"""),"Tier 4")</f>
        <v>Tier 4</v>
      </c>
      <c r="K824" s="4" t="str">
        <f>IFERROR(__xludf.DUMMYFUNCTION("""COMPUTED_VALUE"""),"Active")</f>
        <v>Active</v>
      </c>
      <c r="L824" s="4" t="str">
        <f>IFERROR(__xludf.DUMMYFUNCTION("""COMPUTED_VALUE"""),"Gemini Enterprise Agent Platform")</f>
        <v>Gemini Enterprise Agent Platform</v>
      </c>
    </row>
    <row r="825">
      <c r="A825" s="4" t="str">
        <f>IFERROR(__xludf.DUMMYFUNCTION("""COMPUTED_VALUE"""),"DME2863")</f>
        <v>DME2863</v>
      </c>
      <c r="B825" s="4" t="str">
        <f>IFERROR(__xludf.DUMMYFUNCTION("""COMPUTED_VALUE"""),"Laxman Tiwari")</f>
        <v>Laxman Tiwari</v>
      </c>
      <c r="C825" s="4" t="str">
        <f>IFERROR(__xludf.DUMMYFUNCTION("""COMPUTED_VALUE"""),"laxman.tiwari@onixnet.com")</f>
        <v>laxman.tiwari@onixnet.com</v>
      </c>
      <c r="D825" s="4" t="str">
        <f>IFERROR(__xludf.DUMMYFUNCTION("""COMPUTED_VALUE"""),"Active")</f>
        <v>Active</v>
      </c>
      <c r="E825" s="4" t="str">
        <f>IFERROR(__xludf.DUMMYFUNCTION("""COMPUTED_VALUE"""),"Delivery Services")</f>
        <v>Delivery Services</v>
      </c>
      <c r="F825" s="4" t="str">
        <f>IFERROR(__xludf.DUMMYFUNCTION("""COMPUTED_VALUE"""),"Rahul Gupta")</f>
        <v>Rahul Gupta</v>
      </c>
      <c r="G825" s="4" t="str">
        <f>IFERROR(__xludf.DUMMYFUNCTION("""COMPUTED_VALUE"""),"Cluster - Sachin")</f>
        <v>Cluster - Sachin</v>
      </c>
      <c r="H825" s="4" t="str">
        <f>IFERROR(__xludf.DUMMYFUNCTION("""COMPUTED_VALUE"""),"ONILTYPM6")</f>
        <v>ONILTYPM6</v>
      </c>
      <c r="I825" s="5">
        <f>IFERROR(__xludf.DUMMYFUNCTION("""COMPUTED_VALUE"""),30.0)</f>
        <v>30</v>
      </c>
      <c r="J825" s="4" t="str">
        <f>IFERROR(__xludf.DUMMYFUNCTION("""COMPUTED_VALUE"""),"Tier 3")</f>
        <v>Tier 3</v>
      </c>
      <c r="K825" s="4" t="str">
        <f>IFERROR(__xludf.DUMMYFUNCTION("""COMPUTED_VALUE"""),"Active")</f>
        <v>Active</v>
      </c>
      <c r="L825" s="4" t="str">
        <f>IFERROR(__xludf.DUMMYFUNCTION("""COMPUTED_VALUE"""),"BigQuery")</f>
        <v>BigQuery</v>
      </c>
    </row>
    <row r="826">
      <c r="A826" s="4" t="str">
        <f>IFERROR(__xludf.DUMMYFUNCTION("""COMPUTED_VALUE"""),"ONIX720")</f>
        <v>ONIX720</v>
      </c>
      <c r="B826" s="4" t="str">
        <f>IFERROR(__xludf.DUMMYFUNCTION("""COMPUTED_VALUE"""),"Kathleen Hintikka")</f>
        <v>Kathleen Hintikka</v>
      </c>
      <c r="C826" s="4" t="str">
        <f>IFERROR(__xludf.DUMMYFUNCTION("""COMPUTED_VALUE"""),"kathleen.hintikka@onixnet.com")</f>
        <v>kathleen.hintikka@onixnet.com</v>
      </c>
      <c r="D826" s="4" t="str">
        <f>IFERROR(__xludf.DUMMYFUNCTION("""COMPUTED_VALUE"""),"Active")</f>
        <v>Active</v>
      </c>
      <c r="E826" s="4" t="str">
        <f>IFERROR(__xludf.DUMMYFUNCTION("""COMPUTED_VALUE"""),"Services")</f>
        <v>Services</v>
      </c>
      <c r="F826" s="4" t="str">
        <f>IFERROR(__xludf.DUMMYFUNCTION("""COMPUTED_VALUE"""),"James Vandermost")</f>
        <v>James Vandermost</v>
      </c>
      <c r="G826" s="4" t="str">
        <f>IFERROR(__xludf.DUMMYFUNCTION("""COMPUTED_VALUE"""),"Portfolio - Thomas (AI)")</f>
        <v>Portfolio - Thomas (AI)</v>
      </c>
      <c r="H826" s="4" t="str">
        <f>IFERROR(__xludf.DUMMYFUNCTION("""COMPUTED_VALUE"""),"ONIKHTJC1")</f>
        <v>ONIKHTJC1</v>
      </c>
      <c r="I826" s="5">
        <f>IFERROR(__xludf.DUMMYFUNCTION("""COMPUTED_VALUE"""),28.0)</f>
        <v>28</v>
      </c>
      <c r="J826" s="4" t="str">
        <f>IFERROR(__xludf.DUMMYFUNCTION("""COMPUTED_VALUE"""),"Tier 3")</f>
        <v>Tier 3</v>
      </c>
      <c r="K826" s="4" t="str">
        <f>IFERROR(__xludf.DUMMYFUNCTION("""COMPUTED_VALUE"""),"Active")</f>
        <v>Active</v>
      </c>
      <c r="L826" s="4" t="str">
        <f>IFERROR(__xludf.DUMMYFUNCTION("""COMPUTED_VALUE"""),"Gemini Enterprise Agent Platform")</f>
        <v>Gemini Enterprise Agent Platform</v>
      </c>
    </row>
    <row r="827">
      <c r="A827" s="4" t="str">
        <f>IFERROR(__xludf.DUMMYFUNCTION("""COMPUTED_VALUE"""),"ONIX730")</f>
        <v>ONIX730</v>
      </c>
      <c r="B827" s="4" t="str">
        <f>IFERROR(__xludf.DUMMYFUNCTION("""COMPUTED_VALUE"""),"Shwetha Vincy")</f>
        <v>Shwetha Vincy</v>
      </c>
      <c r="C827" s="4" t="str">
        <f>IFERROR(__xludf.DUMMYFUNCTION("""COMPUTED_VALUE"""),"shwetha.vincy@onixnet.com")</f>
        <v>shwetha.vincy@onixnet.com</v>
      </c>
      <c r="D827" s="4" t="str">
        <f>IFERROR(__xludf.DUMMYFUNCTION("""COMPUTED_VALUE"""),"Active")</f>
        <v>Active</v>
      </c>
      <c r="E827" s="4" t="str">
        <f>IFERROR(__xludf.DUMMYFUNCTION("""COMPUTED_VALUE"""),"Sales")</f>
        <v>Sales</v>
      </c>
      <c r="F827" s="4" t="str">
        <f>IFERROR(__xludf.DUMMYFUNCTION("""COMPUTED_VALUE"""),"Ankur Kashyap")</f>
        <v>Ankur Kashyap</v>
      </c>
      <c r="G827" s="4" t="str">
        <f>IFERROR(__xludf.DUMMYFUNCTION("""COMPUTED_VALUE"""),"Portfolio - Ankur (Sales)")</f>
        <v>Portfolio - Ankur (Sales)</v>
      </c>
      <c r="H827" s="4" t="str">
        <f>IFERROR(__xludf.DUMMYFUNCTION("""COMPUTED_VALUE"""),"ONISVGLR7")</f>
        <v>ONISVGLR7</v>
      </c>
      <c r="I827" s="5">
        <f>IFERROR(__xludf.DUMMYFUNCTION("""COMPUTED_VALUE"""),0.0)</f>
        <v>0</v>
      </c>
      <c r="J827" s="4" t="str">
        <f>IFERROR(__xludf.DUMMYFUNCTION("""COMPUTED_VALUE"""),"Tier 4")</f>
        <v>Tier 4</v>
      </c>
      <c r="K827" s="4" t="str">
        <f>IFERROR(__xludf.DUMMYFUNCTION("""COMPUTED_VALUE"""),"ID Created DRP score 0")</f>
        <v>ID Created DRP score 0</v>
      </c>
      <c r="L827" s="4"/>
    </row>
    <row r="828">
      <c r="A828" s="4" t="str">
        <f>IFERROR(__xludf.DUMMYFUNCTION("""COMPUTED_VALUE"""),"ONIX725")</f>
        <v>ONIX725</v>
      </c>
      <c r="B828" s="4" t="str">
        <f>IFERROR(__xludf.DUMMYFUNCTION("""COMPUTED_VALUE"""),"Anjana Parasuram")</f>
        <v>Anjana Parasuram</v>
      </c>
      <c r="C828" s="4" t="str">
        <f>IFERROR(__xludf.DUMMYFUNCTION("""COMPUTED_VALUE"""),"anjana.parasuram@onixnet.com")</f>
        <v>anjana.parasuram@onixnet.com</v>
      </c>
      <c r="D828" s="4" t="str">
        <f>IFERROR(__xludf.DUMMYFUNCTION("""COMPUTED_VALUE"""),"Active")</f>
        <v>Active</v>
      </c>
      <c r="E828" s="4" t="str">
        <f>IFERROR(__xludf.DUMMYFUNCTION("""COMPUTED_VALUE"""),"Services")</f>
        <v>Services</v>
      </c>
      <c r="F828" s="4" t="str">
        <f>IFERROR(__xludf.DUMMYFUNCTION("""COMPUTED_VALUE"""),"Thomas Kraus")</f>
        <v>Thomas Kraus</v>
      </c>
      <c r="G828" s="4" t="str">
        <f>IFERROR(__xludf.DUMMYFUNCTION("""COMPUTED_VALUE"""),"Portfolio - Ankur (Sales)")</f>
        <v>Portfolio - Ankur (Sales)</v>
      </c>
      <c r="H828" s="4" t="str">
        <f>IFERROR(__xludf.DUMMYFUNCTION("""COMPUTED_VALUE"""),"ONIAPQAF9")</f>
        <v>ONIAPQAF9</v>
      </c>
      <c r="I828" s="5">
        <f>IFERROR(__xludf.DUMMYFUNCTION("""COMPUTED_VALUE"""),15.0)</f>
        <v>15</v>
      </c>
      <c r="J828" s="4" t="str">
        <f>IFERROR(__xludf.DUMMYFUNCTION("""COMPUTED_VALUE"""),"Tier 4")</f>
        <v>Tier 4</v>
      </c>
      <c r="K828" s="4" t="str">
        <f>IFERROR(__xludf.DUMMYFUNCTION("""COMPUTED_VALUE"""),"Active")</f>
        <v>Active</v>
      </c>
      <c r="L828" s="4" t="str">
        <f>IFERROR(__xludf.DUMMYFUNCTION("""COMPUTED_VALUE"""),"Gemini Enterprise")</f>
        <v>Gemini Enterprise</v>
      </c>
    </row>
    <row r="829">
      <c r="A829" s="4" t="str">
        <f>IFERROR(__xludf.DUMMYFUNCTION("""COMPUTED_VALUE"""),"ONIX724")</f>
        <v>ONIX724</v>
      </c>
      <c r="B829" s="4" t="str">
        <f>IFERROR(__xludf.DUMMYFUNCTION("""COMPUTED_VALUE"""),"Vinod Ghogare Ghogare")</f>
        <v>Vinod Ghogare Ghogare</v>
      </c>
      <c r="C829" s="4" t="str">
        <f>IFERROR(__xludf.DUMMYFUNCTION("""COMPUTED_VALUE"""),"vinod.ghogare@onixnet.com")</f>
        <v>vinod.ghogare@onixnet.com</v>
      </c>
      <c r="D829" s="4" t="str">
        <f>IFERROR(__xludf.DUMMYFUNCTION("""COMPUTED_VALUE"""),"Active")</f>
        <v>Active</v>
      </c>
      <c r="E829" s="4" t="str">
        <f>IFERROR(__xludf.DUMMYFUNCTION("""COMPUTED_VALUE"""),"Services")</f>
        <v>Services</v>
      </c>
      <c r="F829" s="4" t="str">
        <f>IFERROR(__xludf.DUMMYFUNCTION("""COMPUTED_VALUE"""),"Venkat Srinivasan")</f>
        <v>Venkat Srinivasan</v>
      </c>
      <c r="G829" s="4" t="str">
        <f>IFERROR(__xludf.DUMMYFUNCTION("""COMPUTED_VALUE"""),"Portfolio - Thomas (AI)")</f>
        <v>Portfolio - Thomas (AI)</v>
      </c>
      <c r="H829" s="4" t="str">
        <f>IFERROR(__xludf.DUMMYFUNCTION("""COMPUTED_VALUE"""),"ONIVGRNZ5")</f>
        <v>ONIVGRNZ5</v>
      </c>
      <c r="I829" s="5">
        <f>IFERROR(__xludf.DUMMYFUNCTION("""COMPUTED_VALUE"""),0.0)</f>
        <v>0</v>
      </c>
      <c r="J829" s="4" t="str">
        <f>IFERROR(__xludf.DUMMYFUNCTION("""COMPUTED_VALUE"""),"Tier 4")</f>
        <v>Tier 4</v>
      </c>
      <c r="K829" s="4" t="str">
        <f>IFERROR(__xludf.DUMMYFUNCTION("""COMPUTED_VALUE"""),"ID Created DRP score 0")</f>
        <v>ID Created DRP score 0</v>
      </c>
      <c r="L829" s="4"/>
    </row>
    <row r="830">
      <c r="A830" s="4" t="str">
        <f>IFERROR(__xludf.DUMMYFUNCTION("""COMPUTED_VALUE"""),"ONIX722")</f>
        <v>ONIX722</v>
      </c>
      <c r="B830" s="4" t="str">
        <f>IFERROR(__xludf.DUMMYFUNCTION("""COMPUTED_VALUE"""),"Shubham Rajendra Ashtekar")</f>
        <v>Shubham Rajendra Ashtekar</v>
      </c>
      <c r="C830" s="4" t="str">
        <f>IFERROR(__xludf.DUMMYFUNCTION("""COMPUTED_VALUE"""),"shubham.ashtekar@onixnet.com")</f>
        <v>shubham.ashtekar@onixnet.com</v>
      </c>
      <c r="D830" s="4" t="str">
        <f>IFERROR(__xludf.DUMMYFUNCTION("""COMPUTED_VALUE"""),"Active")</f>
        <v>Active</v>
      </c>
      <c r="E830" s="4" t="str">
        <f>IFERROR(__xludf.DUMMYFUNCTION("""COMPUTED_VALUE"""),"Services")</f>
        <v>Services</v>
      </c>
      <c r="F830" s="4" t="str">
        <f>IFERROR(__xludf.DUMMYFUNCTION("""COMPUTED_VALUE"""),"LeePatrick McIntire")</f>
        <v>LeePatrick McIntire</v>
      </c>
      <c r="G830" s="4" t="str">
        <f>IFERROR(__xludf.DUMMYFUNCTION("""COMPUTED_VALUE"""),"Portfolio - Thomas (AI)")</f>
        <v>Portfolio - Thomas (AI)</v>
      </c>
      <c r="H830" s="4" t="str">
        <f>IFERROR(__xludf.DUMMYFUNCTION("""COMPUTED_VALUE"""),"ONISANDO9")</f>
        <v>ONISANDO9</v>
      </c>
      <c r="I830" s="5">
        <f>IFERROR(__xludf.DUMMYFUNCTION("""COMPUTED_VALUE"""),32.0)</f>
        <v>32</v>
      </c>
      <c r="J830" s="4" t="str">
        <f>IFERROR(__xludf.DUMMYFUNCTION("""COMPUTED_VALUE"""),"Tier 3")</f>
        <v>Tier 3</v>
      </c>
      <c r="K830" s="4" t="str">
        <f>IFERROR(__xludf.DUMMYFUNCTION("""COMPUTED_VALUE"""),"Active")</f>
        <v>Active</v>
      </c>
      <c r="L830" s="4" t="str">
        <f>IFERROR(__xludf.DUMMYFUNCTION("""COMPUTED_VALUE"""),"Gemini Enterprise Agent Platform")</f>
        <v>Gemini Enterprise Agent Platform</v>
      </c>
    </row>
    <row r="831">
      <c r="A831" s="4" t="str">
        <f>IFERROR(__xludf.DUMMYFUNCTION("""COMPUTED_VALUE"""),"ONIX721")</f>
        <v>ONIX721</v>
      </c>
      <c r="B831" s="4" t="str">
        <f>IFERROR(__xludf.DUMMYFUNCTION("""COMPUTED_VALUE"""),"Alexander Grossman")</f>
        <v>Alexander Grossman</v>
      </c>
      <c r="C831" s="4" t="str">
        <f>IFERROR(__xludf.DUMMYFUNCTION("""COMPUTED_VALUE"""),"alexander.grossman@onixnet.com")</f>
        <v>alexander.grossman@onixnet.com</v>
      </c>
      <c r="D831" s="4" t="str">
        <f>IFERROR(__xludf.DUMMYFUNCTION("""COMPUTED_VALUE"""),"Active")</f>
        <v>Active</v>
      </c>
      <c r="E831" s="4" t="str">
        <f>IFERROR(__xludf.DUMMYFUNCTION("""COMPUTED_VALUE"""),"Services")</f>
        <v>Services</v>
      </c>
      <c r="F831" s="4" t="str">
        <f>IFERROR(__xludf.DUMMYFUNCTION("""COMPUTED_VALUE"""),"James Vandermost")</f>
        <v>James Vandermost</v>
      </c>
      <c r="G831" s="4" t="str">
        <f>IFERROR(__xludf.DUMMYFUNCTION("""COMPUTED_VALUE"""),"Portfolio - Thomas (AI)")</f>
        <v>Portfolio - Thomas (AI)</v>
      </c>
      <c r="H831" s="4" t="str">
        <f>IFERROR(__xludf.DUMMYFUNCTION("""COMPUTED_VALUE"""),"ONIAGEGU7")</f>
        <v>ONIAGEGU7</v>
      </c>
      <c r="I831" s="5">
        <f>IFERROR(__xludf.DUMMYFUNCTION("""COMPUTED_VALUE"""),17.0)</f>
        <v>17</v>
      </c>
      <c r="J831" s="4" t="str">
        <f>IFERROR(__xludf.DUMMYFUNCTION("""COMPUTED_VALUE"""),"Tier 4")</f>
        <v>Tier 4</v>
      </c>
      <c r="K831" s="4" t="str">
        <f>IFERROR(__xludf.DUMMYFUNCTION("""COMPUTED_VALUE"""),"Active")</f>
        <v>Active</v>
      </c>
      <c r="L831" s="4" t="str">
        <f>IFERROR(__xludf.DUMMYFUNCTION("""COMPUTED_VALUE"""),"AI Applications")</f>
        <v>AI Applications</v>
      </c>
    </row>
    <row r="832">
      <c r="A832" s="4" t="str">
        <f>IFERROR(__xludf.DUMMYFUNCTION("""COMPUTED_VALUE"""),"ONIX714")</f>
        <v>ONIX714</v>
      </c>
      <c r="B832" s="4" t="str">
        <f>IFERROR(__xludf.DUMMYFUNCTION("""COMPUTED_VALUE"""),"Nicholas Osborn")</f>
        <v>Nicholas Osborn</v>
      </c>
      <c r="C832" s="4" t="str">
        <f>IFERROR(__xludf.DUMMYFUNCTION("""COMPUTED_VALUE"""),"nick.osborn@onixnet.com")</f>
        <v>nick.osborn@onixnet.com</v>
      </c>
      <c r="D832" s="4" t="str">
        <f>IFERROR(__xludf.DUMMYFUNCTION("""COMPUTED_VALUE"""),"Active")</f>
        <v>Active</v>
      </c>
      <c r="E832" s="4" t="str">
        <f>IFERROR(__xludf.DUMMYFUNCTION("""COMPUTED_VALUE"""),"Services")</f>
        <v>Services</v>
      </c>
      <c r="F832" s="4" t="str">
        <f>IFERROR(__xludf.DUMMYFUNCTION("""COMPUTED_VALUE"""),"LeePatrick McIntire")</f>
        <v>LeePatrick McIntire</v>
      </c>
      <c r="G832" s="4" t="str">
        <f>IFERROR(__xludf.DUMMYFUNCTION("""COMPUTED_VALUE"""),"Portfolio - Thomas (AI)")</f>
        <v>Portfolio - Thomas (AI)</v>
      </c>
      <c r="H832" s="4" t="str">
        <f>IFERROR(__xludf.DUMMYFUNCTION("""COMPUTED_VALUE"""),"ONINOJDR5")</f>
        <v>ONINOJDR5</v>
      </c>
      <c r="I832" s="5">
        <f>IFERROR(__xludf.DUMMYFUNCTION("""COMPUTED_VALUE"""),19.0)</f>
        <v>19</v>
      </c>
      <c r="J832" s="4" t="str">
        <f>IFERROR(__xludf.DUMMYFUNCTION("""COMPUTED_VALUE"""),"Tier 4")</f>
        <v>Tier 4</v>
      </c>
      <c r="K832" s="4" t="str">
        <f>IFERROR(__xludf.DUMMYFUNCTION("""COMPUTED_VALUE"""),"Active")</f>
        <v>Active</v>
      </c>
      <c r="L832" s="4" t="str">
        <f>IFERROR(__xludf.DUMMYFUNCTION("""COMPUTED_VALUE"""),"BigQuery")</f>
        <v>BigQuery</v>
      </c>
    </row>
    <row r="833">
      <c r="A833" s="4" t="str">
        <f>IFERROR(__xludf.DUMMYFUNCTION("""COMPUTED_VALUE"""),"ONIX719")</f>
        <v>ONIX719</v>
      </c>
      <c r="B833" s="4" t="str">
        <f>IFERROR(__xludf.DUMMYFUNCTION("""COMPUTED_VALUE"""),"Austin Williams")</f>
        <v>Austin Williams</v>
      </c>
      <c r="C833" s="4" t="str">
        <f>IFERROR(__xludf.DUMMYFUNCTION("""COMPUTED_VALUE"""),"austin.williams@onixnet.com")</f>
        <v>austin.williams@onixnet.com</v>
      </c>
      <c r="D833" s="4" t="str">
        <f>IFERROR(__xludf.DUMMYFUNCTION("""COMPUTED_VALUE"""),"Active")</f>
        <v>Active</v>
      </c>
      <c r="E833" s="4" t="str">
        <f>IFERROR(__xludf.DUMMYFUNCTION("""COMPUTED_VALUE"""),"Services")</f>
        <v>Services</v>
      </c>
      <c r="F833" s="4" t="str">
        <f>IFERROR(__xludf.DUMMYFUNCTION("""COMPUTED_VALUE"""),"James Vandermost")</f>
        <v>James Vandermost</v>
      </c>
      <c r="G833" s="4" t="str">
        <f>IFERROR(__xludf.DUMMYFUNCTION("""COMPUTED_VALUE"""),"Portfolio - Thomas (AI)")</f>
        <v>Portfolio - Thomas (AI)</v>
      </c>
      <c r="H833" s="4" t="str">
        <f>IFERROR(__xludf.DUMMYFUNCTION("""COMPUTED_VALUE"""),"ONIAWASA2")</f>
        <v>ONIAWASA2</v>
      </c>
      <c r="I833" s="5">
        <f>IFERROR(__xludf.DUMMYFUNCTION("""COMPUTED_VALUE"""),9.0)</f>
        <v>9</v>
      </c>
      <c r="J833" s="4" t="str">
        <f>IFERROR(__xludf.DUMMYFUNCTION("""COMPUTED_VALUE"""),"Tier 4")</f>
        <v>Tier 4</v>
      </c>
      <c r="K833" s="4" t="str">
        <f>IFERROR(__xludf.DUMMYFUNCTION("""COMPUTED_VALUE"""),"Active")</f>
        <v>Active</v>
      </c>
      <c r="L833" s="4" t="str">
        <f>IFERROR(__xludf.DUMMYFUNCTION("""COMPUTED_VALUE"""),"AI Applications")</f>
        <v>AI Applications</v>
      </c>
    </row>
    <row r="834">
      <c r="A834" s="4" t="str">
        <f>IFERROR(__xludf.DUMMYFUNCTION("""COMPUTED_VALUE"""),"DME2864")</f>
        <v>DME2864</v>
      </c>
      <c r="B834" s="4" t="str">
        <f>IFERROR(__xludf.DUMMYFUNCTION("""COMPUTED_VALUE"""),"Kolluru Purna Prabha Haritha")</f>
        <v>Kolluru Purna Prabha Haritha</v>
      </c>
      <c r="C834" s="4" t="str">
        <f>IFERROR(__xludf.DUMMYFUNCTION("""COMPUTED_VALUE"""),"haritha.kolluru@onixnet.com")</f>
        <v>haritha.kolluru@onixnet.com</v>
      </c>
      <c r="D834" s="4" t="str">
        <f>IFERROR(__xludf.DUMMYFUNCTION("""COMPUTED_VALUE"""),"Active")</f>
        <v>Active</v>
      </c>
      <c r="E834" s="4" t="str">
        <f>IFERROR(__xludf.DUMMYFUNCTION("""COMPUTED_VALUE"""),"Delivery Services")</f>
        <v>Delivery Services</v>
      </c>
      <c r="F834" s="4" t="str">
        <f>IFERROR(__xludf.DUMMYFUNCTION("""COMPUTED_VALUE"""),"Jitender Singh")</f>
        <v>Jitender Singh</v>
      </c>
      <c r="G834" s="4" t="str">
        <f>IFERROR(__xludf.DUMMYFUNCTION("""COMPUTED_VALUE"""),"Cluster - Gaurav")</f>
        <v>Cluster - Gaurav</v>
      </c>
      <c r="H834" s="4" t="str">
        <f>IFERROR(__xludf.DUMMYFUNCTION("""COMPUTED_VALUE"""),"ONIHKEEA6")</f>
        <v>ONIHKEEA6</v>
      </c>
      <c r="I834" s="5">
        <f>IFERROR(__xludf.DUMMYFUNCTION("""COMPUTED_VALUE"""),14.0)</f>
        <v>14</v>
      </c>
      <c r="J834" s="4" t="str">
        <f>IFERROR(__xludf.DUMMYFUNCTION("""COMPUTED_VALUE"""),"Tier 4")</f>
        <v>Tier 4</v>
      </c>
      <c r="K834" s="4" t="str">
        <f>IFERROR(__xludf.DUMMYFUNCTION("""COMPUTED_VALUE"""),"Active")</f>
        <v>Active</v>
      </c>
      <c r="L834" s="4" t="str">
        <f>IFERROR(__xludf.DUMMYFUNCTION("""COMPUTED_VALUE"""),"AI Applications")</f>
        <v>AI Applications</v>
      </c>
    </row>
    <row r="835">
      <c r="A835" s="4" t="str">
        <f>IFERROR(__xludf.DUMMYFUNCTION("""COMPUTED_VALUE"""),"DME2867")</f>
        <v>DME2867</v>
      </c>
      <c r="B835" s="4" t="str">
        <f>IFERROR(__xludf.DUMMYFUNCTION("""COMPUTED_VALUE"""),"Vaibhav Vijay More")</f>
        <v>Vaibhav Vijay More</v>
      </c>
      <c r="C835" s="4" t="str">
        <f>IFERROR(__xludf.DUMMYFUNCTION("""COMPUTED_VALUE"""),"vaibhav.more@onixnet.com")</f>
        <v>vaibhav.more@onixnet.com</v>
      </c>
      <c r="D835" s="4" t="str">
        <f>IFERROR(__xludf.DUMMYFUNCTION("""COMPUTED_VALUE"""),"Active")</f>
        <v>Active</v>
      </c>
      <c r="E835" s="4" t="str">
        <f>IFERROR(__xludf.DUMMYFUNCTION("""COMPUTED_VALUE"""),"Product Engineering")</f>
        <v>Product Engineering</v>
      </c>
      <c r="F835" s="4" t="str">
        <f>IFERROR(__xludf.DUMMYFUNCTION("""COMPUTED_VALUE"""),"Shantanu Charpe")</f>
        <v>Shantanu Charpe</v>
      </c>
      <c r="G835" s="4" t="str">
        <f>IFERROR(__xludf.DUMMYFUNCTION("""COMPUTED_VALUE"""),"Cluster - Mayur")</f>
        <v>Cluster - Mayur</v>
      </c>
      <c r="H835" s="4" t="str">
        <f>IFERROR(__xludf.DUMMYFUNCTION("""COMPUTED_VALUE"""),"ONIVMHZY9")</f>
        <v>ONIVMHZY9</v>
      </c>
      <c r="I835" s="5">
        <f>IFERROR(__xludf.DUMMYFUNCTION("""COMPUTED_VALUE"""),20.0)</f>
        <v>20</v>
      </c>
      <c r="J835" s="4" t="str">
        <f>IFERROR(__xludf.DUMMYFUNCTION("""COMPUTED_VALUE"""),"Tier 3")</f>
        <v>Tier 3</v>
      </c>
      <c r="K835" s="4" t="str">
        <f>IFERROR(__xludf.DUMMYFUNCTION("""COMPUTED_VALUE"""),"Active")</f>
        <v>Active</v>
      </c>
      <c r="L835" s="4" t="str">
        <f>IFERROR(__xludf.DUMMYFUNCTION("""COMPUTED_VALUE"""),"AI Applications")</f>
        <v>AI Applications</v>
      </c>
    </row>
    <row r="836">
      <c r="A836" s="4" t="str">
        <f>IFERROR(__xludf.DUMMYFUNCTION("""COMPUTED_VALUE"""),"DME2866")</f>
        <v>DME2866</v>
      </c>
      <c r="B836" s="4" t="str">
        <f>IFERROR(__xludf.DUMMYFUNCTION("""COMPUTED_VALUE"""),"Sunny Madhukar Darade")</f>
        <v>Sunny Madhukar Darade</v>
      </c>
      <c r="C836" s="4" t="str">
        <f>IFERROR(__xludf.DUMMYFUNCTION("""COMPUTED_VALUE"""),"sunny.darade@onixnet.com")</f>
        <v>sunny.darade@onixnet.com</v>
      </c>
      <c r="D836" s="4" t="str">
        <f>IFERROR(__xludf.DUMMYFUNCTION("""COMPUTED_VALUE"""),"Active")</f>
        <v>Active</v>
      </c>
      <c r="E836" s="4" t="str">
        <f>IFERROR(__xludf.DUMMYFUNCTION("""COMPUTED_VALUE"""),"Eagle Assessment")</f>
        <v>Eagle Assessment</v>
      </c>
      <c r="F836" s="4" t="str">
        <f>IFERROR(__xludf.DUMMYFUNCTION("""COMPUTED_VALUE"""),"Chahat Patni")</f>
        <v>Chahat Patni</v>
      </c>
      <c r="G836" s="4" t="str">
        <f>IFERROR(__xludf.DUMMYFUNCTION("""COMPUTED_VALUE"""),"Cluster - Kalpa")</f>
        <v>Cluster - Kalpa</v>
      </c>
      <c r="H836" s="4" t="str">
        <f>IFERROR(__xludf.DUMMYFUNCTION("""COMPUTED_VALUE"""),"ONISDAQG0")</f>
        <v>ONISDAQG0</v>
      </c>
      <c r="I836" s="5">
        <f>IFERROR(__xludf.DUMMYFUNCTION("""COMPUTED_VALUE"""),6.0)</f>
        <v>6</v>
      </c>
      <c r="J836" s="4" t="str">
        <f>IFERROR(__xludf.DUMMYFUNCTION("""COMPUTED_VALUE"""),"Tier 4")</f>
        <v>Tier 4</v>
      </c>
      <c r="K836" s="4" t="str">
        <f>IFERROR(__xludf.DUMMYFUNCTION("""COMPUTED_VALUE"""),"Active")</f>
        <v>Active</v>
      </c>
      <c r="L836" s="4" t="str">
        <f>IFERROR(__xludf.DUMMYFUNCTION("""COMPUTED_VALUE"""),"Gemini Enterprise Agent Platform")</f>
        <v>Gemini Enterprise Agent Platform</v>
      </c>
    </row>
    <row r="837">
      <c r="A837" s="4" t="str">
        <f>IFERROR(__xludf.DUMMYFUNCTION("""COMPUTED_VALUE"""),"DME2869")</f>
        <v>DME2869</v>
      </c>
      <c r="B837" s="4" t="str">
        <f>IFERROR(__xludf.DUMMYFUNCTION("""COMPUTED_VALUE"""),"Vishwajeet Navnath Wakle")</f>
        <v>Vishwajeet Navnath Wakle</v>
      </c>
      <c r="C837" s="4" t="str">
        <f>IFERROR(__xludf.DUMMYFUNCTION("""COMPUTED_VALUE"""),"vishwajeet.wakle@onixnet.com")</f>
        <v>vishwajeet.wakle@onixnet.com</v>
      </c>
      <c r="D837" s="4" t="str">
        <f>IFERROR(__xludf.DUMMYFUNCTION("""COMPUTED_VALUE"""),"Active")</f>
        <v>Active</v>
      </c>
      <c r="E837" s="4" t="str">
        <f>IFERROR(__xludf.DUMMYFUNCTION("""COMPUTED_VALUE"""),"Product Engineering")</f>
        <v>Product Engineering</v>
      </c>
      <c r="F837" s="4" t="str">
        <f>IFERROR(__xludf.DUMMYFUNCTION("""COMPUTED_VALUE"""),"Amruta Sikchi")</f>
        <v>Amruta Sikchi</v>
      </c>
      <c r="G837" s="4" t="str">
        <f>IFERROR(__xludf.DUMMYFUNCTION("""COMPUTED_VALUE"""),"Cluster - Mayur")</f>
        <v>Cluster - Mayur</v>
      </c>
      <c r="H837" s="4" t="str">
        <f>IFERROR(__xludf.DUMMYFUNCTION("""COMPUTED_VALUE"""),"ONIVWYFA0")</f>
        <v>ONIVWYFA0</v>
      </c>
      <c r="I837" s="5">
        <f>IFERROR(__xludf.DUMMYFUNCTION("""COMPUTED_VALUE"""),25.0)</f>
        <v>25</v>
      </c>
      <c r="J837" s="4" t="str">
        <f>IFERROR(__xludf.DUMMYFUNCTION("""COMPUTED_VALUE"""),"Tier 3")</f>
        <v>Tier 3</v>
      </c>
      <c r="K837" s="4" t="str">
        <f>IFERROR(__xludf.DUMMYFUNCTION("""COMPUTED_VALUE"""),"Active")</f>
        <v>Active</v>
      </c>
      <c r="L837" s="4" t="str">
        <f>IFERROR(__xludf.DUMMYFUNCTION("""COMPUTED_VALUE"""),"Gemini Enterprise")</f>
        <v>Gemini Enterprise</v>
      </c>
    </row>
    <row r="838">
      <c r="A838" s="4" t="str">
        <f>IFERROR(__xludf.DUMMYFUNCTION("""COMPUTED_VALUE"""),"DME2870")</f>
        <v>DME2870</v>
      </c>
      <c r="B838" s="4" t="str">
        <f>IFERROR(__xludf.DUMMYFUNCTION("""COMPUTED_VALUE"""),"RISHAV VARSHNEY")</f>
        <v>RISHAV VARSHNEY</v>
      </c>
      <c r="C838" s="4" t="str">
        <f>IFERROR(__xludf.DUMMYFUNCTION("""COMPUTED_VALUE"""),"rishav.varshney@onixnet.com")</f>
        <v>rishav.varshney@onixnet.com</v>
      </c>
      <c r="D838" s="4" t="str">
        <f>IFERROR(__xludf.DUMMYFUNCTION("""COMPUTED_VALUE"""),"Active")</f>
        <v>Active</v>
      </c>
      <c r="E838" s="4" t="str">
        <f>IFERROR(__xludf.DUMMYFUNCTION("""COMPUTED_VALUE"""),"Delivery Services")</f>
        <v>Delivery Services</v>
      </c>
      <c r="F838" s="4" t="str">
        <f>IFERROR(__xludf.DUMMYFUNCTION("""COMPUTED_VALUE"""),"Hemanth Kolluru")</f>
        <v>Hemanth Kolluru</v>
      </c>
      <c r="G838" s="4" t="str">
        <f>IFERROR(__xludf.DUMMYFUNCTION("""COMPUTED_VALUE"""),"Cluster - Sachin")</f>
        <v>Cluster - Sachin</v>
      </c>
      <c r="H838" s="4" t="str">
        <f>IFERROR(__xludf.DUMMYFUNCTION("""COMPUTED_VALUE"""),"ONIRVURX6")</f>
        <v>ONIRVURX6</v>
      </c>
      <c r="I838" s="5">
        <f>IFERROR(__xludf.DUMMYFUNCTION("""COMPUTED_VALUE"""),5.0)</f>
        <v>5</v>
      </c>
      <c r="J838" s="4" t="str">
        <f>IFERROR(__xludf.DUMMYFUNCTION("""COMPUTED_VALUE"""),"Tier 4")</f>
        <v>Tier 4</v>
      </c>
      <c r="K838" s="4" t="str">
        <f>IFERROR(__xludf.DUMMYFUNCTION("""COMPUTED_VALUE"""),"Active")</f>
        <v>Active</v>
      </c>
      <c r="L838" s="4" t="str">
        <f>IFERROR(__xludf.DUMMYFUNCTION("""COMPUTED_VALUE"""),"Gemini Enterprise Agent Platform")</f>
        <v>Gemini Enterprise Agent Platform</v>
      </c>
    </row>
    <row r="839">
      <c r="A839" s="4" t="str">
        <f>IFERROR(__xludf.DUMMYFUNCTION("""COMPUTED_VALUE"""),"DME2874")</f>
        <v>DME2874</v>
      </c>
      <c r="B839" s="4" t="str">
        <f>IFERROR(__xludf.DUMMYFUNCTION("""COMPUTED_VALUE"""),"Khizar Aakil Shaikh")</f>
        <v>Khizar Aakil Shaikh</v>
      </c>
      <c r="C839" s="4" t="str">
        <f>IFERROR(__xludf.DUMMYFUNCTION("""COMPUTED_VALUE"""),"khizar.Aakil@onixnet.com")</f>
        <v>khizar.Aakil@onixnet.com</v>
      </c>
      <c r="D839" s="4" t="str">
        <f>IFERROR(__xludf.DUMMYFUNCTION("""COMPUTED_VALUE"""),"Active")</f>
        <v>Active</v>
      </c>
      <c r="E839" s="4" t="str">
        <f>IFERROR(__xludf.DUMMYFUNCTION("""COMPUTED_VALUE"""),"Product Engineering")</f>
        <v>Product Engineering</v>
      </c>
      <c r="F839" s="4" t="str">
        <f>IFERROR(__xludf.DUMMYFUNCTION("""COMPUTED_VALUE"""),"Harshit Soni")</f>
        <v>Harshit Soni</v>
      </c>
      <c r="G839" s="4" t="str">
        <f>IFERROR(__xludf.DUMMYFUNCTION("""COMPUTED_VALUE"""),"Cluster - Mayur")</f>
        <v>Cluster - Mayur</v>
      </c>
      <c r="H839" s="4" t="str">
        <f>IFERROR(__xludf.DUMMYFUNCTION("""COMPUTED_VALUE"""),"ONIKSTLN1")</f>
        <v>ONIKSTLN1</v>
      </c>
      <c r="I839" s="5">
        <f>IFERROR(__xludf.DUMMYFUNCTION("""COMPUTED_VALUE"""),0.0)</f>
        <v>0</v>
      </c>
      <c r="J839" s="4" t="str">
        <f>IFERROR(__xludf.DUMMYFUNCTION("""COMPUTED_VALUE"""),"Tier 4")</f>
        <v>Tier 4</v>
      </c>
      <c r="K839" s="4" t="str">
        <f>IFERROR(__xludf.DUMMYFUNCTION("""COMPUTED_VALUE"""),"ID Created DRP score 0")</f>
        <v>ID Created DRP score 0</v>
      </c>
      <c r="L839" s="4"/>
    </row>
    <row r="840">
      <c r="A840" s="4" t="str">
        <f>IFERROR(__xludf.DUMMYFUNCTION("""COMPUTED_VALUE"""),"DME2875")</f>
        <v>DME2875</v>
      </c>
      <c r="B840" s="4" t="str">
        <f>IFERROR(__xludf.DUMMYFUNCTION("""COMPUTED_VALUE"""),"Aditya Sanjay Kundale")</f>
        <v>Aditya Sanjay Kundale</v>
      </c>
      <c r="C840" s="4" t="str">
        <f>IFERROR(__xludf.DUMMYFUNCTION("""COMPUTED_VALUE"""),"aditya.kundale@onixnet.com")</f>
        <v>aditya.kundale@onixnet.com</v>
      </c>
      <c r="D840" s="4" t="str">
        <f>IFERROR(__xludf.DUMMYFUNCTION("""COMPUTED_VALUE"""),"Active")</f>
        <v>Active</v>
      </c>
      <c r="E840" s="4" t="str">
        <f>IFERROR(__xludf.DUMMYFUNCTION("""COMPUTED_VALUE"""),"Delivery Services")</f>
        <v>Delivery Services</v>
      </c>
      <c r="F840" s="4" t="str">
        <f>IFERROR(__xludf.DUMMYFUNCTION("""COMPUTED_VALUE"""),"Nisha Chandrakant Dhole")</f>
        <v>Nisha Chandrakant Dhole</v>
      </c>
      <c r="G840" s="4" t="str">
        <f>IFERROR(__xludf.DUMMYFUNCTION("""COMPUTED_VALUE"""),"Cluster - Sagar")</f>
        <v>Cluster - Sagar</v>
      </c>
      <c r="H840" s="4" t="str">
        <f>IFERROR(__xludf.DUMMYFUNCTION("""COMPUTED_VALUE"""),"ONIAKRIM2")</f>
        <v>ONIAKRIM2</v>
      </c>
      <c r="I840" s="5">
        <f>IFERROR(__xludf.DUMMYFUNCTION("""COMPUTED_VALUE"""),5.0)</f>
        <v>5</v>
      </c>
      <c r="J840" s="4" t="str">
        <f>IFERROR(__xludf.DUMMYFUNCTION("""COMPUTED_VALUE"""),"Tier 4")</f>
        <v>Tier 4</v>
      </c>
      <c r="K840" s="4" t="str">
        <f>IFERROR(__xludf.DUMMYFUNCTION("""COMPUTED_VALUE"""),"Active")</f>
        <v>Active</v>
      </c>
      <c r="L840" s="4" t="str">
        <f>IFERROR(__xludf.DUMMYFUNCTION("""COMPUTED_VALUE"""),"Gemini Enterprise Agent Platform")</f>
        <v>Gemini Enterprise Agent Platform</v>
      </c>
    </row>
    <row r="841">
      <c r="A841" s="4" t="str">
        <f>IFERROR(__xludf.DUMMYFUNCTION("""COMPUTED_VALUE"""),"DME2872")</f>
        <v>DME2872</v>
      </c>
      <c r="B841" s="4" t="str">
        <f>IFERROR(__xludf.DUMMYFUNCTION("""COMPUTED_VALUE"""),"PRIYA SINGLA")</f>
        <v>PRIYA SINGLA</v>
      </c>
      <c r="C841" s="4" t="str">
        <f>IFERROR(__xludf.DUMMYFUNCTION("""COMPUTED_VALUE"""),"priya.singla@onixnet.com")</f>
        <v>priya.singla@onixnet.com</v>
      </c>
      <c r="D841" s="4" t="str">
        <f>IFERROR(__xludf.DUMMYFUNCTION("""COMPUTED_VALUE"""),"Active")</f>
        <v>Active</v>
      </c>
      <c r="E841" s="4" t="str">
        <f>IFERROR(__xludf.DUMMYFUNCTION("""COMPUTED_VALUE"""),"Delivery Services")</f>
        <v>Delivery Services</v>
      </c>
      <c r="F841" s="4" t="str">
        <f>IFERROR(__xludf.DUMMYFUNCTION("""COMPUTED_VALUE"""),"Varun Katyal")</f>
        <v>Varun Katyal</v>
      </c>
      <c r="G841" s="4" t="str">
        <f>IFERROR(__xludf.DUMMYFUNCTION("""COMPUTED_VALUE"""),"Cluster - Varun")</f>
        <v>Cluster - Varun</v>
      </c>
      <c r="H841" s="4" t="str">
        <f>IFERROR(__xludf.DUMMYFUNCTION("""COMPUTED_VALUE"""),"ONIPSCXF2")</f>
        <v>ONIPSCXF2</v>
      </c>
      <c r="I841" s="5">
        <f>IFERROR(__xludf.DUMMYFUNCTION("""COMPUTED_VALUE"""),20.0)</f>
        <v>20</v>
      </c>
      <c r="J841" s="4" t="str">
        <f>IFERROR(__xludf.DUMMYFUNCTION("""COMPUTED_VALUE"""),"Tier 3")</f>
        <v>Tier 3</v>
      </c>
      <c r="K841" s="4" t="str">
        <f>IFERROR(__xludf.DUMMYFUNCTION("""COMPUTED_VALUE"""),"Active")</f>
        <v>Active</v>
      </c>
      <c r="L841" s="4" t="str">
        <f>IFERROR(__xludf.DUMMYFUNCTION("""COMPUTED_VALUE"""),"Gemini Enterprise Agent Platform")</f>
        <v>Gemini Enterprise Agent Platform</v>
      </c>
    </row>
    <row r="842">
      <c r="A842" s="4" t="str">
        <f>IFERROR(__xludf.DUMMYFUNCTION("""COMPUTED_VALUE"""),"DME2871")</f>
        <v>DME2871</v>
      </c>
      <c r="B842" s="4" t="str">
        <f>IFERROR(__xludf.DUMMYFUNCTION("""COMPUTED_VALUE"""),"Utkarsh Maurya")</f>
        <v>Utkarsh Maurya</v>
      </c>
      <c r="C842" s="4" t="str">
        <f>IFERROR(__xludf.DUMMYFUNCTION("""COMPUTED_VALUE"""),"utkarsh.maurya@onixnet.com")</f>
        <v>utkarsh.maurya@onixnet.com</v>
      </c>
      <c r="D842" s="4" t="str">
        <f>IFERROR(__xludf.DUMMYFUNCTION("""COMPUTED_VALUE"""),"Active")</f>
        <v>Active</v>
      </c>
      <c r="E842" s="4" t="str">
        <f>IFERROR(__xludf.DUMMYFUNCTION("""COMPUTED_VALUE"""),"Delivery Services")</f>
        <v>Delivery Services</v>
      </c>
      <c r="F842" s="4" t="str">
        <f>IFERROR(__xludf.DUMMYFUNCTION("""COMPUTED_VALUE"""),"Sumati Patil")</f>
        <v>Sumati Patil</v>
      </c>
      <c r="G842" s="4" t="str">
        <f>IFERROR(__xludf.DUMMYFUNCTION("""COMPUTED_VALUE"""),"Cluster - Sandeep")</f>
        <v>Cluster - Sandeep</v>
      </c>
      <c r="H842" s="4" t="str">
        <f>IFERROR(__xludf.DUMMYFUNCTION("""COMPUTED_VALUE"""),"ONIUMLCW9")</f>
        <v>ONIUMLCW9</v>
      </c>
      <c r="I842" s="5">
        <f>IFERROR(__xludf.DUMMYFUNCTION("""COMPUTED_VALUE"""),49.0)</f>
        <v>49</v>
      </c>
      <c r="J842" s="4" t="str">
        <f>IFERROR(__xludf.DUMMYFUNCTION("""COMPUTED_VALUE"""),"Tier 2")</f>
        <v>Tier 2</v>
      </c>
      <c r="K842" s="4" t="str">
        <f>IFERROR(__xludf.DUMMYFUNCTION("""COMPUTED_VALUE"""),"Active")</f>
        <v>Active</v>
      </c>
      <c r="L842" s="4" t="str">
        <f>IFERROR(__xludf.DUMMYFUNCTION("""COMPUTED_VALUE"""),"Gemini Enterprise Agent Platform")</f>
        <v>Gemini Enterprise Agent Platform</v>
      </c>
    </row>
    <row r="843">
      <c r="A843" s="4" t="str">
        <f>IFERROR(__xludf.DUMMYFUNCTION("""COMPUTED_VALUE"""),"ONIX728")</f>
        <v>ONIX728</v>
      </c>
      <c r="B843" s="4" t="str">
        <f>IFERROR(__xludf.DUMMYFUNCTION("""COMPUTED_VALUE"""),"Alexis Thompson")</f>
        <v>Alexis Thompson</v>
      </c>
      <c r="C843" s="4" t="str">
        <f>IFERROR(__xludf.DUMMYFUNCTION("""COMPUTED_VALUE"""),"alexis.thompson@onixnet.com")</f>
        <v>alexis.thompson@onixnet.com</v>
      </c>
      <c r="D843" s="4" t="str">
        <f>IFERROR(__xludf.DUMMYFUNCTION("""COMPUTED_VALUE"""),"Active")</f>
        <v>Active</v>
      </c>
      <c r="E843" s="4" t="str">
        <f>IFERROR(__xludf.DUMMYFUNCTION("""COMPUTED_VALUE"""),"Services")</f>
        <v>Services</v>
      </c>
      <c r="F843" s="4" t="str">
        <f>IFERROR(__xludf.DUMMYFUNCTION("""COMPUTED_VALUE"""),"James Vandermost")</f>
        <v>James Vandermost</v>
      </c>
      <c r="G843" s="4" t="str">
        <f>IFERROR(__xludf.DUMMYFUNCTION("""COMPUTED_VALUE"""),"Portfolio - Thomas (AI)")</f>
        <v>Portfolio - Thomas (AI)</v>
      </c>
      <c r="H843" s="4" t="str">
        <f>IFERROR(__xludf.DUMMYFUNCTION("""COMPUTED_VALUE"""),"ONIATMKE9")</f>
        <v>ONIATMKE9</v>
      </c>
      <c r="I843" s="5">
        <f>IFERROR(__xludf.DUMMYFUNCTION("""COMPUTED_VALUE"""),27.0)</f>
        <v>27</v>
      </c>
      <c r="J843" s="4" t="str">
        <f>IFERROR(__xludf.DUMMYFUNCTION("""COMPUTED_VALUE"""),"Tier 3")</f>
        <v>Tier 3</v>
      </c>
      <c r="K843" s="4" t="str">
        <f>IFERROR(__xludf.DUMMYFUNCTION("""COMPUTED_VALUE"""),"Active")</f>
        <v>Active</v>
      </c>
      <c r="L843" s="4" t="str">
        <f>IFERROR(__xludf.DUMMYFUNCTION("""COMPUTED_VALUE"""),"GECX - CX Agent Studio")</f>
        <v>GECX - CX Agent Studio</v>
      </c>
    </row>
    <row r="844">
      <c r="A844" s="4" t="str">
        <f>IFERROR(__xludf.DUMMYFUNCTION("""COMPUTED_VALUE"""),"DME2876")</f>
        <v>DME2876</v>
      </c>
      <c r="B844" s="4" t="str">
        <f>IFERROR(__xludf.DUMMYFUNCTION("""COMPUTED_VALUE"""),"Ankush Sanjay Shirbhate")</f>
        <v>Ankush Sanjay Shirbhate</v>
      </c>
      <c r="C844" s="4" t="str">
        <f>IFERROR(__xludf.DUMMYFUNCTION("""COMPUTED_VALUE"""),"ankush.shirbhate@onixnet.com")</f>
        <v>ankush.shirbhate@onixnet.com</v>
      </c>
      <c r="D844" s="4" t="str">
        <f>IFERROR(__xludf.DUMMYFUNCTION("""COMPUTED_VALUE"""),"Active")</f>
        <v>Active</v>
      </c>
      <c r="E844" s="4" t="str">
        <f>IFERROR(__xludf.DUMMYFUNCTION("""COMPUTED_VALUE"""),"Delivery Services")</f>
        <v>Delivery Services</v>
      </c>
      <c r="F844" s="4" t="str">
        <f>IFERROR(__xludf.DUMMYFUNCTION("""COMPUTED_VALUE"""),"Priyanka Parab")</f>
        <v>Priyanka Parab</v>
      </c>
      <c r="G844" s="4" t="str">
        <f>IFERROR(__xludf.DUMMYFUNCTION("""COMPUTED_VALUE"""),"Cluster - Sagar")</f>
        <v>Cluster - Sagar</v>
      </c>
      <c r="H844" s="4" t="str">
        <f>IFERROR(__xludf.DUMMYFUNCTION("""COMPUTED_VALUE"""),"ONIASOHD3")</f>
        <v>ONIASOHD3</v>
      </c>
      <c r="I844" s="5">
        <f>IFERROR(__xludf.DUMMYFUNCTION("""COMPUTED_VALUE"""),5.0)</f>
        <v>5</v>
      </c>
      <c r="J844" s="4" t="str">
        <f>IFERROR(__xludf.DUMMYFUNCTION("""COMPUTED_VALUE"""),"Tier 4")</f>
        <v>Tier 4</v>
      </c>
      <c r="K844" s="4" t="str">
        <f>IFERROR(__xludf.DUMMYFUNCTION("""COMPUTED_VALUE"""),"Active")</f>
        <v>Active</v>
      </c>
      <c r="L844" s="4" t="str">
        <f>IFERROR(__xludf.DUMMYFUNCTION("""COMPUTED_VALUE"""),"Gemini Enterprise Agent Platform")</f>
        <v>Gemini Enterprise Agent Platform</v>
      </c>
    </row>
    <row r="845">
      <c r="A845" s="4" t="str">
        <f>IFERROR(__xludf.DUMMYFUNCTION("""COMPUTED_VALUE"""),"DME2877")</f>
        <v>DME2877</v>
      </c>
      <c r="B845" s="4" t="str">
        <f>IFERROR(__xludf.DUMMYFUNCTION("""COMPUTED_VALUE"""),"Snehal Sanjay Magdum")</f>
        <v>Snehal Sanjay Magdum</v>
      </c>
      <c r="C845" s="4" t="str">
        <f>IFERROR(__xludf.DUMMYFUNCTION("""COMPUTED_VALUE"""),"snehal.magdum@onixnet.com")</f>
        <v>snehal.magdum@onixnet.com</v>
      </c>
      <c r="D845" s="4" t="str">
        <f>IFERROR(__xludf.DUMMYFUNCTION("""COMPUTED_VALUE"""),"Active")</f>
        <v>Active</v>
      </c>
      <c r="E845" s="4" t="str">
        <f>IFERROR(__xludf.DUMMYFUNCTION("""COMPUTED_VALUE"""),"Product Engineering")</f>
        <v>Product Engineering</v>
      </c>
      <c r="F845" s="4" t="str">
        <f>IFERROR(__xludf.DUMMYFUNCTION("""COMPUTED_VALUE"""),"Gayathri Keerthivasagam")</f>
        <v>Gayathri Keerthivasagam</v>
      </c>
      <c r="G845" s="4" t="str">
        <f>IFERROR(__xludf.DUMMYFUNCTION("""COMPUTED_VALUE"""),"Cluster - Mayur")</f>
        <v>Cluster - Mayur</v>
      </c>
      <c r="H845" s="4"/>
      <c r="I845" s="5"/>
      <c r="J845" s="4"/>
      <c r="K845" s="4" t="str">
        <f>IFERROR(__xludf.DUMMYFUNCTION("""COMPUTED_VALUE"""),"ID Not Created")</f>
        <v>ID Not Created</v>
      </c>
      <c r="L845" s="4"/>
    </row>
    <row r="846">
      <c r="A846" s="4" t="str">
        <f>IFERROR(__xludf.DUMMYFUNCTION("""COMPUTED_VALUE"""),"DME2880")</f>
        <v>DME2880</v>
      </c>
      <c r="B846" s="4" t="str">
        <f>IFERROR(__xludf.DUMMYFUNCTION("""COMPUTED_VALUE"""),"Chidananda Parida")</f>
        <v>Chidananda Parida</v>
      </c>
      <c r="C846" s="4" t="str">
        <f>IFERROR(__xludf.DUMMYFUNCTION("""COMPUTED_VALUE"""),"chidananda.parida@onixnet.com")</f>
        <v>chidananda.parida@onixnet.com</v>
      </c>
      <c r="D846" s="4" t="str">
        <f>IFERROR(__xludf.DUMMYFUNCTION("""COMPUTED_VALUE"""),"Active")</f>
        <v>Active</v>
      </c>
      <c r="E846" s="4" t="str">
        <f>IFERROR(__xludf.DUMMYFUNCTION("""COMPUTED_VALUE"""),"Delivery Services")</f>
        <v>Delivery Services</v>
      </c>
      <c r="F846" s="4" t="str">
        <f>IFERROR(__xludf.DUMMYFUNCTION("""COMPUTED_VALUE"""),"Venkatavivekananda Sala")</f>
        <v>Venkatavivekananda Sala</v>
      </c>
      <c r="G846" s="4" t="str">
        <f>IFERROR(__xludf.DUMMYFUNCTION("""COMPUTED_VALUE"""),"Cluster - Sachin")</f>
        <v>Cluster - Sachin</v>
      </c>
      <c r="H846" s="4" t="str">
        <f>IFERROR(__xludf.DUMMYFUNCTION("""COMPUTED_VALUE"""),"ONICPXDR0")</f>
        <v>ONICPXDR0</v>
      </c>
      <c r="I846" s="5">
        <f>IFERROR(__xludf.DUMMYFUNCTION("""COMPUTED_VALUE"""),15.0)</f>
        <v>15</v>
      </c>
      <c r="J846" s="4" t="str">
        <f>IFERROR(__xludf.DUMMYFUNCTION("""COMPUTED_VALUE"""),"Tier 4")</f>
        <v>Tier 4</v>
      </c>
      <c r="K846" s="4" t="str">
        <f>IFERROR(__xludf.DUMMYFUNCTION("""COMPUTED_VALUE"""),"Active")</f>
        <v>Active</v>
      </c>
      <c r="L846" s="4" t="str">
        <f>IFERROR(__xludf.DUMMYFUNCTION("""COMPUTED_VALUE"""),"Gemini Enterprise Agent Platform")</f>
        <v>Gemini Enterprise Agent Platform</v>
      </c>
    </row>
    <row r="847">
      <c r="A847" s="4" t="str">
        <f>IFERROR(__xludf.DUMMYFUNCTION("""COMPUTED_VALUE"""),"DME2896")</f>
        <v>DME2896</v>
      </c>
      <c r="B847" s="4" t="str">
        <f>IFERROR(__xludf.DUMMYFUNCTION("""COMPUTED_VALUE"""),"Atul Vikas Gite")</f>
        <v>Atul Vikas Gite</v>
      </c>
      <c r="C847" s="4" t="str">
        <f>IFERROR(__xludf.DUMMYFUNCTION("""COMPUTED_VALUE"""),"atul.Gite@onixnet.com")</f>
        <v>atul.Gite@onixnet.com</v>
      </c>
      <c r="D847" s="4" t="str">
        <f>IFERROR(__xludf.DUMMYFUNCTION("""COMPUTED_VALUE"""),"Active")</f>
        <v>Active</v>
      </c>
      <c r="E847" s="4" t="str">
        <f>IFERROR(__xludf.DUMMYFUNCTION("""COMPUTED_VALUE"""),"Product Engineering")</f>
        <v>Product Engineering</v>
      </c>
      <c r="F847" s="4" t="str">
        <f>IFERROR(__xludf.DUMMYFUNCTION("""COMPUTED_VALUE"""),"Aditya Basak")</f>
        <v>Aditya Basak</v>
      </c>
      <c r="G847" s="4" t="str">
        <f>IFERROR(__xludf.DUMMYFUNCTION("""COMPUTED_VALUE"""),"Cluster - Mayur")</f>
        <v>Cluster - Mayur</v>
      </c>
      <c r="H847" s="4" t="str">
        <f>IFERROR(__xludf.DUMMYFUNCTION("""COMPUTED_VALUE"""),"ONIAGXHB2")</f>
        <v>ONIAGXHB2</v>
      </c>
      <c r="I847" s="5">
        <f>IFERROR(__xludf.DUMMYFUNCTION("""COMPUTED_VALUE"""),5.0)</f>
        <v>5</v>
      </c>
      <c r="J847" s="4" t="str">
        <f>IFERROR(__xludf.DUMMYFUNCTION("""COMPUTED_VALUE"""),"Tier 4")</f>
        <v>Tier 4</v>
      </c>
      <c r="K847" s="4" t="str">
        <f>IFERROR(__xludf.DUMMYFUNCTION("""COMPUTED_VALUE"""),"Active")</f>
        <v>Active</v>
      </c>
      <c r="L847" s="4" t="str">
        <f>IFERROR(__xludf.DUMMYFUNCTION("""COMPUTED_VALUE"""),"Gemini Enterprise Agent Platform")</f>
        <v>Gemini Enterprise Agent Platform</v>
      </c>
    </row>
    <row r="848">
      <c r="A848" s="4" t="str">
        <f>IFERROR(__xludf.DUMMYFUNCTION("""COMPUTED_VALUE"""),"DME2882")</f>
        <v>DME2882</v>
      </c>
      <c r="B848" s="4" t="str">
        <f>IFERROR(__xludf.DUMMYFUNCTION("""COMPUTED_VALUE"""),"Pradeep Sahebrao Gaware")</f>
        <v>Pradeep Sahebrao Gaware</v>
      </c>
      <c r="C848" s="4" t="str">
        <f>IFERROR(__xludf.DUMMYFUNCTION("""COMPUTED_VALUE"""),"pradeep.gaware@onixnet.com")</f>
        <v>pradeep.gaware@onixnet.com</v>
      </c>
      <c r="D848" s="4" t="str">
        <f>IFERROR(__xludf.DUMMYFUNCTION("""COMPUTED_VALUE"""),"Active")</f>
        <v>Active</v>
      </c>
      <c r="E848" s="4" t="str">
        <f>IFERROR(__xludf.DUMMYFUNCTION("""COMPUTED_VALUE"""),"Delivery Services")</f>
        <v>Delivery Services</v>
      </c>
      <c r="F848" s="4" t="str">
        <f>IFERROR(__xludf.DUMMYFUNCTION("""COMPUTED_VALUE"""),"Naveen Harish")</f>
        <v>Naveen Harish</v>
      </c>
      <c r="G848" s="4" t="str">
        <f>IFERROR(__xludf.DUMMYFUNCTION("""COMPUTED_VALUE"""),"Cluster - Varun")</f>
        <v>Cluster - Varun</v>
      </c>
      <c r="H848" s="4"/>
      <c r="I848" s="5"/>
      <c r="J848" s="4"/>
      <c r="K848" s="4" t="str">
        <f>IFERROR(__xludf.DUMMYFUNCTION("""COMPUTED_VALUE"""),"ID Not Created")</f>
        <v>ID Not Created</v>
      </c>
      <c r="L848" s="4"/>
    </row>
    <row r="849">
      <c r="A849" s="4" t="str">
        <f>IFERROR(__xludf.DUMMYFUNCTION("""COMPUTED_VALUE"""),"DME2888")</f>
        <v>DME2888</v>
      </c>
      <c r="B849" s="4" t="str">
        <f>IFERROR(__xludf.DUMMYFUNCTION("""COMPUTED_VALUE"""),"Prashant Uttam Jadhav")</f>
        <v>Prashant Uttam Jadhav</v>
      </c>
      <c r="C849" s="4" t="str">
        <f>IFERROR(__xludf.DUMMYFUNCTION("""COMPUTED_VALUE"""),"prashant.Jadhav@onixnet.com")</f>
        <v>prashant.Jadhav@onixnet.com</v>
      </c>
      <c r="D849" s="4" t="str">
        <f>IFERROR(__xludf.DUMMYFUNCTION("""COMPUTED_VALUE"""),"Active")</f>
        <v>Active</v>
      </c>
      <c r="E849" s="4" t="str">
        <f>IFERROR(__xludf.DUMMYFUNCTION("""COMPUTED_VALUE"""),"Product Engineering")</f>
        <v>Product Engineering</v>
      </c>
      <c r="F849" s="4" t="str">
        <f>IFERROR(__xludf.DUMMYFUNCTION("""COMPUTED_VALUE"""),"Savan Tak")</f>
        <v>Savan Tak</v>
      </c>
      <c r="G849" s="4" t="str">
        <f>IFERROR(__xludf.DUMMYFUNCTION("""COMPUTED_VALUE"""),"Cluster - Mayur")</f>
        <v>Cluster - Mayur</v>
      </c>
      <c r="H849" s="4" t="str">
        <f>IFERROR(__xludf.DUMMYFUNCTION("""COMPUTED_VALUE"""),"ONIPJWNI5")</f>
        <v>ONIPJWNI5</v>
      </c>
      <c r="I849" s="5">
        <f>IFERROR(__xludf.DUMMYFUNCTION("""COMPUTED_VALUE"""),0.0)</f>
        <v>0</v>
      </c>
      <c r="J849" s="4" t="str">
        <f>IFERROR(__xludf.DUMMYFUNCTION("""COMPUTED_VALUE"""),"Tier 4")</f>
        <v>Tier 4</v>
      </c>
      <c r="K849" s="4" t="str">
        <f>IFERROR(__xludf.DUMMYFUNCTION("""COMPUTED_VALUE"""),"ID Created DRP score 0")</f>
        <v>ID Created DRP score 0</v>
      </c>
      <c r="L849" s="4"/>
    </row>
    <row r="850">
      <c r="A850" s="4" t="str">
        <f>IFERROR(__xludf.DUMMYFUNCTION("""COMPUTED_VALUE"""),"DME2885")</f>
        <v>DME2885</v>
      </c>
      <c r="B850" s="4" t="str">
        <f>IFERROR(__xludf.DUMMYFUNCTION("""COMPUTED_VALUE"""),"Prabhjot Singh")</f>
        <v>Prabhjot Singh</v>
      </c>
      <c r="C850" s="4" t="str">
        <f>IFERROR(__xludf.DUMMYFUNCTION("""COMPUTED_VALUE"""),"prabhjot.singh@onixnet.com")</f>
        <v>prabhjot.singh@onixnet.com</v>
      </c>
      <c r="D850" s="4" t="str">
        <f>IFERROR(__xludf.DUMMYFUNCTION("""COMPUTED_VALUE"""),"Active")</f>
        <v>Active</v>
      </c>
      <c r="E850" s="4" t="str">
        <f>IFERROR(__xludf.DUMMYFUNCTION("""COMPUTED_VALUE"""),"Delivery Services")</f>
        <v>Delivery Services</v>
      </c>
      <c r="F850" s="4" t="str">
        <f>IFERROR(__xludf.DUMMYFUNCTION("""COMPUTED_VALUE"""),"Varun Katyal")</f>
        <v>Varun Katyal</v>
      </c>
      <c r="G850" s="4" t="str">
        <f>IFERROR(__xludf.DUMMYFUNCTION("""COMPUTED_VALUE"""),"Cluster - Varun")</f>
        <v>Cluster - Varun</v>
      </c>
      <c r="H850" s="4" t="str">
        <f>IFERROR(__xludf.DUMMYFUNCTION("""COMPUTED_VALUE"""),"ONIPSFFB8")</f>
        <v>ONIPSFFB8</v>
      </c>
      <c r="I850" s="5">
        <f>IFERROR(__xludf.DUMMYFUNCTION("""COMPUTED_VALUE"""),0.0)</f>
        <v>0</v>
      </c>
      <c r="J850" s="4" t="str">
        <f>IFERROR(__xludf.DUMMYFUNCTION("""COMPUTED_VALUE"""),"Tier 4")</f>
        <v>Tier 4</v>
      </c>
      <c r="K850" s="4" t="str">
        <f>IFERROR(__xludf.DUMMYFUNCTION("""COMPUTED_VALUE"""),"ID Created DRP score 0")</f>
        <v>ID Created DRP score 0</v>
      </c>
      <c r="L850" s="4"/>
    </row>
    <row r="851">
      <c r="A851" s="4" t="str">
        <f>IFERROR(__xludf.DUMMYFUNCTION("""COMPUTED_VALUE"""),"DME2891")</f>
        <v>DME2891</v>
      </c>
      <c r="B851" s="4" t="str">
        <f>IFERROR(__xludf.DUMMYFUNCTION("""COMPUTED_VALUE"""),"Jadhav Uddhav Dnyanoba")</f>
        <v>Jadhav Uddhav Dnyanoba</v>
      </c>
      <c r="C851" s="4" t="str">
        <f>IFERROR(__xludf.DUMMYFUNCTION("""COMPUTED_VALUE"""),"uddhav.jadhav@onixnet.com")</f>
        <v>uddhav.jadhav@onixnet.com</v>
      </c>
      <c r="D851" s="4" t="str">
        <f>IFERROR(__xludf.DUMMYFUNCTION("""COMPUTED_VALUE"""),"Active")</f>
        <v>Active</v>
      </c>
      <c r="E851" s="4" t="str">
        <f>IFERROR(__xludf.DUMMYFUNCTION("""COMPUTED_VALUE"""),"Delivery Services")</f>
        <v>Delivery Services</v>
      </c>
      <c r="F851" s="4" t="str">
        <f>IFERROR(__xludf.DUMMYFUNCTION("""COMPUTED_VALUE"""),"Jitender Singh")</f>
        <v>Jitender Singh</v>
      </c>
      <c r="G851" s="4" t="str">
        <f>IFERROR(__xludf.DUMMYFUNCTION("""COMPUTED_VALUE"""),"Cluster - Gaurav")</f>
        <v>Cluster - Gaurav</v>
      </c>
      <c r="H851" s="4" t="str">
        <f>IFERROR(__xludf.DUMMYFUNCTION("""COMPUTED_VALUE"""),"ONIUJYKR2")</f>
        <v>ONIUJYKR2</v>
      </c>
      <c r="I851" s="5">
        <f>IFERROR(__xludf.DUMMYFUNCTION("""COMPUTED_VALUE"""),5.0)</f>
        <v>5</v>
      </c>
      <c r="J851" s="4" t="str">
        <f>IFERROR(__xludf.DUMMYFUNCTION("""COMPUTED_VALUE"""),"Tier 4")</f>
        <v>Tier 4</v>
      </c>
      <c r="K851" s="4" t="str">
        <f>IFERROR(__xludf.DUMMYFUNCTION("""COMPUTED_VALUE"""),"Active")</f>
        <v>Active</v>
      </c>
      <c r="L851" s="4" t="str">
        <f>IFERROR(__xludf.DUMMYFUNCTION("""COMPUTED_VALUE"""),"Gemini Enterprise Agent Platform")</f>
        <v>Gemini Enterprise Agent Platform</v>
      </c>
    </row>
    <row r="852">
      <c r="A852" s="4" t="str">
        <f>IFERROR(__xludf.DUMMYFUNCTION("""COMPUTED_VALUE"""),"DMUK0011")</f>
        <v>DMUK0011</v>
      </c>
      <c r="B852" s="4" t="str">
        <f>IFERROR(__xludf.DUMMYFUNCTION("""COMPUTED_VALUE"""),"Katsiaryna Stankevich")</f>
        <v>Katsiaryna Stankevich</v>
      </c>
      <c r="C852" s="4" t="str">
        <f>IFERROR(__xludf.DUMMYFUNCTION("""COMPUTED_VALUE"""),"katsiaryna.stankevich@onixnet.com")</f>
        <v>katsiaryna.stankevich@onixnet.com</v>
      </c>
      <c r="D852" s="4" t="str">
        <f>IFERROR(__xludf.DUMMYFUNCTION("""COMPUTED_VALUE"""),"Active")</f>
        <v>Active</v>
      </c>
      <c r="E852" s="4" t="str">
        <f>IFERROR(__xludf.DUMMYFUNCTION("""COMPUTED_VALUE"""),"Delivery Services")</f>
        <v>Delivery Services</v>
      </c>
      <c r="F852" s="4" t="str">
        <f>IFERROR(__xludf.DUMMYFUNCTION("""COMPUTED_VALUE"""),"Siddharth Bhandari")</f>
        <v>Siddharth Bhandari</v>
      </c>
      <c r="G852" s="4" t="str">
        <f>IFERROR(__xludf.DUMMYFUNCTION("""COMPUTED_VALUE"""),"Portfolio - Siddharth")</f>
        <v>Portfolio - Siddharth</v>
      </c>
      <c r="H852" s="4" t="str">
        <f>IFERROR(__xludf.DUMMYFUNCTION("""COMPUTED_VALUE"""),"ONIKSJOW5")</f>
        <v>ONIKSJOW5</v>
      </c>
      <c r="I852" s="5">
        <f>IFERROR(__xludf.DUMMYFUNCTION("""COMPUTED_VALUE"""),24.0)</f>
        <v>24</v>
      </c>
      <c r="J852" s="4" t="str">
        <f>IFERROR(__xludf.DUMMYFUNCTION("""COMPUTED_VALUE"""),"Tier 3")</f>
        <v>Tier 3</v>
      </c>
      <c r="K852" s="4" t="str">
        <f>IFERROR(__xludf.DUMMYFUNCTION("""COMPUTED_VALUE"""),"Active")</f>
        <v>Active</v>
      </c>
      <c r="L852" s="4" t="str">
        <f>IFERROR(__xludf.DUMMYFUNCTION("""COMPUTED_VALUE"""),"Gemini Enterprise Agent Platform")</f>
        <v>Gemini Enterprise Agent Platform</v>
      </c>
    </row>
    <row r="853">
      <c r="A853" s="4" t="str">
        <f>IFERROR(__xludf.DUMMYFUNCTION("""COMPUTED_VALUE"""),"ONIX723")</f>
        <v>ONIX723</v>
      </c>
      <c r="B853" s="4" t="str">
        <f>IFERROR(__xludf.DUMMYFUNCTION("""COMPUTED_VALUE"""),"David Alberto")</f>
        <v>David Alberto</v>
      </c>
      <c r="C853" s="4" t="str">
        <f>IFERROR(__xludf.DUMMYFUNCTION("""COMPUTED_VALUE"""),"david.alberto@onixnet.com")</f>
        <v>david.alberto@onixnet.com</v>
      </c>
      <c r="D853" s="4" t="str">
        <f>IFERROR(__xludf.DUMMYFUNCTION("""COMPUTED_VALUE"""),"Active")</f>
        <v>Active</v>
      </c>
      <c r="E853" s="4" t="str">
        <f>IFERROR(__xludf.DUMMYFUNCTION("""COMPUTED_VALUE"""),"Services")</f>
        <v>Services</v>
      </c>
      <c r="F853" s="4" t="str">
        <f>IFERROR(__xludf.DUMMYFUNCTION("""COMPUTED_VALUE"""),"Pawan Kamat")</f>
        <v>Pawan Kamat</v>
      </c>
      <c r="G853" s="4" t="str">
        <f>IFERROR(__xludf.DUMMYFUNCTION("""COMPUTED_VALUE"""),"Portfolio - Kanth")</f>
        <v>Portfolio - Kanth</v>
      </c>
      <c r="H853" s="4" t="str">
        <f>IFERROR(__xludf.DUMMYFUNCTION("""COMPUTED_VALUE"""),"ONIDAIAM0")</f>
        <v>ONIDAIAM0</v>
      </c>
      <c r="I853" s="5">
        <f>IFERROR(__xludf.DUMMYFUNCTION("""COMPUTED_VALUE"""),29.0)</f>
        <v>29</v>
      </c>
      <c r="J853" s="4" t="str">
        <f>IFERROR(__xludf.DUMMYFUNCTION("""COMPUTED_VALUE"""),"Tier 3")</f>
        <v>Tier 3</v>
      </c>
      <c r="K853" s="4" t="str">
        <f>IFERROR(__xludf.DUMMYFUNCTION("""COMPUTED_VALUE"""),"Active")</f>
        <v>Active</v>
      </c>
      <c r="L853" s="4" t="str">
        <f>IFERROR(__xludf.DUMMYFUNCTION("""COMPUTED_VALUE"""),"BigQuery")</f>
        <v>BigQuery</v>
      </c>
    </row>
    <row r="854">
      <c r="A854" s="4" t="str">
        <f>IFERROR(__xludf.DUMMYFUNCTION("""COMPUTED_VALUE"""),"ONIX726")</f>
        <v>ONIX726</v>
      </c>
      <c r="B854" s="4" t="str">
        <f>IFERROR(__xludf.DUMMYFUNCTION("""COMPUTED_VALUE"""),"Lakshmikanth Nagapudi")</f>
        <v>Lakshmikanth Nagapudi</v>
      </c>
      <c r="C854" s="4" t="str">
        <f>IFERROR(__xludf.DUMMYFUNCTION("""COMPUTED_VALUE"""),"kanth.nagapudi@onixnet.com")</f>
        <v>kanth.nagapudi@onixnet.com</v>
      </c>
      <c r="D854" s="4" t="str">
        <f>IFERROR(__xludf.DUMMYFUNCTION("""COMPUTED_VALUE"""),"Active")</f>
        <v>Active</v>
      </c>
      <c r="E854" s="4" t="str">
        <f>IFERROR(__xludf.DUMMYFUNCTION("""COMPUTED_VALUE"""),"Services")</f>
        <v>Services</v>
      </c>
      <c r="F854" s="4" t="str">
        <f>IFERROR(__xludf.DUMMYFUNCTION("""COMPUTED_VALUE"""),"Patrick Schablitzki")</f>
        <v>Patrick Schablitzki</v>
      </c>
      <c r="G854" s="4" t="str">
        <f>IFERROR(__xludf.DUMMYFUNCTION("""COMPUTED_VALUE"""),"Portfolio - Patrick")</f>
        <v>Portfolio - Patrick</v>
      </c>
      <c r="H854" s="4" t="str">
        <f>IFERROR(__xludf.DUMMYFUNCTION("""COMPUTED_VALUE"""),"ONIKNKWM7")</f>
        <v>ONIKNKWM7</v>
      </c>
      <c r="I854" s="5">
        <f>IFERROR(__xludf.DUMMYFUNCTION("""COMPUTED_VALUE"""),29.0)</f>
        <v>29</v>
      </c>
      <c r="J854" s="4" t="str">
        <f>IFERROR(__xludf.DUMMYFUNCTION("""COMPUTED_VALUE"""),"Tier 3")</f>
        <v>Tier 3</v>
      </c>
      <c r="K854" s="4" t="str">
        <f>IFERROR(__xludf.DUMMYFUNCTION("""COMPUTED_VALUE"""),"Active")</f>
        <v>Active</v>
      </c>
      <c r="L854" s="4" t="str">
        <f>IFERROR(__xludf.DUMMYFUNCTION("""COMPUTED_VALUE"""),"BigQuery")</f>
        <v>BigQuery</v>
      </c>
    </row>
    <row r="855">
      <c r="A855" s="4" t="str">
        <f>IFERROR(__xludf.DUMMYFUNCTION("""COMPUTED_VALUE"""),"ONIX734")</f>
        <v>ONIX734</v>
      </c>
      <c r="B855" s="4" t="str">
        <f>IFERROR(__xludf.DUMMYFUNCTION("""COMPUTED_VALUE"""),"shriya Haral")</f>
        <v>shriya Haral</v>
      </c>
      <c r="C855" s="4" t="str">
        <f>IFERROR(__xludf.DUMMYFUNCTION("""COMPUTED_VALUE"""),"shriya.haral@onixnet.com")</f>
        <v>shriya.haral@onixnet.com</v>
      </c>
      <c r="D855" s="4" t="str">
        <f>IFERROR(__xludf.DUMMYFUNCTION("""COMPUTED_VALUE"""),"Active")</f>
        <v>Active</v>
      </c>
      <c r="E855" s="4" t="str">
        <f>IFERROR(__xludf.DUMMYFUNCTION("""COMPUTED_VALUE"""),"Services")</f>
        <v>Services</v>
      </c>
      <c r="F855" s="4" t="str">
        <f>IFERROR(__xludf.DUMMYFUNCTION("""COMPUTED_VALUE"""),"James Vandermost")</f>
        <v>James Vandermost</v>
      </c>
      <c r="G855" s="4" t="str">
        <f>IFERROR(__xludf.DUMMYFUNCTION("""COMPUTED_VALUE"""),"Portfolio - Thomas (AI)")</f>
        <v>Portfolio - Thomas (AI)</v>
      </c>
      <c r="H855" s="4" t="str">
        <f>IFERROR(__xludf.DUMMYFUNCTION("""COMPUTED_VALUE"""),"ONISHRHQ8")</f>
        <v>ONISHRHQ8</v>
      </c>
      <c r="I855" s="5">
        <f>IFERROR(__xludf.DUMMYFUNCTION("""COMPUTED_VALUE"""),34.0)</f>
        <v>34</v>
      </c>
      <c r="J855" s="4" t="str">
        <f>IFERROR(__xludf.DUMMYFUNCTION("""COMPUTED_VALUE"""),"Tier 3")</f>
        <v>Tier 3</v>
      </c>
      <c r="K855" s="4" t="str">
        <f>IFERROR(__xludf.DUMMYFUNCTION("""COMPUTED_VALUE"""),"Active")</f>
        <v>Active</v>
      </c>
      <c r="L855" s="4" t="str">
        <f>IFERROR(__xludf.DUMMYFUNCTION("""COMPUTED_VALUE"""),"Gemini Enterprise Agent Platform")</f>
        <v>Gemini Enterprise Agent Platform</v>
      </c>
    </row>
    <row r="856">
      <c r="A856" s="4" t="str">
        <f>IFERROR(__xludf.DUMMYFUNCTION("""COMPUTED_VALUE"""),"ONIX738")</f>
        <v>ONIX738</v>
      </c>
      <c r="B856" s="4" t="str">
        <f>IFERROR(__xludf.DUMMYFUNCTION("""COMPUTED_VALUE"""),"Bimal Mehta")</f>
        <v>Bimal Mehta</v>
      </c>
      <c r="C856" s="4" t="str">
        <f>IFERROR(__xludf.DUMMYFUNCTION("""COMPUTED_VALUE"""),"bimal.mehta@onixnet.com")</f>
        <v>bimal.mehta@onixnet.com</v>
      </c>
      <c r="D856" s="4" t="str">
        <f>IFERROR(__xludf.DUMMYFUNCTION("""COMPUTED_VALUE"""),"Active")</f>
        <v>Active</v>
      </c>
      <c r="E856" s="4" t="str">
        <f>IFERROR(__xludf.DUMMYFUNCTION("""COMPUTED_VALUE"""),"Services")</f>
        <v>Services</v>
      </c>
      <c r="F856" s="4" t="str">
        <f>IFERROR(__xludf.DUMMYFUNCTION("""COMPUTED_VALUE"""),"Namrata Mehta")</f>
        <v>Namrata Mehta</v>
      </c>
      <c r="G856" s="4" t="str">
        <f>IFERROR(__xludf.DUMMYFUNCTION("""COMPUTED_VALUE"""),"Portfolio - Thomas (AI)")</f>
        <v>Portfolio - Thomas (AI)</v>
      </c>
      <c r="H856" s="4" t="str">
        <f>IFERROR(__xludf.DUMMYFUNCTION("""COMPUTED_VALUE"""),"ONIBMPEJ5")</f>
        <v>ONIBMPEJ5</v>
      </c>
      <c r="I856" s="5">
        <f>IFERROR(__xludf.DUMMYFUNCTION("""COMPUTED_VALUE"""),6.0)</f>
        <v>6</v>
      </c>
      <c r="J856" s="4" t="str">
        <f>IFERROR(__xludf.DUMMYFUNCTION("""COMPUTED_VALUE"""),"Tier 4")</f>
        <v>Tier 4</v>
      </c>
      <c r="K856" s="4" t="str">
        <f>IFERROR(__xludf.DUMMYFUNCTION("""COMPUTED_VALUE"""),"Active")</f>
        <v>Active</v>
      </c>
      <c r="L856" s="4" t="str">
        <f>IFERROR(__xludf.DUMMYFUNCTION("""COMPUTED_VALUE"""),"AlloyDB for PostgreSQL")</f>
        <v>AlloyDB for PostgreSQL</v>
      </c>
    </row>
    <row r="857">
      <c r="A857" s="4" t="str">
        <f>IFERROR(__xludf.DUMMYFUNCTION("""COMPUTED_VALUE"""),"DME2897")</f>
        <v>DME2897</v>
      </c>
      <c r="B857" s="4" t="str">
        <f>IFERROR(__xludf.DUMMYFUNCTION("""COMPUTED_VALUE"""),"Tejashree Dadabhau Shete")</f>
        <v>Tejashree Dadabhau Shete</v>
      </c>
      <c r="C857" s="4" t="str">
        <f>IFERROR(__xludf.DUMMYFUNCTION("""COMPUTED_VALUE"""),"tejashree.shete@onixnet.com")</f>
        <v>tejashree.shete@onixnet.com</v>
      </c>
      <c r="D857" s="4" t="str">
        <f>IFERROR(__xludf.DUMMYFUNCTION("""COMPUTED_VALUE"""),"Active")</f>
        <v>Active</v>
      </c>
      <c r="E857" s="4" t="str">
        <f>IFERROR(__xludf.DUMMYFUNCTION("""COMPUTED_VALUE"""),"Product Engineering")</f>
        <v>Product Engineering</v>
      </c>
      <c r="F857" s="4" t="str">
        <f>IFERROR(__xludf.DUMMYFUNCTION("""COMPUTED_VALUE"""),"Anurag Saxena")</f>
        <v>Anurag Saxena</v>
      </c>
      <c r="G857" s="4" t="str">
        <f>IFERROR(__xludf.DUMMYFUNCTION("""COMPUTED_VALUE"""),"Cluster - Mayur")</f>
        <v>Cluster - Mayur</v>
      </c>
      <c r="H857" s="4" t="str">
        <f>IFERROR(__xludf.DUMMYFUNCTION("""COMPUTED_VALUE"""),"ONITSLDZ3")</f>
        <v>ONITSLDZ3</v>
      </c>
      <c r="I857" s="5">
        <f>IFERROR(__xludf.DUMMYFUNCTION("""COMPUTED_VALUE"""),15.0)</f>
        <v>15</v>
      </c>
      <c r="J857" s="4" t="str">
        <f>IFERROR(__xludf.DUMMYFUNCTION("""COMPUTED_VALUE"""),"Tier 4")</f>
        <v>Tier 4</v>
      </c>
      <c r="K857" s="4" t="str">
        <f>IFERROR(__xludf.DUMMYFUNCTION("""COMPUTED_VALUE"""),"Active")</f>
        <v>Active</v>
      </c>
      <c r="L857" s="4" t="str">
        <f>IFERROR(__xludf.DUMMYFUNCTION("""COMPUTED_VALUE"""),"AI Applications")</f>
        <v>AI Applications</v>
      </c>
    </row>
    <row r="858">
      <c r="A858" s="4" t="str">
        <f>IFERROR(__xludf.DUMMYFUNCTION("""COMPUTED_VALUE"""),"DMC1001")</f>
        <v>DMC1001</v>
      </c>
      <c r="B858" s="4" t="str">
        <f>IFERROR(__xludf.DUMMYFUNCTION("""COMPUTED_VALUE"""),"Praveenkumar Balu")</f>
        <v>Praveenkumar Balu</v>
      </c>
      <c r="C858" s="4" t="str">
        <f>IFERROR(__xludf.DUMMYFUNCTION("""COMPUTED_VALUE"""),"praveenkumar.balu@onixnet.com")</f>
        <v>praveenkumar.balu@onixnet.com</v>
      </c>
      <c r="D858" s="4" t="str">
        <f>IFERROR(__xludf.DUMMYFUNCTION("""COMPUTED_VALUE"""),"Active")</f>
        <v>Active</v>
      </c>
      <c r="E858" s="4" t="str">
        <f>IFERROR(__xludf.DUMMYFUNCTION("""COMPUTED_VALUE"""),"Product Engineering")</f>
        <v>Product Engineering</v>
      </c>
      <c r="F858" s="4" t="str">
        <f>IFERROR(__xludf.DUMMYFUNCTION("""COMPUTED_VALUE"""),"Shantanu Charpe")</f>
        <v>Shantanu Charpe</v>
      </c>
      <c r="G858" s="4" t="str">
        <f>IFERROR(__xludf.DUMMYFUNCTION("""COMPUTED_VALUE"""),"Cluster - Mayur")</f>
        <v>Cluster - Mayur</v>
      </c>
      <c r="H858" s="4" t="str">
        <f>IFERROR(__xludf.DUMMYFUNCTION("""COMPUTED_VALUE"""),"ONIPBDQA7")</f>
        <v>ONIPBDQA7</v>
      </c>
      <c r="I858" s="5">
        <f>IFERROR(__xludf.DUMMYFUNCTION("""COMPUTED_VALUE"""),40.0)</f>
        <v>40</v>
      </c>
      <c r="J858" s="4" t="str">
        <f>IFERROR(__xludf.DUMMYFUNCTION("""COMPUTED_VALUE"""),"Tier 2")</f>
        <v>Tier 2</v>
      </c>
      <c r="K858" s="4" t="str">
        <f>IFERROR(__xludf.DUMMYFUNCTION("""COMPUTED_VALUE"""),"Active")</f>
        <v>Active</v>
      </c>
      <c r="L858" s="4" t="str">
        <f>IFERROR(__xludf.DUMMYFUNCTION("""COMPUTED_VALUE"""),"Gemini Enterprise Agent Platform")</f>
        <v>Gemini Enterprise Agent Platform</v>
      </c>
    </row>
    <row r="859">
      <c r="A859" s="4" t="str">
        <f>IFERROR(__xludf.DUMMYFUNCTION("""COMPUTED_VALUE"""),"DME2899")</f>
        <v>DME2899</v>
      </c>
      <c r="B859" s="4" t="str">
        <f>IFERROR(__xludf.DUMMYFUNCTION("""COMPUTED_VALUE"""),"VINAY TOMAR")</f>
        <v>VINAY TOMAR</v>
      </c>
      <c r="C859" s="4" t="str">
        <f>IFERROR(__xludf.DUMMYFUNCTION("""COMPUTED_VALUE"""),"Vinay.tomar@onixnet.com")</f>
        <v>Vinay.tomar@onixnet.com</v>
      </c>
      <c r="D859" s="4" t="str">
        <f>IFERROR(__xludf.DUMMYFUNCTION("""COMPUTED_VALUE"""),"Active")</f>
        <v>Active</v>
      </c>
      <c r="E859" s="4" t="str">
        <f>IFERROR(__xludf.DUMMYFUNCTION("""COMPUTED_VALUE"""),"Solutions and Pre-Sales")</f>
        <v>Solutions and Pre-Sales</v>
      </c>
      <c r="F859" s="4" t="str">
        <f>IFERROR(__xludf.DUMMYFUNCTION("""COMPUTED_VALUE"""),"Priyanka Buwe")</f>
        <v>Priyanka Buwe</v>
      </c>
      <c r="G859" s="4" t="str">
        <f>IFERROR(__xludf.DUMMYFUNCTION("""COMPUTED_VALUE"""),"Portfolio - Gaurav A (Presales)")</f>
        <v>Portfolio - Gaurav A (Presales)</v>
      </c>
      <c r="H859" s="4" t="str">
        <f>IFERROR(__xludf.DUMMYFUNCTION("""COMPUTED_VALUE"""),"ONIVTERV9")</f>
        <v>ONIVTERV9</v>
      </c>
      <c r="I859" s="5">
        <f>IFERROR(__xludf.DUMMYFUNCTION("""COMPUTED_VALUE"""),0.0)</f>
        <v>0</v>
      </c>
      <c r="J859" s="4" t="str">
        <f>IFERROR(__xludf.DUMMYFUNCTION("""COMPUTED_VALUE"""),"Tier 4")</f>
        <v>Tier 4</v>
      </c>
      <c r="K859" s="4" t="str">
        <f>IFERROR(__xludf.DUMMYFUNCTION("""COMPUTED_VALUE"""),"ID Created DRP score 0")</f>
        <v>ID Created DRP score 0</v>
      </c>
      <c r="L859" s="4"/>
    </row>
    <row r="860">
      <c r="A860" s="4" t="str">
        <f>IFERROR(__xludf.DUMMYFUNCTION("""COMPUTED_VALUE"""),"ONIX736")</f>
        <v>ONIX736</v>
      </c>
      <c r="B860" s="4" t="str">
        <f>IFERROR(__xludf.DUMMYFUNCTION("""COMPUTED_VALUE"""),"Joohyon Han")</f>
        <v>Joohyon Han</v>
      </c>
      <c r="C860" s="4" t="str">
        <f>IFERROR(__xludf.DUMMYFUNCTION("""COMPUTED_VALUE"""),"josh.han@onixnet.com")</f>
        <v>josh.han@onixnet.com</v>
      </c>
      <c r="D860" s="4" t="str">
        <f>IFERROR(__xludf.DUMMYFUNCTION("""COMPUTED_VALUE"""),"Active")</f>
        <v>Active</v>
      </c>
      <c r="E860" s="4" t="str">
        <f>IFERROR(__xludf.DUMMYFUNCTION("""COMPUTED_VALUE"""),"Services")</f>
        <v>Services</v>
      </c>
      <c r="F860" s="4" t="str">
        <f>IFERROR(__xludf.DUMMYFUNCTION("""COMPUTED_VALUE"""),"James Vandermost")</f>
        <v>James Vandermost</v>
      </c>
      <c r="G860" s="4" t="str">
        <f>IFERROR(__xludf.DUMMYFUNCTION("""COMPUTED_VALUE"""),"Portfolio - Thomas (AI)")</f>
        <v>Portfolio - Thomas (AI)</v>
      </c>
      <c r="H860" s="4" t="str">
        <f>IFERROR(__xludf.DUMMYFUNCTION("""COMPUTED_VALUE"""),"ONIJHMPR0")</f>
        <v>ONIJHMPR0</v>
      </c>
      <c r="I860" s="5">
        <f>IFERROR(__xludf.DUMMYFUNCTION("""COMPUTED_VALUE"""),9.0)</f>
        <v>9</v>
      </c>
      <c r="J860" s="4" t="str">
        <f>IFERROR(__xludf.DUMMYFUNCTION("""COMPUTED_VALUE"""),"Tier 4")</f>
        <v>Tier 4</v>
      </c>
      <c r="K860" s="4" t="str">
        <f>IFERROR(__xludf.DUMMYFUNCTION("""COMPUTED_VALUE"""),"Active")</f>
        <v>Active</v>
      </c>
      <c r="L860" s="4" t="str">
        <f>IFERROR(__xludf.DUMMYFUNCTION("""COMPUTED_VALUE"""),"GECX - Agent Assist")</f>
        <v>GECX - Agent Assist</v>
      </c>
    </row>
    <row r="861">
      <c r="A861" s="4" t="str">
        <f>IFERROR(__xludf.DUMMYFUNCTION("""COMPUTED_VALUE"""),"DME2903")</f>
        <v>DME2903</v>
      </c>
      <c r="B861" s="4" t="str">
        <f>IFERROR(__xludf.DUMMYFUNCTION("""COMPUTED_VALUE"""),"Kepin Kumar")</f>
        <v>Kepin Kumar</v>
      </c>
      <c r="C861" s="4" t="str">
        <f>IFERROR(__xludf.DUMMYFUNCTION("""COMPUTED_VALUE"""),"kepin.kumar@onixnet.com")</f>
        <v>kepin.kumar@onixnet.com</v>
      </c>
      <c r="D861" s="4" t="str">
        <f>IFERROR(__xludf.DUMMYFUNCTION("""COMPUTED_VALUE"""),"Active")</f>
        <v>Active</v>
      </c>
      <c r="E861" s="4" t="str">
        <f>IFERROR(__xludf.DUMMYFUNCTION("""COMPUTED_VALUE"""),"Delivery Services")</f>
        <v>Delivery Services</v>
      </c>
      <c r="F861" s="4" t="str">
        <f>IFERROR(__xludf.DUMMYFUNCTION("""COMPUTED_VALUE"""),"Varun Katyal")</f>
        <v>Varun Katyal</v>
      </c>
      <c r="G861" s="4" t="str">
        <f>IFERROR(__xludf.DUMMYFUNCTION("""COMPUTED_VALUE"""),"Cluster - Varun")</f>
        <v>Cluster - Varun</v>
      </c>
      <c r="H861" s="4" t="str">
        <f>IFERROR(__xludf.DUMMYFUNCTION("""COMPUTED_VALUE"""),"ONIKKIIA5")</f>
        <v>ONIKKIIA5</v>
      </c>
      <c r="I861" s="5">
        <f>IFERROR(__xludf.DUMMYFUNCTION("""COMPUTED_VALUE"""),24.0)</f>
        <v>24</v>
      </c>
      <c r="J861" s="4" t="str">
        <f>IFERROR(__xludf.DUMMYFUNCTION("""COMPUTED_VALUE"""),"Tier 3")</f>
        <v>Tier 3</v>
      </c>
      <c r="K861" s="4" t="str">
        <f>IFERROR(__xludf.DUMMYFUNCTION("""COMPUTED_VALUE"""),"Active")</f>
        <v>Active</v>
      </c>
      <c r="L861" s="4" t="str">
        <f>IFERROR(__xludf.DUMMYFUNCTION("""COMPUTED_VALUE"""),"BigQuery")</f>
        <v>BigQuery</v>
      </c>
    </row>
    <row r="862">
      <c r="A862" s="4" t="str">
        <f>IFERROR(__xludf.DUMMYFUNCTION("""COMPUTED_VALUE"""),"DME2907")</f>
        <v>DME2907</v>
      </c>
      <c r="B862" s="4" t="str">
        <f>IFERROR(__xludf.DUMMYFUNCTION("""COMPUTED_VALUE"""),"Birendra Kumar Negi")</f>
        <v>Birendra Kumar Negi</v>
      </c>
      <c r="C862" s="4" t="str">
        <f>IFERROR(__xludf.DUMMYFUNCTION("""COMPUTED_VALUE"""),"birendra.negi@onixnet.com")</f>
        <v>birendra.negi@onixnet.com</v>
      </c>
      <c r="D862" s="4" t="str">
        <f>IFERROR(__xludf.DUMMYFUNCTION("""COMPUTED_VALUE"""),"Active")</f>
        <v>Active</v>
      </c>
      <c r="E862" s="4" t="str">
        <f>IFERROR(__xludf.DUMMYFUNCTION("""COMPUTED_VALUE"""),"Delivery Services")</f>
        <v>Delivery Services</v>
      </c>
      <c r="F862" s="4" t="str">
        <f>IFERROR(__xludf.DUMMYFUNCTION("""COMPUTED_VALUE"""),"Bhupesh Chauhan")</f>
        <v>Bhupesh Chauhan</v>
      </c>
      <c r="G862" s="4" t="str">
        <f>IFERROR(__xludf.DUMMYFUNCTION("""COMPUTED_VALUE"""),"Cluster - Sachin")</f>
        <v>Cluster - Sachin</v>
      </c>
      <c r="H862" s="4" t="str">
        <f>IFERROR(__xludf.DUMMYFUNCTION("""COMPUTED_VALUE"""),"ONIBNZER1")</f>
        <v>ONIBNZER1</v>
      </c>
      <c r="I862" s="5">
        <f>IFERROR(__xludf.DUMMYFUNCTION("""COMPUTED_VALUE"""),14.0)</f>
        <v>14</v>
      </c>
      <c r="J862" s="4" t="str">
        <f>IFERROR(__xludf.DUMMYFUNCTION("""COMPUTED_VALUE"""),"Tier 4")</f>
        <v>Tier 4</v>
      </c>
      <c r="K862" s="4" t="str">
        <f>IFERROR(__xludf.DUMMYFUNCTION("""COMPUTED_VALUE"""),"Active")</f>
        <v>Active</v>
      </c>
      <c r="L862" s="4" t="str">
        <f>IFERROR(__xludf.DUMMYFUNCTION("""COMPUTED_VALUE"""),"BigQuery")</f>
        <v>BigQuery</v>
      </c>
    </row>
    <row r="863">
      <c r="A863" s="4" t="str">
        <f>IFERROR(__xludf.DUMMYFUNCTION("""COMPUTED_VALUE"""),"DME2904")</f>
        <v>DME2904</v>
      </c>
      <c r="B863" s="4" t="str">
        <f>IFERROR(__xludf.DUMMYFUNCTION("""COMPUTED_VALUE"""),"Ashish Misra")</f>
        <v>Ashish Misra</v>
      </c>
      <c r="C863" s="4" t="str">
        <f>IFERROR(__xludf.DUMMYFUNCTION("""COMPUTED_VALUE"""),"ashish.misra@onixnet.com")</f>
        <v>ashish.misra@onixnet.com</v>
      </c>
      <c r="D863" s="4" t="str">
        <f>IFERROR(__xludf.DUMMYFUNCTION("""COMPUTED_VALUE"""),"Active")</f>
        <v>Active</v>
      </c>
      <c r="E863" s="4" t="str">
        <f>IFERROR(__xludf.DUMMYFUNCTION("""COMPUTED_VALUE"""),"Delivery Services")</f>
        <v>Delivery Services</v>
      </c>
      <c r="F863" s="4" t="str">
        <f>IFERROR(__xludf.DUMMYFUNCTION("""COMPUTED_VALUE"""),"Akash Choudhari")</f>
        <v>Akash Choudhari</v>
      </c>
      <c r="G863" s="4" t="str">
        <f>IFERROR(__xludf.DUMMYFUNCTION("""COMPUTED_VALUE"""),"Cluster - Sandeep")</f>
        <v>Cluster - Sandeep</v>
      </c>
      <c r="H863" s="4" t="str">
        <f>IFERROR(__xludf.DUMMYFUNCTION("""COMPUTED_VALUE"""),"ONIAMRTM6")</f>
        <v>ONIAMRTM6</v>
      </c>
      <c r="I863" s="5">
        <f>IFERROR(__xludf.DUMMYFUNCTION("""COMPUTED_VALUE"""),20.0)</f>
        <v>20</v>
      </c>
      <c r="J863" s="4" t="str">
        <f>IFERROR(__xludf.DUMMYFUNCTION("""COMPUTED_VALUE"""),"Tier 3")</f>
        <v>Tier 3</v>
      </c>
      <c r="K863" s="4" t="str">
        <f>IFERROR(__xludf.DUMMYFUNCTION("""COMPUTED_VALUE"""),"Active")</f>
        <v>Active</v>
      </c>
      <c r="L863" s="4" t="str">
        <f>IFERROR(__xludf.DUMMYFUNCTION("""COMPUTED_VALUE"""),"AI Applications")</f>
        <v>AI Applications</v>
      </c>
    </row>
    <row r="864">
      <c r="A864" s="4" t="str">
        <f>IFERROR(__xludf.DUMMYFUNCTION("""COMPUTED_VALUE"""),"ONIX717")</f>
        <v>ONIX717</v>
      </c>
      <c r="B864" s="4" t="str">
        <f>IFERROR(__xludf.DUMMYFUNCTION("""COMPUTED_VALUE"""),"Pawan Kamat")</f>
        <v>Pawan Kamat</v>
      </c>
      <c r="C864" s="4" t="str">
        <f>IFERROR(__xludf.DUMMYFUNCTION("""COMPUTED_VALUE"""),"pawan.kamat@onixnet.com")</f>
        <v>pawan.kamat@onixnet.com</v>
      </c>
      <c r="D864" s="4" t="str">
        <f>IFERROR(__xludf.DUMMYFUNCTION("""COMPUTED_VALUE"""),"Active")</f>
        <v>Active</v>
      </c>
      <c r="E864" s="4" t="str">
        <f>IFERROR(__xludf.DUMMYFUNCTION("""COMPUTED_VALUE"""),"Services")</f>
        <v>Services</v>
      </c>
      <c r="F864" s="4" t="str">
        <f>IFERROR(__xludf.DUMMYFUNCTION("""COMPUTED_VALUE"""),"Kanth Nagapudi")</f>
        <v>Kanth Nagapudi</v>
      </c>
      <c r="G864" s="4" t="str">
        <f>IFERROR(__xludf.DUMMYFUNCTION("""COMPUTED_VALUE"""),"Portfolio - Kanth")</f>
        <v>Portfolio - Kanth</v>
      </c>
      <c r="H864" s="4" t="str">
        <f>IFERROR(__xludf.DUMMYFUNCTION("""COMPUTED_VALUE"""),"ONIPKONJ6")</f>
        <v>ONIPKONJ6</v>
      </c>
      <c r="I864" s="5">
        <f>IFERROR(__xludf.DUMMYFUNCTION("""COMPUTED_VALUE"""),45.0)</f>
        <v>45</v>
      </c>
      <c r="J864" s="4" t="str">
        <f>IFERROR(__xludf.DUMMYFUNCTION("""COMPUTED_VALUE"""),"Tier 2")</f>
        <v>Tier 2</v>
      </c>
      <c r="K864" s="4" t="str">
        <f>IFERROR(__xludf.DUMMYFUNCTION("""COMPUTED_VALUE"""),"Active")</f>
        <v>Active</v>
      </c>
      <c r="L864" s="4" t="str">
        <f>IFERROR(__xludf.DUMMYFUNCTION("""COMPUTED_VALUE"""),"Gemini Enterprise Agent Platform")</f>
        <v>Gemini Enterprise Agent Platform</v>
      </c>
    </row>
    <row r="865">
      <c r="A865" s="4" t="str">
        <f>IFERROR(__xludf.DUMMYFUNCTION("""COMPUTED_VALUE"""),"DME2909")</f>
        <v>DME2909</v>
      </c>
      <c r="B865" s="4" t="str">
        <f>IFERROR(__xludf.DUMMYFUNCTION("""COMPUTED_VALUE"""),"Komal Suresh Shetkar")</f>
        <v>Komal Suresh Shetkar</v>
      </c>
      <c r="C865" s="4" t="str">
        <f>IFERROR(__xludf.DUMMYFUNCTION("""COMPUTED_VALUE"""),"komal.shetkar@onixnet.com")</f>
        <v>komal.shetkar@onixnet.com</v>
      </c>
      <c r="D865" s="4" t="str">
        <f>IFERROR(__xludf.DUMMYFUNCTION("""COMPUTED_VALUE"""),"Active")</f>
        <v>Active</v>
      </c>
      <c r="E865" s="4" t="str">
        <f>IFERROR(__xludf.DUMMYFUNCTION("""COMPUTED_VALUE"""),"Product Engineering")</f>
        <v>Product Engineering</v>
      </c>
      <c r="F865" s="4" t="str">
        <f>IFERROR(__xludf.DUMMYFUNCTION("""COMPUTED_VALUE"""),"Kamlesh Kumar")</f>
        <v>Kamlesh Kumar</v>
      </c>
      <c r="G865" s="4" t="str">
        <f>IFERROR(__xludf.DUMMYFUNCTION("""COMPUTED_VALUE"""),"Cluster - Mayur")</f>
        <v>Cluster - Mayur</v>
      </c>
      <c r="H865" s="4" t="str">
        <f>IFERROR(__xludf.DUMMYFUNCTION("""COMPUTED_VALUE"""),"ONIKSCEQ3")</f>
        <v>ONIKSCEQ3</v>
      </c>
      <c r="I865" s="5">
        <f>IFERROR(__xludf.DUMMYFUNCTION("""COMPUTED_VALUE"""),15.0)</f>
        <v>15</v>
      </c>
      <c r="J865" s="4" t="str">
        <f>IFERROR(__xludf.DUMMYFUNCTION("""COMPUTED_VALUE"""),"Tier 4")</f>
        <v>Tier 4</v>
      </c>
      <c r="K865" s="4" t="str">
        <f>IFERROR(__xludf.DUMMYFUNCTION("""COMPUTED_VALUE"""),"Active")</f>
        <v>Active</v>
      </c>
      <c r="L865" s="4" t="str">
        <f>IFERROR(__xludf.DUMMYFUNCTION("""COMPUTED_VALUE"""),"Google Kubernetes Engine")</f>
        <v>Google Kubernetes Engine</v>
      </c>
    </row>
    <row r="866">
      <c r="A866" s="4" t="str">
        <f>IFERROR(__xludf.DUMMYFUNCTION("""COMPUTED_VALUE"""),"DME2908")</f>
        <v>DME2908</v>
      </c>
      <c r="B866" s="4" t="str">
        <f>IFERROR(__xludf.DUMMYFUNCTION("""COMPUTED_VALUE"""),"Shubham Ravindra Sthul")</f>
        <v>Shubham Ravindra Sthul</v>
      </c>
      <c r="C866" s="4" t="str">
        <f>IFERROR(__xludf.DUMMYFUNCTION("""COMPUTED_VALUE"""),"shubham.sthul@onixnet.com")</f>
        <v>shubham.sthul@onixnet.com</v>
      </c>
      <c r="D866" s="4" t="str">
        <f>IFERROR(__xludf.DUMMYFUNCTION("""COMPUTED_VALUE"""),"Active")</f>
        <v>Active</v>
      </c>
      <c r="E866" s="4" t="str">
        <f>IFERROR(__xludf.DUMMYFUNCTION("""COMPUTED_VALUE"""),"Product Engineering")</f>
        <v>Product Engineering</v>
      </c>
      <c r="F866" s="4" t="str">
        <f>IFERROR(__xludf.DUMMYFUNCTION("""COMPUTED_VALUE"""),"Yogendra Singh")</f>
        <v>Yogendra Singh</v>
      </c>
      <c r="G866" s="4" t="str">
        <f>IFERROR(__xludf.DUMMYFUNCTION("""COMPUTED_VALUE"""),"Cluster - Mayur")</f>
        <v>Cluster - Mayur</v>
      </c>
      <c r="H866" s="4" t="str">
        <f>IFERROR(__xludf.DUMMYFUNCTION("""COMPUTED_VALUE"""),"ONISSPRV8")</f>
        <v>ONISSPRV8</v>
      </c>
      <c r="I866" s="5">
        <f>IFERROR(__xludf.DUMMYFUNCTION("""COMPUTED_VALUE"""),0.0)</f>
        <v>0</v>
      </c>
      <c r="J866" s="4" t="str">
        <f>IFERROR(__xludf.DUMMYFUNCTION("""COMPUTED_VALUE"""),"Tier 4")</f>
        <v>Tier 4</v>
      </c>
      <c r="K866" s="4" t="str">
        <f>IFERROR(__xludf.DUMMYFUNCTION("""COMPUTED_VALUE"""),"ID Created DRP score 0")</f>
        <v>ID Created DRP score 0</v>
      </c>
      <c r="L866" s="4"/>
    </row>
    <row r="867">
      <c r="A867" s="4" t="str">
        <f>IFERROR(__xludf.DUMMYFUNCTION("""COMPUTED_VALUE"""),"DME2910")</f>
        <v>DME2910</v>
      </c>
      <c r="B867" s="4" t="str">
        <f>IFERROR(__xludf.DUMMYFUNCTION("""COMPUTED_VALUE"""),"Muskan Javed Bhaldar")</f>
        <v>Muskan Javed Bhaldar</v>
      </c>
      <c r="C867" s="4" t="str">
        <f>IFERROR(__xludf.DUMMYFUNCTION("""COMPUTED_VALUE"""),"muskan.bhaldar@onixnet.com")</f>
        <v>muskan.bhaldar@onixnet.com</v>
      </c>
      <c r="D867" s="4" t="str">
        <f>IFERROR(__xludf.DUMMYFUNCTION("""COMPUTED_VALUE"""),"Active")</f>
        <v>Active</v>
      </c>
      <c r="E867" s="4" t="str">
        <f>IFERROR(__xludf.DUMMYFUNCTION("""COMPUTED_VALUE"""),"Solutions and Pre-Sales")</f>
        <v>Solutions and Pre-Sales</v>
      </c>
      <c r="F867" s="4" t="str">
        <f>IFERROR(__xludf.DUMMYFUNCTION("""COMPUTED_VALUE"""),"Priya Ranjan")</f>
        <v>Priya Ranjan</v>
      </c>
      <c r="G867" s="4" t="str">
        <f>IFERROR(__xludf.DUMMYFUNCTION("""COMPUTED_VALUE"""),"Portfolio - Gaurav A (Presales)")</f>
        <v>Portfolio - Gaurav A (Presales)</v>
      </c>
      <c r="H867" s="4" t="str">
        <f>IFERROR(__xludf.DUMMYFUNCTION("""COMPUTED_VALUE"""),"ONIMBNWE8")</f>
        <v>ONIMBNWE8</v>
      </c>
      <c r="I867" s="5">
        <f>IFERROR(__xludf.DUMMYFUNCTION("""COMPUTED_VALUE"""),15.0)</f>
        <v>15</v>
      </c>
      <c r="J867" s="4" t="str">
        <f>IFERROR(__xludf.DUMMYFUNCTION("""COMPUTED_VALUE"""),"Tier 4")</f>
        <v>Tier 4</v>
      </c>
      <c r="K867" s="4" t="str">
        <f>IFERROR(__xludf.DUMMYFUNCTION("""COMPUTED_VALUE"""),"Active")</f>
        <v>Active</v>
      </c>
      <c r="L867" s="4" t="str">
        <f>IFERROR(__xludf.DUMMYFUNCTION("""COMPUTED_VALUE"""),"AI Applications")</f>
        <v>AI Applications</v>
      </c>
    </row>
    <row r="868">
      <c r="A868" s="4" t="str">
        <f>IFERROR(__xludf.DUMMYFUNCTION("""COMPUTED_VALUE"""),"DME2912")</f>
        <v>DME2912</v>
      </c>
      <c r="B868" s="4" t="str">
        <f>IFERROR(__xludf.DUMMYFUNCTION("""COMPUTED_VALUE"""),"Avinash R")</f>
        <v>Avinash R</v>
      </c>
      <c r="C868" s="4" t="str">
        <f>IFERROR(__xludf.DUMMYFUNCTION("""COMPUTED_VALUE"""),"avinash.r@onixnet.com")</f>
        <v>avinash.r@onixnet.com</v>
      </c>
      <c r="D868" s="4" t="str">
        <f>IFERROR(__xludf.DUMMYFUNCTION("""COMPUTED_VALUE"""),"Active")</f>
        <v>Active</v>
      </c>
      <c r="E868" s="4" t="str">
        <f>IFERROR(__xludf.DUMMYFUNCTION("""COMPUTED_VALUE"""),"Delivery Services")</f>
        <v>Delivery Services</v>
      </c>
      <c r="F868" s="4" t="str">
        <f>IFERROR(__xludf.DUMMYFUNCTION("""COMPUTED_VALUE"""),"Naveen Harish")</f>
        <v>Naveen Harish</v>
      </c>
      <c r="G868" s="4" t="str">
        <f>IFERROR(__xludf.DUMMYFUNCTION("""COMPUTED_VALUE"""),"Cluster - Varun")</f>
        <v>Cluster - Varun</v>
      </c>
      <c r="H868" s="4" t="str">
        <f>IFERROR(__xludf.DUMMYFUNCTION("""COMPUTED_VALUE"""),"ONIAROQI7")</f>
        <v>ONIAROQI7</v>
      </c>
      <c r="I868" s="5">
        <f>IFERROR(__xludf.DUMMYFUNCTION("""COMPUTED_VALUE"""),5.0)</f>
        <v>5</v>
      </c>
      <c r="J868" s="4" t="str">
        <f>IFERROR(__xludf.DUMMYFUNCTION("""COMPUTED_VALUE"""),"Tier 4")</f>
        <v>Tier 4</v>
      </c>
      <c r="K868" s="4" t="str">
        <f>IFERROR(__xludf.DUMMYFUNCTION("""COMPUTED_VALUE"""),"Active")</f>
        <v>Active</v>
      </c>
      <c r="L868" s="4" t="str">
        <f>IFERROR(__xludf.DUMMYFUNCTION("""COMPUTED_VALUE"""),"Gemini Enterprise Agent Platform")</f>
        <v>Gemini Enterprise Agent Platform</v>
      </c>
    </row>
    <row r="869">
      <c r="A869" s="4" t="str">
        <f>IFERROR(__xludf.DUMMYFUNCTION("""COMPUTED_VALUE"""),"DME2914")</f>
        <v>DME2914</v>
      </c>
      <c r="B869" s="4" t="str">
        <f>IFERROR(__xludf.DUMMYFUNCTION("""COMPUTED_VALUE"""),"VAMSI VURIMI")</f>
        <v>VAMSI VURIMI</v>
      </c>
      <c r="C869" s="4" t="str">
        <f>IFERROR(__xludf.DUMMYFUNCTION("""COMPUTED_VALUE"""),"vamsi.vurimi@onixnet.com")</f>
        <v>vamsi.vurimi@onixnet.com</v>
      </c>
      <c r="D869" s="4" t="str">
        <f>IFERROR(__xludf.DUMMYFUNCTION("""COMPUTED_VALUE"""),"Active")</f>
        <v>Active</v>
      </c>
      <c r="E869" s="4" t="str">
        <f>IFERROR(__xludf.DUMMYFUNCTION("""COMPUTED_VALUE"""),"Delivery Services")</f>
        <v>Delivery Services</v>
      </c>
      <c r="F869" s="4" t="str">
        <f>IFERROR(__xludf.DUMMYFUNCTION("""COMPUTED_VALUE"""),"Naveen Harish")</f>
        <v>Naveen Harish</v>
      </c>
      <c r="G869" s="4" t="str">
        <f>IFERROR(__xludf.DUMMYFUNCTION("""COMPUTED_VALUE"""),"Cluster - Varun")</f>
        <v>Cluster - Varun</v>
      </c>
      <c r="H869" s="4" t="str">
        <f>IFERROR(__xludf.DUMMYFUNCTION("""COMPUTED_VALUE"""),"ONIVVQXX4")</f>
        <v>ONIVVQXX4</v>
      </c>
      <c r="I869" s="5">
        <f>IFERROR(__xludf.DUMMYFUNCTION("""COMPUTED_VALUE"""),29.0)</f>
        <v>29</v>
      </c>
      <c r="J869" s="4" t="str">
        <f>IFERROR(__xludf.DUMMYFUNCTION("""COMPUTED_VALUE"""),"Tier 3")</f>
        <v>Tier 3</v>
      </c>
      <c r="K869" s="4" t="str">
        <f>IFERROR(__xludf.DUMMYFUNCTION("""COMPUTED_VALUE"""),"Active")</f>
        <v>Active</v>
      </c>
      <c r="L869" s="4" t="str">
        <f>IFERROR(__xludf.DUMMYFUNCTION("""COMPUTED_VALUE"""),"BigQuery")</f>
        <v>BigQuery</v>
      </c>
    </row>
    <row r="870">
      <c r="A870" s="4" t="str">
        <f>IFERROR(__xludf.DUMMYFUNCTION("""COMPUTED_VALUE"""),"DME2919")</f>
        <v>DME2919</v>
      </c>
      <c r="B870" s="4" t="str">
        <f>IFERROR(__xludf.DUMMYFUNCTION("""COMPUTED_VALUE"""),"Rama Popat Shelar")</f>
        <v>Rama Popat Shelar</v>
      </c>
      <c r="C870" s="4" t="str">
        <f>IFERROR(__xludf.DUMMYFUNCTION("""COMPUTED_VALUE"""),"rama.shelar@onixnet.com")</f>
        <v>rama.shelar@onixnet.com</v>
      </c>
      <c r="D870" s="4" t="str">
        <f>IFERROR(__xludf.DUMMYFUNCTION("""COMPUTED_VALUE"""),"Active")</f>
        <v>Active</v>
      </c>
      <c r="E870" s="4" t="str">
        <f>IFERROR(__xludf.DUMMYFUNCTION("""COMPUTED_VALUE"""),"Eagle Assessment")</f>
        <v>Eagle Assessment</v>
      </c>
      <c r="F870" s="4" t="str">
        <f>IFERROR(__xludf.DUMMYFUNCTION("""COMPUTED_VALUE"""),"Amruta Shreerang Urane")</f>
        <v>Amruta Shreerang Urane</v>
      </c>
      <c r="G870" s="4" t="str">
        <f>IFERROR(__xludf.DUMMYFUNCTION("""COMPUTED_VALUE"""),"Cluster - Kalpa")</f>
        <v>Cluster - Kalpa</v>
      </c>
      <c r="H870" s="4" t="str">
        <f>IFERROR(__xludf.DUMMYFUNCTION("""COMPUTED_VALUE"""),"ONIRSEUF5")</f>
        <v>ONIRSEUF5</v>
      </c>
      <c r="I870" s="5">
        <f>IFERROR(__xludf.DUMMYFUNCTION("""COMPUTED_VALUE"""),23.0)</f>
        <v>23</v>
      </c>
      <c r="J870" s="4" t="str">
        <f>IFERROR(__xludf.DUMMYFUNCTION("""COMPUTED_VALUE"""),"Tier 3")</f>
        <v>Tier 3</v>
      </c>
      <c r="K870" s="4" t="str">
        <f>IFERROR(__xludf.DUMMYFUNCTION("""COMPUTED_VALUE"""),"Active")</f>
        <v>Active</v>
      </c>
      <c r="L870" s="4" t="str">
        <f>IFERROR(__xludf.DUMMYFUNCTION("""COMPUTED_VALUE"""),"Dataproc")</f>
        <v>Dataproc</v>
      </c>
    </row>
    <row r="871">
      <c r="A871" s="4" t="str">
        <f>IFERROR(__xludf.DUMMYFUNCTION("""COMPUTED_VALUE"""),"DME2918")</f>
        <v>DME2918</v>
      </c>
      <c r="B871" s="4" t="str">
        <f>IFERROR(__xludf.DUMMYFUNCTION("""COMPUTED_VALUE"""),"Arpita Dwivedi")</f>
        <v>Arpita Dwivedi</v>
      </c>
      <c r="C871" s="4" t="str">
        <f>IFERROR(__xludf.DUMMYFUNCTION("""COMPUTED_VALUE"""),"arpita.dwivedi@onixnet.com")</f>
        <v>arpita.dwivedi@onixnet.com</v>
      </c>
      <c r="D871" s="4" t="str">
        <f>IFERROR(__xludf.DUMMYFUNCTION("""COMPUTED_VALUE"""),"Active")</f>
        <v>Active</v>
      </c>
      <c r="E871" s="4" t="str">
        <f>IFERROR(__xludf.DUMMYFUNCTION("""COMPUTED_VALUE"""),"Delivery Services")</f>
        <v>Delivery Services</v>
      </c>
      <c r="F871" s="4" t="str">
        <f>IFERROR(__xludf.DUMMYFUNCTION("""COMPUTED_VALUE"""),"Priyanka Jain")</f>
        <v>Priyanka Jain</v>
      </c>
      <c r="G871" s="4" t="str">
        <f>IFERROR(__xludf.DUMMYFUNCTION("""COMPUTED_VALUE"""),"Cluster - Sagar")</f>
        <v>Cluster - Sagar</v>
      </c>
      <c r="H871" s="4" t="str">
        <f>IFERROR(__xludf.DUMMYFUNCTION("""COMPUTED_VALUE"""),"ONIADXNQ7")</f>
        <v>ONIADXNQ7</v>
      </c>
      <c r="I871" s="5">
        <f>IFERROR(__xludf.DUMMYFUNCTION("""COMPUTED_VALUE"""),14.0)</f>
        <v>14</v>
      </c>
      <c r="J871" s="4" t="str">
        <f>IFERROR(__xludf.DUMMYFUNCTION("""COMPUTED_VALUE"""),"Tier 4")</f>
        <v>Tier 4</v>
      </c>
      <c r="K871" s="4" t="str">
        <f>IFERROR(__xludf.DUMMYFUNCTION("""COMPUTED_VALUE"""),"Active")</f>
        <v>Active</v>
      </c>
      <c r="L871" s="4" t="str">
        <f>IFERROR(__xludf.DUMMYFUNCTION("""COMPUTED_VALUE"""),"BigQuery")</f>
        <v>BigQuery</v>
      </c>
    </row>
    <row r="872">
      <c r="A872" s="4" t="str">
        <f>IFERROR(__xludf.DUMMYFUNCTION("""COMPUTED_VALUE"""),"DME2920")</f>
        <v>DME2920</v>
      </c>
      <c r="B872" s="4" t="str">
        <f>IFERROR(__xludf.DUMMYFUNCTION("""COMPUTED_VALUE"""),"Sushilkumar S Agrawal")</f>
        <v>Sushilkumar S Agrawal</v>
      </c>
      <c r="C872" s="4" t="str">
        <f>IFERROR(__xludf.DUMMYFUNCTION("""COMPUTED_VALUE"""),"sushilkumar.agrawal@onixnet.com")</f>
        <v>sushilkumar.agrawal@onixnet.com</v>
      </c>
      <c r="D872" s="4" t="str">
        <f>IFERROR(__xludf.DUMMYFUNCTION("""COMPUTED_VALUE"""),"Active")</f>
        <v>Active</v>
      </c>
      <c r="E872" s="4" t="str">
        <f>IFERROR(__xludf.DUMMYFUNCTION("""COMPUTED_VALUE"""),"Delivery Services")</f>
        <v>Delivery Services</v>
      </c>
      <c r="F872" s="4" t="str">
        <f>IFERROR(__xludf.DUMMYFUNCTION("""COMPUTED_VALUE"""),"Akash Morey")</f>
        <v>Akash Morey</v>
      </c>
      <c r="G872" s="4" t="str">
        <f>IFERROR(__xludf.DUMMYFUNCTION("""COMPUTED_VALUE"""),"Cluster - Sandeep")</f>
        <v>Cluster - Sandeep</v>
      </c>
      <c r="H872" s="4" t="str">
        <f>IFERROR(__xludf.DUMMYFUNCTION("""COMPUTED_VALUE"""),"ONISADUT7")</f>
        <v>ONISADUT7</v>
      </c>
      <c r="I872" s="5">
        <f>IFERROR(__xludf.DUMMYFUNCTION("""COMPUTED_VALUE"""),19.0)</f>
        <v>19</v>
      </c>
      <c r="J872" s="4" t="str">
        <f>IFERROR(__xludf.DUMMYFUNCTION("""COMPUTED_VALUE"""),"Tier 4")</f>
        <v>Tier 4</v>
      </c>
      <c r="K872" s="4" t="str">
        <f>IFERROR(__xludf.DUMMYFUNCTION("""COMPUTED_VALUE"""),"Active")</f>
        <v>Active</v>
      </c>
      <c r="L872" s="4" t="str">
        <f>IFERROR(__xludf.DUMMYFUNCTION("""COMPUTED_VALUE"""),"AI Applications")</f>
        <v>AI Applications</v>
      </c>
    </row>
    <row r="873">
      <c r="A873" s="4" t="str">
        <f>IFERROR(__xludf.DUMMYFUNCTION("""COMPUTED_VALUE"""),"ONIX748")</f>
        <v>ONIX748</v>
      </c>
      <c r="B873" s="4" t="str">
        <f>IFERROR(__xludf.DUMMYFUNCTION("""COMPUTED_VALUE"""),"Aviral Jain")</f>
        <v>Aviral Jain</v>
      </c>
      <c r="C873" s="4" t="str">
        <f>IFERROR(__xludf.DUMMYFUNCTION("""COMPUTED_VALUE"""),"aviral.jain@onixnet.com")</f>
        <v>aviral.jain@onixnet.com</v>
      </c>
      <c r="D873" s="4" t="str">
        <f>IFERROR(__xludf.DUMMYFUNCTION("""COMPUTED_VALUE"""),"Active")</f>
        <v>Active</v>
      </c>
      <c r="E873" s="4" t="str">
        <f>IFERROR(__xludf.DUMMYFUNCTION("""COMPUTED_VALUE"""),"Solution Management")</f>
        <v>Solution Management</v>
      </c>
      <c r="F873" s="4" t="str">
        <f>IFERROR(__xludf.DUMMYFUNCTION("""COMPUTED_VALUE"""),"Venkat Srinivasan")</f>
        <v>Venkat Srinivasan</v>
      </c>
      <c r="G873" s="4" t="str">
        <f>IFERROR(__xludf.DUMMYFUNCTION("""COMPUTED_VALUE"""),"Portfolio - Rajesh")</f>
        <v>Portfolio - Rajesh</v>
      </c>
      <c r="H873" s="4" t="str">
        <f>IFERROR(__xludf.DUMMYFUNCTION("""COMPUTED_VALUE"""),"DATAJUAK9")</f>
        <v>DATAJUAK9</v>
      </c>
      <c r="I873" s="5">
        <f>IFERROR(__xludf.DUMMYFUNCTION("""COMPUTED_VALUE"""),22.0)</f>
        <v>22</v>
      </c>
      <c r="J873" s="4" t="str">
        <f>IFERROR(__xludf.DUMMYFUNCTION("""COMPUTED_VALUE"""),"Tier 3")</f>
        <v>Tier 3</v>
      </c>
      <c r="K873" s="4" t="str">
        <f>IFERROR(__xludf.DUMMYFUNCTION("""COMPUTED_VALUE"""),"Active")</f>
        <v>Active</v>
      </c>
      <c r="L873" s="4" t="str">
        <f>IFERROR(__xludf.DUMMYFUNCTION("""COMPUTED_VALUE"""),"Dataflow")</f>
        <v>Dataflow</v>
      </c>
    </row>
    <row r="874">
      <c r="A874" s="4" t="str">
        <f>IFERROR(__xludf.DUMMYFUNCTION("""COMPUTED_VALUE"""),"ONIX749")</f>
        <v>ONIX749</v>
      </c>
      <c r="B874" s="4" t="str">
        <f>IFERROR(__xludf.DUMMYFUNCTION("""COMPUTED_VALUE"""),"Mohsin Jafer Shaikh")</f>
        <v>Mohsin Jafer Shaikh</v>
      </c>
      <c r="C874" s="4" t="str">
        <f>IFERROR(__xludf.DUMMYFUNCTION("""COMPUTED_VALUE"""),"mohsin.shaikh@onixnet.com")</f>
        <v>mohsin.shaikh@onixnet.com</v>
      </c>
      <c r="D874" s="4" t="str">
        <f>IFERROR(__xludf.DUMMYFUNCTION("""COMPUTED_VALUE"""),"Active")</f>
        <v>Active</v>
      </c>
      <c r="E874" s="4" t="str">
        <f>IFERROR(__xludf.DUMMYFUNCTION("""COMPUTED_VALUE"""),"Solution Management")</f>
        <v>Solution Management</v>
      </c>
      <c r="F874" s="4" t="str">
        <f>IFERROR(__xludf.DUMMYFUNCTION("""COMPUTED_VALUE"""),"Venkat Srinivasan")</f>
        <v>Venkat Srinivasan</v>
      </c>
      <c r="G874" s="4" t="str">
        <f>IFERROR(__xludf.DUMMYFUNCTION("""COMPUTED_VALUE"""),"Portfolio - Rajesh")</f>
        <v>Portfolio - Rajesh</v>
      </c>
      <c r="H874" s="4" t="str">
        <f>IFERROR(__xludf.DUMMYFUNCTION("""COMPUTED_VALUE"""),"DATMS57Y0")</f>
        <v>DATMS57Y0</v>
      </c>
      <c r="I874" s="5">
        <f>IFERROR(__xludf.DUMMYFUNCTION("""COMPUTED_VALUE"""),34.0)</f>
        <v>34</v>
      </c>
      <c r="J874" s="4" t="str">
        <f>IFERROR(__xludf.DUMMYFUNCTION("""COMPUTED_VALUE"""),"Tier 3")</f>
        <v>Tier 3</v>
      </c>
      <c r="K874" s="4" t="str">
        <f>IFERROR(__xludf.DUMMYFUNCTION("""COMPUTED_VALUE"""),"Active")</f>
        <v>Active</v>
      </c>
      <c r="L874" s="4" t="str">
        <f>IFERROR(__xludf.DUMMYFUNCTION("""COMPUTED_VALUE"""),"BigQuery")</f>
        <v>BigQuery</v>
      </c>
    </row>
    <row r="875">
      <c r="A875" s="4" t="str">
        <f>IFERROR(__xludf.DUMMYFUNCTION("""COMPUTED_VALUE"""),"ONIX750")</f>
        <v>ONIX750</v>
      </c>
      <c r="B875" s="4" t="str">
        <f>IFERROR(__xludf.DUMMYFUNCTION("""COMPUTED_VALUE"""),"Vijay Devidas Mali")</f>
        <v>Vijay Devidas Mali</v>
      </c>
      <c r="C875" s="4" t="str">
        <f>IFERROR(__xludf.DUMMYFUNCTION("""COMPUTED_VALUE"""),"vijay.mali@onixnet.com")</f>
        <v>vijay.mali@onixnet.com</v>
      </c>
      <c r="D875" s="4" t="str">
        <f>IFERROR(__xludf.DUMMYFUNCTION("""COMPUTED_VALUE"""),"Active")</f>
        <v>Active</v>
      </c>
      <c r="E875" s="4" t="str">
        <f>IFERROR(__xludf.DUMMYFUNCTION("""COMPUTED_VALUE"""),"Solution Management")</f>
        <v>Solution Management</v>
      </c>
      <c r="F875" s="4" t="str">
        <f>IFERROR(__xludf.DUMMYFUNCTION("""COMPUTED_VALUE"""),"Venkat Srinivasan")</f>
        <v>Venkat Srinivasan</v>
      </c>
      <c r="G875" s="4" t="str">
        <f>IFERROR(__xludf.DUMMYFUNCTION("""COMPUTED_VALUE"""),"Portfolio - Rajesh")</f>
        <v>Portfolio - Rajesh</v>
      </c>
      <c r="H875" s="4"/>
      <c r="I875" s="5"/>
      <c r="J875" s="4"/>
      <c r="K875" s="4" t="str">
        <f>IFERROR(__xludf.DUMMYFUNCTION("""COMPUTED_VALUE"""),"ID Not Created")</f>
        <v>ID Not Created</v>
      </c>
      <c r="L875" s="4"/>
    </row>
    <row r="876">
      <c r="A876" s="4" t="str">
        <f>IFERROR(__xludf.DUMMYFUNCTION("""COMPUTED_VALUE"""),"ONIX747")</f>
        <v>ONIX747</v>
      </c>
      <c r="B876" s="4" t="str">
        <f>IFERROR(__xludf.DUMMYFUNCTION("""COMPUTED_VALUE"""),"Vipul Rajesh Sharma")</f>
        <v>Vipul Rajesh Sharma</v>
      </c>
      <c r="C876" s="4" t="str">
        <f>IFERROR(__xludf.DUMMYFUNCTION("""COMPUTED_VALUE"""),"vipul.sharma@onixnet.com")</f>
        <v>vipul.sharma@onixnet.com</v>
      </c>
      <c r="D876" s="4" t="str">
        <f>IFERROR(__xludf.DUMMYFUNCTION("""COMPUTED_VALUE"""),"Active")</f>
        <v>Active</v>
      </c>
      <c r="E876" s="4" t="str">
        <f>IFERROR(__xludf.DUMMYFUNCTION("""COMPUTED_VALUE"""),"Solution Management")</f>
        <v>Solution Management</v>
      </c>
      <c r="F876" s="4" t="str">
        <f>IFERROR(__xludf.DUMMYFUNCTION("""COMPUTED_VALUE"""),"Venkat Srinivasan")</f>
        <v>Venkat Srinivasan</v>
      </c>
      <c r="G876" s="4" t="str">
        <f>IFERROR(__xludf.DUMMYFUNCTION("""COMPUTED_VALUE"""),"Portfolio - Rajesh")</f>
        <v>Portfolio - Rajesh</v>
      </c>
      <c r="H876" s="4" t="str">
        <f>IFERROR(__xludf.DUMMYFUNCTION("""COMPUTED_VALUE"""),"ONIVSMTU9")</f>
        <v>ONIVSMTU9</v>
      </c>
      <c r="I876" s="5">
        <f>IFERROR(__xludf.DUMMYFUNCTION("""COMPUTED_VALUE"""),19.0)</f>
        <v>19</v>
      </c>
      <c r="J876" s="4" t="str">
        <f>IFERROR(__xludf.DUMMYFUNCTION("""COMPUTED_VALUE"""),"Tier 4")</f>
        <v>Tier 4</v>
      </c>
      <c r="K876" s="4" t="str">
        <f>IFERROR(__xludf.DUMMYFUNCTION("""COMPUTED_VALUE"""),"Active")</f>
        <v>Active</v>
      </c>
      <c r="L876" s="4" t="str">
        <f>IFERROR(__xludf.DUMMYFUNCTION("""COMPUTED_VALUE"""),"BigQuery")</f>
        <v>BigQuery</v>
      </c>
    </row>
    <row r="877">
      <c r="A877" s="4" t="str">
        <f>IFERROR(__xludf.DUMMYFUNCTION("""COMPUTED_VALUE"""),"ONIX744")</f>
        <v>ONIX744</v>
      </c>
      <c r="B877" s="4" t="str">
        <f>IFERROR(__xludf.DUMMYFUNCTION("""COMPUTED_VALUE"""),"Krishan Vinayak")</f>
        <v>Krishan Vinayak</v>
      </c>
      <c r="C877" s="4" t="str">
        <f>IFERROR(__xludf.DUMMYFUNCTION("""COMPUTED_VALUE"""),"krishan.vinayak@onixnet.com")</f>
        <v>krishan.vinayak@onixnet.com</v>
      </c>
      <c r="D877" s="4" t="str">
        <f>IFERROR(__xludf.DUMMYFUNCTION("""COMPUTED_VALUE"""),"Active")</f>
        <v>Active</v>
      </c>
      <c r="E877" s="4" t="str">
        <f>IFERROR(__xludf.DUMMYFUNCTION("""COMPUTED_VALUE"""),"Delivery")</f>
        <v>Delivery</v>
      </c>
      <c r="F877" s="4" t="str">
        <f>IFERROR(__xludf.DUMMYFUNCTION("""COMPUTED_VALUE"""),"Gaurav Agarwaal")</f>
        <v>Gaurav Agarwaal</v>
      </c>
      <c r="G877" s="4" t="str">
        <f>IFERROR(__xludf.DUMMYFUNCTION("""COMPUTED_VALUE"""),"Portfolio - Gaurav A (Presales)")</f>
        <v>Portfolio - Gaurav A (Presales)</v>
      </c>
      <c r="H877" s="4"/>
      <c r="I877" s="5"/>
      <c r="J877" s="4"/>
      <c r="K877" s="4" t="str">
        <f>IFERROR(__xludf.DUMMYFUNCTION("""COMPUTED_VALUE"""),"ID Not Created")</f>
        <v>ID Not Created</v>
      </c>
      <c r="L877" s="4"/>
    </row>
    <row r="878">
      <c r="A878" s="4" t="str">
        <f>IFERROR(__xludf.DUMMYFUNCTION("""COMPUTED_VALUE"""),"DME2923")</f>
        <v>DME2923</v>
      </c>
      <c r="B878" s="4" t="str">
        <f>IFERROR(__xludf.DUMMYFUNCTION("""COMPUTED_VALUE"""),"Sohil Salvi")</f>
        <v>Sohil Salvi</v>
      </c>
      <c r="C878" s="4" t="str">
        <f>IFERROR(__xludf.DUMMYFUNCTION("""COMPUTED_VALUE"""),"sohil.salvi@onixnet.com")</f>
        <v>sohil.salvi@onixnet.com</v>
      </c>
      <c r="D878" s="4" t="str">
        <f>IFERROR(__xludf.DUMMYFUNCTION("""COMPUTED_VALUE"""),"Active")</f>
        <v>Active</v>
      </c>
      <c r="E878" s="4" t="str">
        <f>IFERROR(__xludf.DUMMYFUNCTION("""COMPUTED_VALUE"""),"Product Engineering")</f>
        <v>Product Engineering</v>
      </c>
      <c r="F878" s="4" t="str">
        <f>IFERROR(__xludf.DUMMYFUNCTION("""COMPUTED_VALUE"""),"Binoy Samuel")</f>
        <v>Binoy Samuel</v>
      </c>
      <c r="G878" s="4" t="str">
        <f>IFERROR(__xludf.DUMMYFUNCTION("""COMPUTED_VALUE"""),"Cluster - Mayur")</f>
        <v>Cluster - Mayur</v>
      </c>
      <c r="H878" s="4"/>
      <c r="I878" s="5"/>
      <c r="J878" s="4"/>
      <c r="K878" s="4" t="str">
        <f>IFERROR(__xludf.DUMMYFUNCTION("""COMPUTED_VALUE"""),"ID Not Created")</f>
        <v>ID Not Created</v>
      </c>
      <c r="L878" s="4"/>
    </row>
    <row r="879">
      <c r="A879" s="4" t="str">
        <f>IFERROR(__xludf.DUMMYFUNCTION("""COMPUTED_VALUE"""),"DME2921")</f>
        <v>DME2921</v>
      </c>
      <c r="B879" s="4" t="str">
        <f>IFERROR(__xludf.DUMMYFUNCTION("""COMPUTED_VALUE"""),"Anubhav Sharma")</f>
        <v>Anubhav Sharma</v>
      </c>
      <c r="C879" s="4" t="str">
        <f>IFERROR(__xludf.DUMMYFUNCTION("""COMPUTED_VALUE"""),"anubhav.Sharma@onixnet.com")</f>
        <v>anubhav.Sharma@onixnet.com</v>
      </c>
      <c r="D879" s="4" t="str">
        <f>IFERROR(__xludf.DUMMYFUNCTION("""COMPUTED_VALUE"""),"Active")</f>
        <v>Active</v>
      </c>
      <c r="E879" s="4" t="str">
        <f>IFERROR(__xludf.DUMMYFUNCTION("""COMPUTED_VALUE"""),"Delivery Services")</f>
        <v>Delivery Services</v>
      </c>
      <c r="F879" s="4" t="str">
        <f>IFERROR(__xludf.DUMMYFUNCTION("""COMPUTED_VALUE"""),"Varun Katyal")</f>
        <v>Varun Katyal</v>
      </c>
      <c r="G879" s="4" t="str">
        <f>IFERROR(__xludf.DUMMYFUNCTION("""COMPUTED_VALUE"""),"Cluster - Varun")</f>
        <v>Cluster - Varun</v>
      </c>
      <c r="H879" s="4" t="str">
        <f>IFERROR(__xludf.DUMMYFUNCTION("""COMPUTED_VALUE"""),"ONIASERB4")</f>
        <v>ONIASERB4</v>
      </c>
      <c r="I879" s="5">
        <f>IFERROR(__xludf.DUMMYFUNCTION("""COMPUTED_VALUE"""),0.0)</f>
        <v>0</v>
      </c>
      <c r="J879" s="4" t="str">
        <f>IFERROR(__xludf.DUMMYFUNCTION("""COMPUTED_VALUE"""),"Tier 4")</f>
        <v>Tier 4</v>
      </c>
      <c r="K879" s="4" t="str">
        <f>IFERROR(__xludf.DUMMYFUNCTION("""COMPUTED_VALUE"""),"ID Created DRP score 0")</f>
        <v>ID Created DRP score 0</v>
      </c>
      <c r="L879" s="4"/>
    </row>
    <row r="880">
      <c r="A880" s="4" t="str">
        <f>IFERROR(__xludf.DUMMYFUNCTION("""COMPUTED_VALUE"""),"DME2924")</f>
        <v>DME2924</v>
      </c>
      <c r="B880" s="4" t="str">
        <f>IFERROR(__xludf.DUMMYFUNCTION("""COMPUTED_VALUE"""),"Swapnil Ashok Hadole")</f>
        <v>Swapnil Ashok Hadole</v>
      </c>
      <c r="C880" s="4" t="str">
        <f>IFERROR(__xludf.DUMMYFUNCTION("""COMPUTED_VALUE"""),"swapnil.hadole@onixnet.com")</f>
        <v>swapnil.hadole@onixnet.com</v>
      </c>
      <c r="D880" s="4" t="str">
        <f>IFERROR(__xludf.DUMMYFUNCTION("""COMPUTED_VALUE"""),"Active")</f>
        <v>Active</v>
      </c>
      <c r="E880" s="4" t="str">
        <f>IFERROR(__xludf.DUMMYFUNCTION("""COMPUTED_VALUE"""),"Delivery Services")</f>
        <v>Delivery Services</v>
      </c>
      <c r="F880" s="4" t="str">
        <f>IFERROR(__xludf.DUMMYFUNCTION("""COMPUTED_VALUE"""),"Indrajit Omprakash Bhagat")</f>
        <v>Indrajit Omprakash Bhagat</v>
      </c>
      <c r="G880" s="4" t="str">
        <f>IFERROR(__xludf.DUMMYFUNCTION("""COMPUTED_VALUE"""),"Cluster - Varun")</f>
        <v>Cluster - Varun</v>
      </c>
      <c r="H880" s="4"/>
      <c r="I880" s="5"/>
      <c r="J880" s="4"/>
      <c r="K880" s="4" t="str">
        <f>IFERROR(__xludf.DUMMYFUNCTION("""COMPUTED_VALUE"""),"ID Not Created")</f>
        <v>ID Not Created</v>
      </c>
      <c r="L880" s="4"/>
    </row>
    <row r="881">
      <c r="A881" s="4" t="str">
        <f>IFERROR(__xludf.DUMMYFUNCTION("""COMPUTED_VALUE"""),"DME2928")</f>
        <v>DME2928</v>
      </c>
      <c r="B881" s="4" t="str">
        <f>IFERROR(__xludf.DUMMYFUNCTION("""COMPUTED_VALUE"""),"Chandrakant Jadhav")</f>
        <v>Chandrakant Jadhav</v>
      </c>
      <c r="C881" s="4" t="str">
        <f>IFERROR(__xludf.DUMMYFUNCTION("""COMPUTED_VALUE"""),"chandrakant.jadhav@onixnet.com")</f>
        <v>chandrakant.jadhav@onixnet.com</v>
      </c>
      <c r="D881" s="4" t="str">
        <f>IFERROR(__xludf.DUMMYFUNCTION("""COMPUTED_VALUE"""),"Active")</f>
        <v>Active</v>
      </c>
      <c r="E881" s="4" t="str">
        <f>IFERROR(__xludf.DUMMYFUNCTION("""COMPUTED_VALUE"""),"Product Engineering")</f>
        <v>Product Engineering</v>
      </c>
      <c r="F881" s="4" t="str">
        <f>IFERROR(__xludf.DUMMYFUNCTION("""COMPUTED_VALUE"""),"Rohit Joshi")</f>
        <v>Rohit Joshi</v>
      </c>
      <c r="G881" s="4" t="str">
        <f>IFERROR(__xludf.DUMMYFUNCTION("""COMPUTED_VALUE"""),"Cluster - Mayur")</f>
        <v>Cluster - Mayur</v>
      </c>
      <c r="H881" s="4" t="str">
        <f>IFERROR(__xludf.DUMMYFUNCTION("""COMPUTED_VALUE"""),"ONICJZAL8")</f>
        <v>ONICJZAL8</v>
      </c>
      <c r="I881" s="5">
        <f>IFERROR(__xludf.DUMMYFUNCTION("""COMPUTED_VALUE"""),0.0)</f>
        <v>0</v>
      </c>
      <c r="J881" s="4" t="str">
        <f>IFERROR(__xludf.DUMMYFUNCTION("""COMPUTED_VALUE"""),"Tier 4")</f>
        <v>Tier 4</v>
      </c>
      <c r="K881" s="4" t="str">
        <f>IFERROR(__xludf.DUMMYFUNCTION("""COMPUTED_VALUE"""),"ID Created DRP score 0")</f>
        <v>ID Created DRP score 0</v>
      </c>
      <c r="L881" s="4"/>
    </row>
    <row r="882">
      <c r="A882" s="4" t="str">
        <f>IFERROR(__xludf.DUMMYFUNCTION("""COMPUTED_VALUE"""),"DME2926")</f>
        <v>DME2926</v>
      </c>
      <c r="B882" s="4" t="str">
        <f>IFERROR(__xludf.DUMMYFUNCTION("""COMPUTED_VALUE"""),"Arpit Bhupendra Sable")</f>
        <v>Arpit Bhupendra Sable</v>
      </c>
      <c r="C882" s="4" t="str">
        <f>IFERROR(__xludf.DUMMYFUNCTION("""COMPUTED_VALUE"""),"arpit.sable@onixnet.com")</f>
        <v>arpit.sable@onixnet.com</v>
      </c>
      <c r="D882" s="4" t="str">
        <f>IFERROR(__xludf.DUMMYFUNCTION("""COMPUTED_VALUE"""),"Active")</f>
        <v>Active</v>
      </c>
      <c r="E882" s="4" t="str">
        <f>IFERROR(__xludf.DUMMYFUNCTION("""COMPUTED_VALUE"""),"Delivery Services")</f>
        <v>Delivery Services</v>
      </c>
      <c r="F882" s="4" t="str">
        <f>IFERROR(__xludf.DUMMYFUNCTION("""COMPUTED_VALUE"""),"Hemanth Kolluru")</f>
        <v>Hemanth Kolluru</v>
      </c>
      <c r="G882" s="4" t="str">
        <f>IFERROR(__xludf.DUMMYFUNCTION("""COMPUTED_VALUE"""),"Cluster - Sachin")</f>
        <v>Cluster - Sachin</v>
      </c>
      <c r="H882" s="4" t="str">
        <f>IFERROR(__xludf.DUMMYFUNCTION("""COMPUTED_VALUE"""),"ONIASJIU9")</f>
        <v>ONIASJIU9</v>
      </c>
      <c r="I882" s="5">
        <f>IFERROR(__xludf.DUMMYFUNCTION("""COMPUTED_VALUE"""),32.0)</f>
        <v>32</v>
      </c>
      <c r="J882" s="4" t="str">
        <f>IFERROR(__xludf.DUMMYFUNCTION("""COMPUTED_VALUE"""),"Tier 3")</f>
        <v>Tier 3</v>
      </c>
      <c r="K882" s="4" t="str">
        <f>IFERROR(__xludf.DUMMYFUNCTION("""COMPUTED_VALUE"""),"Active")</f>
        <v>Active</v>
      </c>
      <c r="L882" s="4" t="str">
        <f>IFERROR(__xludf.DUMMYFUNCTION("""COMPUTED_VALUE"""),"BigQuery")</f>
        <v>BigQuery</v>
      </c>
    </row>
    <row r="883">
      <c r="A883" s="4" t="str">
        <f>IFERROR(__xludf.DUMMYFUNCTION("""COMPUTED_VALUE"""),"DME2925")</f>
        <v>DME2925</v>
      </c>
      <c r="B883" s="4" t="str">
        <f>IFERROR(__xludf.DUMMYFUNCTION("""COMPUTED_VALUE"""),"Sudeep Dogga")</f>
        <v>Sudeep Dogga</v>
      </c>
      <c r="C883" s="4" t="str">
        <f>IFERROR(__xludf.DUMMYFUNCTION("""COMPUTED_VALUE"""),"dogga.sudeep@onixnet.com")</f>
        <v>dogga.sudeep@onixnet.com</v>
      </c>
      <c r="D883" s="4" t="str">
        <f>IFERROR(__xludf.DUMMYFUNCTION("""COMPUTED_VALUE"""),"Active")</f>
        <v>Active</v>
      </c>
      <c r="E883" s="4" t="str">
        <f>IFERROR(__xludf.DUMMYFUNCTION("""COMPUTED_VALUE"""),"Delivery Services")</f>
        <v>Delivery Services</v>
      </c>
      <c r="F883" s="4" t="str">
        <f>IFERROR(__xludf.DUMMYFUNCTION("""COMPUTED_VALUE"""),"Vijender Bhardwaj")</f>
        <v>Vijender Bhardwaj</v>
      </c>
      <c r="G883" s="4" t="str">
        <f>IFERROR(__xludf.DUMMYFUNCTION("""COMPUTED_VALUE"""),"Cluster - Varun")</f>
        <v>Cluster - Varun</v>
      </c>
      <c r="H883" s="4" t="str">
        <f>IFERROR(__xludf.DUMMYFUNCTION("""COMPUTED_VALUE"""),"ONISDZVT5")</f>
        <v>ONISDZVT5</v>
      </c>
      <c r="I883" s="5">
        <f>IFERROR(__xludf.DUMMYFUNCTION("""COMPUTED_VALUE"""),14.0)</f>
        <v>14</v>
      </c>
      <c r="J883" s="4" t="str">
        <f>IFERROR(__xludf.DUMMYFUNCTION("""COMPUTED_VALUE"""),"Tier 4")</f>
        <v>Tier 4</v>
      </c>
      <c r="K883" s="4" t="str">
        <f>IFERROR(__xludf.DUMMYFUNCTION("""COMPUTED_VALUE"""),"Active")</f>
        <v>Active</v>
      </c>
      <c r="L883" s="4" t="str">
        <f>IFERROR(__xludf.DUMMYFUNCTION("""COMPUTED_VALUE"""),"Google Kubernetes Engine")</f>
        <v>Google Kubernetes Engine</v>
      </c>
    </row>
    <row r="884">
      <c r="A884" s="4" t="str">
        <f>IFERROR(__xludf.DUMMYFUNCTION("""COMPUTED_VALUE"""),"ONIX753")</f>
        <v>ONIX753</v>
      </c>
      <c r="B884" s="4" t="str">
        <f>IFERROR(__xludf.DUMMYFUNCTION("""COMPUTED_VALUE"""),"Ranjeet Yadav")</f>
        <v>Ranjeet Yadav</v>
      </c>
      <c r="C884" s="4" t="str">
        <f>IFERROR(__xludf.DUMMYFUNCTION("""COMPUTED_VALUE"""),"ranjeet.yadav@onixnet.com")</f>
        <v>ranjeet.yadav@onixnet.com</v>
      </c>
      <c r="D884" s="4" t="str">
        <f>IFERROR(__xludf.DUMMYFUNCTION("""COMPUTED_VALUE"""),"Active")</f>
        <v>Active</v>
      </c>
      <c r="E884" s="4" t="str">
        <f>IFERROR(__xludf.DUMMYFUNCTION("""COMPUTED_VALUE"""),"Delivery")</f>
        <v>Delivery</v>
      </c>
      <c r="F884" s="4" t="str">
        <f>IFERROR(__xludf.DUMMYFUNCTION("""COMPUTED_VALUE"""),"Venkat Srinivasan")</f>
        <v>Venkat Srinivasan</v>
      </c>
      <c r="G884" s="4" t="str">
        <f>IFERROR(__xludf.DUMMYFUNCTION("""COMPUTED_VALUE"""),"Portfolio - Rajesh")</f>
        <v>Portfolio - Rajesh</v>
      </c>
      <c r="H884" s="4" t="str">
        <f>IFERROR(__xludf.DUMMYFUNCTION("""COMPUTED_VALUE"""),"ONIRYADF2")</f>
        <v>ONIRYADF2</v>
      </c>
      <c r="I884" s="5">
        <f>IFERROR(__xludf.DUMMYFUNCTION("""COMPUTED_VALUE"""),15.0)</f>
        <v>15</v>
      </c>
      <c r="J884" s="4" t="str">
        <f>IFERROR(__xludf.DUMMYFUNCTION("""COMPUTED_VALUE"""),"Tier 4")</f>
        <v>Tier 4</v>
      </c>
      <c r="K884" s="4" t="str">
        <f>IFERROR(__xludf.DUMMYFUNCTION("""COMPUTED_VALUE"""),"Active")</f>
        <v>Active</v>
      </c>
      <c r="L884" s="4" t="str">
        <f>IFERROR(__xludf.DUMMYFUNCTION("""COMPUTED_VALUE"""),"Apigee API Management")</f>
        <v>Apigee API Management</v>
      </c>
    </row>
    <row r="885">
      <c r="A885" s="4" t="str">
        <f>IFERROR(__xludf.DUMMYFUNCTION("""COMPUTED_VALUE"""),"ONIX754")</f>
        <v>ONIX754</v>
      </c>
      <c r="B885" s="4" t="str">
        <f>IFERROR(__xludf.DUMMYFUNCTION("""COMPUTED_VALUE"""),"Supriya Ramchandra Nalage")</f>
        <v>Supriya Ramchandra Nalage</v>
      </c>
      <c r="C885" s="4" t="str">
        <f>IFERROR(__xludf.DUMMYFUNCTION("""COMPUTED_VALUE"""),"supriya.nalage@onixnet.com")</f>
        <v>supriya.nalage@onixnet.com</v>
      </c>
      <c r="D885" s="4" t="str">
        <f>IFERROR(__xludf.DUMMYFUNCTION("""COMPUTED_VALUE"""),"Active")</f>
        <v>Active</v>
      </c>
      <c r="E885" s="4" t="str">
        <f>IFERROR(__xludf.DUMMYFUNCTION("""COMPUTED_VALUE"""),"Delivery")</f>
        <v>Delivery</v>
      </c>
      <c r="F885" s="4" t="str">
        <f>IFERROR(__xludf.DUMMYFUNCTION("""COMPUTED_VALUE"""),"Venkat Srinivasan")</f>
        <v>Venkat Srinivasan</v>
      </c>
      <c r="G885" s="4" t="str">
        <f>IFERROR(__xludf.DUMMYFUNCTION("""COMPUTED_VALUE"""),"Portfolio - Rajesh")</f>
        <v>Portfolio - Rajesh</v>
      </c>
      <c r="H885" s="4" t="str">
        <f>IFERROR(__xludf.DUMMYFUNCTION("""COMPUTED_VALUE"""),"ONISNIIH5")</f>
        <v>ONISNIIH5</v>
      </c>
      <c r="I885" s="5">
        <f>IFERROR(__xludf.DUMMYFUNCTION("""COMPUTED_VALUE"""),5.0)</f>
        <v>5</v>
      </c>
      <c r="J885" s="4" t="str">
        <f>IFERROR(__xludf.DUMMYFUNCTION("""COMPUTED_VALUE"""),"Tier 4")</f>
        <v>Tier 4</v>
      </c>
      <c r="K885" s="4" t="str">
        <f>IFERROR(__xludf.DUMMYFUNCTION("""COMPUTED_VALUE"""),"Active")</f>
        <v>Active</v>
      </c>
      <c r="L885" s="4" t="str">
        <f>IFERROR(__xludf.DUMMYFUNCTION("""COMPUTED_VALUE"""),"Google Kubernetes Engine")</f>
        <v>Google Kubernetes Engine</v>
      </c>
    </row>
    <row r="886">
      <c r="A886" s="4" t="str">
        <f>IFERROR(__xludf.DUMMYFUNCTION("""COMPUTED_VALUE"""),"ONIX756")</f>
        <v>ONIX756</v>
      </c>
      <c r="B886" s="4" t="str">
        <f>IFERROR(__xludf.DUMMYFUNCTION("""COMPUTED_VALUE"""),"Rahul Jain")</f>
        <v>Rahul Jain</v>
      </c>
      <c r="C886" s="4" t="str">
        <f>IFERROR(__xludf.DUMMYFUNCTION("""COMPUTED_VALUE"""),"rahul.jain@onixnet.com")</f>
        <v>rahul.jain@onixnet.com</v>
      </c>
      <c r="D886" s="4" t="str">
        <f>IFERROR(__xludf.DUMMYFUNCTION("""COMPUTED_VALUE"""),"Active")</f>
        <v>Active</v>
      </c>
      <c r="E886" s="4" t="str">
        <f>IFERROR(__xludf.DUMMYFUNCTION("""COMPUTED_VALUE"""),"Sales Services")</f>
        <v>Sales Services</v>
      </c>
      <c r="F886" s="4" t="str">
        <f>IFERROR(__xludf.DUMMYFUNCTION("""COMPUTED_VALUE"""),"Shwetha Vincy")</f>
        <v>Shwetha Vincy</v>
      </c>
      <c r="G886" s="4" t="str">
        <f>IFERROR(__xludf.DUMMYFUNCTION("""COMPUTED_VALUE"""),"Portfolio - Ankur (Sales)")</f>
        <v>Portfolio - Ankur (Sales)</v>
      </c>
      <c r="H886" s="4" t="str">
        <f>IFERROR(__xludf.DUMMYFUNCTION("""COMPUTED_VALUE"""),"ONIRJJGG3")</f>
        <v>ONIRJJGG3</v>
      </c>
      <c r="I886" s="5">
        <f>IFERROR(__xludf.DUMMYFUNCTION("""COMPUTED_VALUE"""),0.0)</f>
        <v>0</v>
      </c>
      <c r="J886" s="4" t="str">
        <f>IFERROR(__xludf.DUMMYFUNCTION("""COMPUTED_VALUE"""),"Tier 4")</f>
        <v>Tier 4</v>
      </c>
      <c r="K886" s="4" t="str">
        <f>IFERROR(__xludf.DUMMYFUNCTION("""COMPUTED_VALUE"""),"ID Created DRP score 0")</f>
        <v>ID Created DRP score 0</v>
      </c>
      <c r="L886" s="4"/>
    </row>
    <row r="887">
      <c r="A887" s="4" t="str">
        <f>IFERROR(__xludf.DUMMYFUNCTION("""COMPUTED_VALUE"""),"ONIX757")</f>
        <v>ONIX757</v>
      </c>
      <c r="B887" s="4" t="str">
        <f>IFERROR(__xludf.DUMMYFUNCTION("""COMPUTED_VALUE"""),"Karl Shamatutu")</f>
        <v>Karl Shamatutu</v>
      </c>
      <c r="C887" s="4" t="str">
        <f>IFERROR(__xludf.DUMMYFUNCTION("""COMPUTED_VALUE"""),"karl.shamatutu@onixnet.com")</f>
        <v>karl.shamatutu@onixnet.com</v>
      </c>
      <c r="D887" s="4" t="str">
        <f>IFERROR(__xludf.DUMMYFUNCTION("""COMPUTED_VALUE"""),"Active")</f>
        <v>Active</v>
      </c>
      <c r="E887" s="4" t="str">
        <f>IFERROR(__xludf.DUMMYFUNCTION("""COMPUTED_VALUE"""),"Sales Services")</f>
        <v>Sales Services</v>
      </c>
      <c r="F887" s="4" t="str">
        <f>IFERROR(__xludf.DUMMYFUNCTION("""COMPUTED_VALUE"""),"Kathleen Hansen")</f>
        <v>Kathleen Hansen</v>
      </c>
      <c r="G887" s="4" t="str">
        <f>IFERROR(__xludf.DUMMYFUNCTION("""COMPUTED_VALUE"""),"Portfolio - Scott")</f>
        <v>Portfolio - Scott</v>
      </c>
      <c r="H887" s="4" t="str">
        <f>IFERROR(__xludf.DUMMYFUNCTION("""COMPUTED_VALUE"""),"ONIKSLPT0")</f>
        <v>ONIKSLPT0</v>
      </c>
      <c r="I887" s="5">
        <f>IFERROR(__xludf.DUMMYFUNCTION("""COMPUTED_VALUE"""),0.0)</f>
        <v>0</v>
      </c>
      <c r="J887" s="4" t="str">
        <f>IFERROR(__xludf.DUMMYFUNCTION("""COMPUTED_VALUE"""),"Tier 4")</f>
        <v>Tier 4</v>
      </c>
      <c r="K887" s="4" t="str">
        <f>IFERROR(__xludf.DUMMYFUNCTION("""COMPUTED_VALUE"""),"ID Created DRP score 0")</f>
        <v>ID Created DRP score 0</v>
      </c>
      <c r="L887" s="4"/>
    </row>
    <row r="888">
      <c r="A888" s="4" t="str">
        <f>IFERROR(__xludf.DUMMYFUNCTION("""COMPUTED_VALUE"""),"ONIX760")</f>
        <v>ONIX760</v>
      </c>
      <c r="B888" s="4" t="str">
        <f>IFERROR(__xludf.DUMMYFUNCTION("""COMPUTED_VALUE"""),"Vedashree Vilas Bhat")</f>
        <v>Vedashree Vilas Bhat</v>
      </c>
      <c r="C888" s="4" t="str">
        <f>IFERROR(__xludf.DUMMYFUNCTION("""COMPUTED_VALUE"""),"vedashree.bhat@onixnet.us")</f>
        <v>vedashree.bhat@onixnet.us</v>
      </c>
      <c r="D888" s="4" t="str">
        <f>IFERROR(__xludf.DUMMYFUNCTION("""COMPUTED_VALUE"""),"Active")</f>
        <v>Active</v>
      </c>
      <c r="E888" s="4" t="str">
        <f>IFERROR(__xludf.DUMMYFUNCTION("""COMPUTED_VALUE"""),"Delivery")</f>
        <v>Delivery</v>
      </c>
      <c r="F888" s="4" t="str">
        <f>IFERROR(__xludf.DUMMYFUNCTION("""COMPUTED_VALUE"""),"Venkat Srinivasan")</f>
        <v>Venkat Srinivasan</v>
      </c>
      <c r="G888" s="4" t="str">
        <f>IFERROR(__xludf.DUMMYFUNCTION("""COMPUTED_VALUE"""),"Portfolio - Rajesh")</f>
        <v>Portfolio - Rajesh</v>
      </c>
      <c r="H888" s="4" t="str">
        <f>IFERROR(__xludf.DUMMYFUNCTION("""COMPUTED_VALUE"""),"ONIVBBNL3")</f>
        <v>ONIVBBNL3</v>
      </c>
      <c r="I888" s="5">
        <f>IFERROR(__xludf.DUMMYFUNCTION("""COMPUTED_VALUE"""),0.0)</f>
        <v>0</v>
      </c>
      <c r="J888" s="4" t="str">
        <f>IFERROR(__xludf.DUMMYFUNCTION("""COMPUTED_VALUE"""),"Tier 4")</f>
        <v>Tier 4</v>
      </c>
      <c r="K888" s="4" t="str">
        <f>IFERROR(__xludf.DUMMYFUNCTION("""COMPUTED_VALUE"""),"ID Created DRP score 0")</f>
        <v>ID Created DRP score 0</v>
      </c>
      <c r="L888" s="4"/>
    </row>
    <row r="889">
      <c r="A889" s="4" t="str">
        <f>IFERROR(__xludf.DUMMYFUNCTION("""COMPUTED_VALUE"""),"DME2931")</f>
        <v>DME2931</v>
      </c>
      <c r="B889" s="4" t="str">
        <f>IFERROR(__xludf.DUMMYFUNCTION("""COMPUTED_VALUE"""),"Ravindra Pujari")</f>
        <v>Ravindra Pujari</v>
      </c>
      <c r="C889" s="4" t="str">
        <f>IFERROR(__xludf.DUMMYFUNCTION("""COMPUTED_VALUE"""),"ravindra.pujari@onixnet.com")</f>
        <v>ravindra.pujari@onixnet.com</v>
      </c>
      <c r="D889" s="4" t="str">
        <f>IFERROR(__xludf.DUMMYFUNCTION("""COMPUTED_VALUE"""),"Active")</f>
        <v>Active</v>
      </c>
      <c r="E889" s="4" t="str">
        <f>IFERROR(__xludf.DUMMYFUNCTION("""COMPUTED_VALUE"""),"Delivery Services")</f>
        <v>Delivery Services</v>
      </c>
      <c r="F889" s="4" t="str">
        <f>IFERROR(__xludf.DUMMYFUNCTION("""COMPUTED_VALUE"""),"Rahul Gupta")</f>
        <v>Rahul Gupta</v>
      </c>
      <c r="G889" s="4" t="str">
        <f>IFERROR(__xludf.DUMMYFUNCTION("""COMPUTED_VALUE"""),"Cluster - Sachin")</f>
        <v>Cluster - Sachin</v>
      </c>
      <c r="H889" s="4" t="str">
        <f>IFERROR(__xludf.DUMMYFUNCTION("""COMPUTED_VALUE"""),"ONIRPPCB6")</f>
        <v>ONIRPPCB6</v>
      </c>
      <c r="I889" s="5">
        <f>IFERROR(__xludf.DUMMYFUNCTION("""COMPUTED_VALUE"""),44.0)</f>
        <v>44</v>
      </c>
      <c r="J889" s="4" t="str">
        <f>IFERROR(__xludf.DUMMYFUNCTION("""COMPUTED_VALUE"""),"Tier 2")</f>
        <v>Tier 2</v>
      </c>
      <c r="K889" s="4" t="str">
        <f>IFERROR(__xludf.DUMMYFUNCTION("""COMPUTED_VALUE"""),"Active")</f>
        <v>Active</v>
      </c>
      <c r="L889" s="4" t="str">
        <f>IFERROR(__xludf.DUMMYFUNCTION("""COMPUTED_VALUE"""),"BigQuery")</f>
        <v>BigQuery</v>
      </c>
    </row>
    <row r="890">
      <c r="A890" s="4" t="str">
        <f>IFERROR(__xludf.DUMMYFUNCTION("""COMPUTED_VALUE"""),"DME2935")</f>
        <v>DME2935</v>
      </c>
      <c r="B890" s="4" t="str">
        <f>IFERROR(__xludf.DUMMYFUNCTION("""COMPUTED_VALUE"""),"Nitin Kumar")</f>
        <v>Nitin Kumar</v>
      </c>
      <c r="C890" s="4" t="str">
        <f>IFERROR(__xludf.DUMMYFUNCTION("""COMPUTED_VALUE"""),"nitin.kumar@onixnet.com")</f>
        <v>nitin.kumar@onixnet.com</v>
      </c>
      <c r="D890" s="4" t="str">
        <f>IFERROR(__xludf.DUMMYFUNCTION("""COMPUTED_VALUE"""),"Active")</f>
        <v>Active</v>
      </c>
      <c r="E890" s="4" t="str">
        <f>IFERROR(__xludf.DUMMYFUNCTION("""COMPUTED_VALUE"""),"Delivery Services")</f>
        <v>Delivery Services</v>
      </c>
      <c r="F890" s="4" t="str">
        <f>IFERROR(__xludf.DUMMYFUNCTION("""COMPUTED_VALUE"""),"Shubhendu Shubhendu")</f>
        <v>Shubhendu Shubhendu</v>
      </c>
      <c r="G890" s="4" t="str">
        <f>IFERROR(__xludf.DUMMYFUNCTION("""COMPUTED_VALUE"""),"Cluster - Kanhaiya")</f>
        <v>Cluster - Kanhaiya</v>
      </c>
      <c r="H890" s="4"/>
      <c r="I890" s="5"/>
      <c r="J890" s="4"/>
      <c r="K890" s="4" t="str">
        <f>IFERROR(__xludf.DUMMYFUNCTION("""COMPUTED_VALUE"""),"ID Not Created")</f>
        <v>ID Not Created</v>
      </c>
      <c r="L890" s="4"/>
    </row>
    <row r="891">
      <c r="A891" s="4" t="str">
        <f>IFERROR(__xludf.DUMMYFUNCTION("""COMPUTED_VALUE"""),"DME2934")</f>
        <v>DME2934</v>
      </c>
      <c r="B891" s="4" t="str">
        <f>IFERROR(__xludf.DUMMYFUNCTION("""COMPUTED_VALUE"""),"SHRAVYA BHANDARY")</f>
        <v>SHRAVYA BHANDARY</v>
      </c>
      <c r="C891" s="4" t="str">
        <f>IFERROR(__xludf.DUMMYFUNCTION("""COMPUTED_VALUE"""),"shravya.bhandary@onixnet.com")</f>
        <v>shravya.bhandary@onixnet.com</v>
      </c>
      <c r="D891" s="4" t="str">
        <f>IFERROR(__xludf.DUMMYFUNCTION("""COMPUTED_VALUE"""),"Active")</f>
        <v>Active</v>
      </c>
      <c r="E891" s="4" t="str">
        <f>IFERROR(__xludf.DUMMYFUNCTION("""COMPUTED_VALUE"""),"Delivery Services")</f>
        <v>Delivery Services</v>
      </c>
      <c r="F891" s="4" t="str">
        <f>IFERROR(__xludf.DUMMYFUNCTION("""COMPUTED_VALUE"""),"Shubhendu Shubhendu")</f>
        <v>Shubhendu Shubhendu</v>
      </c>
      <c r="G891" s="4" t="str">
        <f>IFERROR(__xludf.DUMMYFUNCTION("""COMPUTED_VALUE"""),"Cluster - Kanhaiya")</f>
        <v>Cluster - Kanhaiya</v>
      </c>
      <c r="H891" s="4" t="str">
        <f>IFERROR(__xludf.DUMMYFUNCTION("""COMPUTED_VALUE"""),"ONISBAIU6")</f>
        <v>ONISBAIU6</v>
      </c>
      <c r="I891" s="5">
        <f>IFERROR(__xludf.DUMMYFUNCTION("""COMPUTED_VALUE"""),5.0)</f>
        <v>5</v>
      </c>
      <c r="J891" s="4" t="str">
        <f>IFERROR(__xludf.DUMMYFUNCTION("""COMPUTED_VALUE"""),"Tier 4")</f>
        <v>Tier 4</v>
      </c>
      <c r="K891" s="4" t="str">
        <f>IFERROR(__xludf.DUMMYFUNCTION("""COMPUTED_VALUE"""),"Active")</f>
        <v>Active</v>
      </c>
      <c r="L891" s="4" t="str">
        <f>IFERROR(__xludf.DUMMYFUNCTION("""COMPUTED_VALUE"""),"AI Applications")</f>
        <v>AI Applications</v>
      </c>
    </row>
    <row r="892">
      <c r="A892" s="4" t="str">
        <f>IFERROR(__xludf.DUMMYFUNCTION("""COMPUTED_VALUE"""),"DME2937")</f>
        <v>DME2937</v>
      </c>
      <c r="B892" s="4" t="str">
        <f>IFERROR(__xludf.DUMMYFUNCTION("""COMPUTED_VALUE"""),"Chirag Gupta")</f>
        <v>Chirag Gupta</v>
      </c>
      <c r="C892" s="4" t="str">
        <f>IFERROR(__xludf.DUMMYFUNCTION("""COMPUTED_VALUE"""),"chirag.gupta@onixnet.com")</f>
        <v>chirag.gupta@onixnet.com</v>
      </c>
      <c r="D892" s="4" t="str">
        <f>IFERROR(__xludf.DUMMYFUNCTION("""COMPUTED_VALUE"""),"Active")</f>
        <v>Active</v>
      </c>
      <c r="E892" s="4" t="str">
        <f>IFERROR(__xludf.DUMMYFUNCTION("""COMPUTED_VALUE"""),"Delivery Services")</f>
        <v>Delivery Services</v>
      </c>
      <c r="F892" s="4" t="str">
        <f>IFERROR(__xludf.DUMMYFUNCTION("""COMPUTED_VALUE"""),"Akash Choudhari")</f>
        <v>Akash Choudhari</v>
      </c>
      <c r="G892" s="4" t="str">
        <f>IFERROR(__xludf.DUMMYFUNCTION("""COMPUTED_VALUE"""),"Cluster - Sandeep")</f>
        <v>Cluster - Sandeep</v>
      </c>
      <c r="H892" s="4" t="str">
        <f>IFERROR(__xludf.DUMMYFUNCTION("""COMPUTED_VALUE"""),"ONICGTLI5")</f>
        <v>ONICGTLI5</v>
      </c>
      <c r="I892" s="5">
        <f>IFERROR(__xludf.DUMMYFUNCTION("""COMPUTED_VALUE"""),43.0)</f>
        <v>43</v>
      </c>
      <c r="J892" s="4" t="str">
        <f>IFERROR(__xludf.DUMMYFUNCTION("""COMPUTED_VALUE"""),"Tier 2")</f>
        <v>Tier 2</v>
      </c>
      <c r="K892" s="4" t="str">
        <f>IFERROR(__xludf.DUMMYFUNCTION("""COMPUTED_VALUE"""),"Active")</f>
        <v>Active</v>
      </c>
      <c r="L892" s="4" t="str">
        <f>IFERROR(__xludf.DUMMYFUNCTION("""COMPUTED_VALUE"""),"AI Applications")</f>
        <v>AI Applications</v>
      </c>
    </row>
    <row r="893">
      <c r="A893" s="4" t="str">
        <f>IFERROR(__xludf.DUMMYFUNCTION("""COMPUTED_VALUE"""),"DME2936")</f>
        <v>DME2936</v>
      </c>
      <c r="B893" s="4" t="str">
        <f>IFERROR(__xludf.DUMMYFUNCTION("""COMPUTED_VALUE"""),"ASHISH Ankur")</f>
        <v>ASHISH Ankur</v>
      </c>
      <c r="C893" s="4" t="str">
        <f>IFERROR(__xludf.DUMMYFUNCTION("""COMPUTED_VALUE"""),"ashish.Ankur@onixnet.com")</f>
        <v>ashish.Ankur@onixnet.com</v>
      </c>
      <c r="D893" s="4" t="str">
        <f>IFERROR(__xludf.DUMMYFUNCTION("""COMPUTED_VALUE"""),"Active")</f>
        <v>Active</v>
      </c>
      <c r="E893" s="4" t="str">
        <f>IFERROR(__xludf.DUMMYFUNCTION("""COMPUTED_VALUE"""),"Delivery Services")</f>
        <v>Delivery Services</v>
      </c>
      <c r="F893" s="4" t="str">
        <f>IFERROR(__xludf.DUMMYFUNCTION("""COMPUTED_VALUE"""),"Shubhendu Shubhendu")</f>
        <v>Shubhendu Shubhendu</v>
      </c>
      <c r="G893" s="4" t="str">
        <f>IFERROR(__xludf.DUMMYFUNCTION("""COMPUTED_VALUE"""),"Cluster - Kanhaiya")</f>
        <v>Cluster - Kanhaiya</v>
      </c>
      <c r="H893" s="4"/>
      <c r="I893" s="5"/>
      <c r="J893" s="4"/>
      <c r="K893" s="4" t="str">
        <f>IFERROR(__xludf.DUMMYFUNCTION("""COMPUTED_VALUE"""),"ID Not Created")</f>
        <v>ID Not Created</v>
      </c>
      <c r="L893" s="4"/>
    </row>
    <row r="894">
      <c r="A894" s="4" t="str">
        <f>IFERROR(__xludf.DUMMYFUNCTION("""COMPUTED_VALUE"""),"DME2938")</f>
        <v>DME2938</v>
      </c>
      <c r="B894" s="4" t="str">
        <f>IFERROR(__xludf.DUMMYFUNCTION("""COMPUTED_VALUE"""),"Rajarshi Kumar Goswami")</f>
        <v>Rajarshi Kumar Goswami</v>
      </c>
      <c r="C894" s="4" t="str">
        <f>IFERROR(__xludf.DUMMYFUNCTION("""COMPUTED_VALUE"""),"rajarshi.goswami@onixnet.com")</f>
        <v>rajarshi.goswami@onixnet.com</v>
      </c>
      <c r="D894" s="4" t="str">
        <f>IFERROR(__xludf.DUMMYFUNCTION("""COMPUTED_VALUE"""),"Active")</f>
        <v>Active</v>
      </c>
      <c r="E894" s="4" t="str">
        <f>IFERROR(__xludf.DUMMYFUNCTION("""COMPUTED_VALUE"""),"Delivery Services")</f>
        <v>Delivery Services</v>
      </c>
      <c r="F894" s="4" t="str">
        <f>IFERROR(__xludf.DUMMYFUNCTION("""COMPUTED_VALUE"""),"Varun Katyal")</f>
        <v>Varun Katyal</v>
      </c>
      <c r="G894" s="4" t="str">
        <f>IFERROR(__xludf.DUMMYFUNCTION("""COMPUTED_VALUE"""),"Cluster - Varun")</f>
        <v>Cluster - Varun</v>
      </c>
      <c r="H894" s="4" t="str">
        <f>IFERROR(__xludf.DUMMYFUNCTION("""COMPUTED_VALUE"""),"ONIRGNGO8")</f>
        <v>ONIRGNGO8</v>
      </c>
      <c r="I894" s="5">
        <f>IFERROR(__xludf.DUMMYFUNCTION("""COMPUTED_VALUE"""),5.0)</f>
        <v>5</v>
      </c>
      <c r="J894" s="4" t="str">
        <f>IFERROR(__xludf.DUMMYFUNCTION("""COMPUTED_VALUE"""),"Tier 4")</f>
        <v>Tier 4</v>
      </c>
      <c r="K894" s="4" t="str">
        <f>IFERROR(__xludf.DUMMYFUNCTION("""COMPUTED_VALUE"""),"Active")</f>
        <v>Active</v>
      </c>
      <c r="L894" s="4" t="str">
        <f>IFERROR(__xludf.DUMMYFUNCTION("""COMPUTED_VALUE"""),"Gemini Enterprise Agent Platform")</f>
        <v>Gemini Enterprise Agent Platform</v>
      </c>
    </row>
    <row r="895">
      <c r="A895" s="4" t="str">
        <f>IFERROR(__xludf.DUMMYFUNCTION("""COMPUTED_VALUE"""),"DME2932")</f>
        <v>DME2932</v>
      </c>
      <c r="B895" s="4" t="str">
        <f>IFERROR(__xludf.DUMMYFUNCTION("""COMPUTED_VALUE"""),"Snehal Rajendra Hole")</f>
        <v>Snehal Rajendra Hole</v>
      </c>
      <c r="C895" s="4" t="str">
        <f>IFERROR(__xludf.DUMMYFUNCTION("""COMPUTED_VALUE"""),"snehal.hole@onixnet.com")</f>
        <v>snehal.hole@onixnet.com</v>
      </c>
      <c r="D895" s="4" t="str">
        <f>IFERROR(__xludf.DUMMYFUNCTION("""COMPUTED_VALUE"""),"Active")</f>
        <v>Active</v>
      </c>
      <c r="E895" s="4" t="str">
        <f>IFERROR(__xludf.DUMMYFUNCTION("""COMPUTED_VALUE"""),"Delivery Services")</f>
        <v>Delivery Services</v>
      </c>
      <c r="F895" s="4" t="str">
        <f>IFERROR(__xludf.DUMMYFUNCTION("""COMPUTED_VALUE"""),"Sneha Bhatambrekar")</f>
        <v>Sneha Bhatambrekar</v>
      </c>
      <c r="G895" s="4" t="str">
        <f>IFERROR(__xludf.DUMMYFUNCTION("""COMPUTED_VALUE"""),"Cluster - Sandeep")</f>
        <v>Cluster - Sandeep</v>
      </c>
      <c r="H895" s="4" t="str">
        <f>IFERROR(__xludf.DUMMYFUNCTION("""COMPUTED_VALUE"""),"ONISHSAZ6")</f>
        <v>ONISHSAZ6</v>
      </c>
      <c r="I895" s="5">
        <f>IFERROR(__xludf.DUMMYFUNCTION("""COMPUTED_VALUE"""),21.0)</f>
        <v>21</v>
      </c>
      <c r="J895" s="4" t="str">
        <f>IFERROR(__xludf.DUMMYFUNCTION("""COMPUTED_VALUE"""),"Tier 3")</f>
        <v>Tier 3</v>
      </c>
      <c r="K895" s="4" t="str">
        <f>IFERROR(__xludf.DUMMYFUNCTION("""COMPUTED_VALUE"""),"Active")</f>
        <v>Active</v>
      </c>
      <c r="L895" s="4" t="str">
        <f>IFERROR(__xludf.DUMMYFUNCTION("""COMPUTED_VALUE"""),"Gemini Enterprise Agent Platform")</f>
        <v>Gemini Enterprise Agent Platform</v>
      </c>
    </row>
    <row r="896">
      <c r="A896" s="4" t="str">
        <f>IFERROR(__xludf.DUMMYFUNCTION("""COMPUTED_VALUE"""),"DME2933")</f>
        <v>DME2933</v>
      </c>
      <c r="B896" s="4" t="str">
        <f>IFERROR(__xludf.DUMMYFUNCTION("""COMPUTED_VALUE"""),"Akshita S")</f>
        <v>Akshita S</v>
      </c>
      <c r="C896" s="4" t="str">
        <f>IFERROR(__xludf.DUMMYFUNCTION("""COMPUTED_VALUE"""),"akshita.Srivastava@onixnet.com")</f>
        <v>akshita.Srivastava@onixnet.com</v>
      </c>
      <c r="D896" s="4" t="str">
        <f>IFERROR(__xludf.DUMMYFUNCTION("""COMPUTED_VALUE"""),"Active")</f>
        <v>Active</v>
      </c>
      <c r="E896" s="4" t="str">
        <f>IFERROR(__xludf.DUMMYFUNCTION("""COMPUTED_VALUE"""),"Solutions and Pre-Sales")</f>
        <v>Solutions and Pre-Sales</v>
      </c>
      <c r="F896" s="4" t="str">
        <f>IFERROR(__xludf.DUMMYFUNCTION("""COMPUTED_VALUE"""),"Priyanka Buwe")</f>
        <v>Priyanka Buwe</v>
      </c>
      <c r="G896" s="4" t="str">
        <f>IFERROR(__xludf.DUMMYFUNCTION("""COMPUTED_VALUE"""),"Portfolio - Gaurav A (Presales)")</f>
        <v>Portfolio - Gaurav A (Presales)</v>
      </c>
      <c r="H896" s="4" t="str">
        <f>IFERROR(__xludf.DUMMYFUNCTION("""COMPUTED_VALUE"""),"ONIASBXZ8")</f>
        <v>ONIASBXZ8</v>
      </c>
      <c r="I896" s="5">
        <f>IFERROR(__xludf.DUMMYFUNCTION("""COMPUTED_VALUE"""),10.0)</f>
        <v>10</v>
      </c>
      <c r="J896" s="4" t="str">
        <f>IFERROR(__xludf.DUMMYFUNCTION("""COMPUTED_VALUE"""),"Tier 4")</f>
        <v>Tier 4</v>
      </c>
      <c r="K896" s="4" t="str">
        <f>IFERROR(__xludf.DUMMYFUNCTION("""COMPUTED_VALUE"""),"Active")</f>
        <v>Active</v>
      </c>
      <c r="L896" s="4" t="str">
        <f>IFERROR(__xludf.DUMMYFUNCTION("""COMPUTED_VALUE"""),"AI Applications")</f>
        <v>AI Applications</v>
      </c>
    </row>
    <row r="897">
      <c r="A897" s="4" t="str">
        <f>IFERROR(__xludf.DUMMYFUNCTION("""COMPUTED_VALUE"""),"ONIX785")</f>
        <v>ONIX785</v>
      </c>
      <c r="B897" s="4" t="str">
        <f>IFERROR(__xludf.DUMMYFUNCTION("""COMPUTED_VALUE"""),"Richard Schonbrun")</f>
        <v>Richard Schonbrun</v>
      </c>
      <c r="C897" s="4" t="str">
        <f>IFERROR(__xludf.DUMMYFUNCTION("""COMPUTED_VALUE"""),"Rick.Schonbrun@onixnet.com")</f>
        <v>Rick.Schonbrun@onixnet.com</v>
      </c>
      <c r="D897" s="4" t="str">
        <f>IFERROR(__xludf.DUMMYFUNCTION("""COMPUTED_VALUE"""),"Active")</f>
        <v>Active</v>
      </c>
      <c r="E897" s="4" t="str">
        <f>IFERROR(__xludf.DUMMYFUNCTION("""COMPUTED_VALUE"""),"Delivery")</f>
        <v>Delivery</v>
      </c>
      <c r="F897" s="4" t="str">
        <f>IFERROR(__xludf.DUMMYFUNCTION("""COMPUTED_VALUE"""),"Patrick Schablitzki")</f>
        <v>Patrick Schablitzki</v>
      </c>
      <c r="G897" s="4" t="str">
        <f>IFERROR(__xludf.DUMMYFUNCTION("""COMPUTED_VALUE"""),"Portfolio - Patrick")</f>
        <v>Portfolio - Patrick</v>
      </c>
      <c r="H897" s="4" t="str">
        <f>IFERROR(__xludf.DUMMYFUNCTION("""COMPUTED_VALUE"""),"UJERSWWL4")</f>
        <v>UJERSWWL4</v>
      </c>
      <c r="I897" s="5">
        <f>IFERROR(__xludf.DUMMYFUNCTION("""COMPUTED_VALUE"""),0.0)</f>
        <v>0</v>
      </c>
      <c r="J897" s="4" t="str">
        <f>IFERROR(__xludf.DUMMYFUNCTION("""COMPUTED_VALUE"""),"Tier 4")</f>
        <v>Tier 4</v>
      </c>
      <c r="K897" s="4" t="str">
        <f>IFERROR(__xludf.DUMMYFUNCTION("""COMPUTED_VALUE"""),"ID Created DRP score 0")</f>
        <v>ID Created DRP score 0</v>
      </c>
      <c r="L897" s="4"/>
    </row>
    <row r="898">
      <c r="A898" s="4" t="str">
        <f>IFERROR(__xludf.DUMMYFUNCTION("""COMPUTED_VALUE"""),"DMUK0012")</f>
        <v>DMUK0012</v>
      </c>
      <c r="B898" s="4" t="str">
        <f>IFERROR(__xludf.DUMMYFUNCTION("""COMPUTED_VALUE"""),"Perminder Kaur")</f>
        <v>Perminder Kaur</v>
      </c>
      <c r="C898" s="4" t="str">
        <f>IFERROR(__xludf.DUMMYFUNCTION("""COMPUTED_VALUE"""),"pam.kaur@onixnet.com")</f>
        <v>pam.kaur@onixnet.com</v>
      </c>
      <c r="D898" s="4" t="str">
        <f>IFERROR(__xludf.DUMMYFUNCTION("""COMPUTED_VALUE"""),"Active")</f>
        <v>Active</v>
      </c>
      <c r="E898" s="4" t="str">
        <f>IFERROR(__xludf.DUMMYFUNCTION("""COMPUTED_VALUE"""),"Delivery Services")</f>
        <v>Delivery Services</v>
      </c>
      <c r="F898" s="4" t="str">
        <f>IFERROR(__xludf.DUMMYFUNCTION("""COMPUTED_VALUE"""),"Amy Weber")</f>
        <v>Amy Weber</v>
      </c>
      <c r="G898" s="4" t="str">
        <f>IFERROR(__xludf.DUMMYFUNCTION("""COMPUTED_VALUE"""),"Portfolio - Rick")</f>
        <v>Portfolio - Rick</v>
      </c>
      <c r="H898" s="4" t="str">
        <f>IFERROR(__xludf.DUMMYFUNCTION("""COMPUTED_VALUE"""),"ONIPKLVJ6")</f>
        <v>ONIPKLVJ6</v>
      </c>
      <c r="I898" s="5">
        <f>IFERROR(__xludf.DUMMYFUNCTION("""COMPUTED_VALUE"""),51.0)</f>
        <v>51</v>
      </c>
      <c r="J898" s="4" t="str">
        <f>IFERROR(__xludf.DUMMYFUNCTION("""COMPUTED_VALUE"""),"Tier 1")</f>
        <v>Tier 1</v>
      </c>
      <c r="K898" s="4" t="str">
        <f>IFERROR(__xludf.DUMMYFUNCTION("""COMPUTED_VALUE"""),"Active")</f>
        <v>Active</v>
      </c>
      <c r="L898" s="4" t="str">
        <f>IFERROR(__xludf.DUMMYFUNCTION("""COMPUTED_VALUE"""),"GECX - Agent Assist")</f>
        <v>GECX - Agent Assist</v>
      </c>
    </row>
    <row r="899">
      <c r="A899" s="4" t="str">
        <f>IFERROR(__xludf.DUMMYFUNCTION("""COMPUTED_VALUE"""),"DMUK0013")</f>
        <v>DMUK0013</v>
      </c>
      <c r="B899" s="4" t="str">
        <f>IFERROR(__xludf.DUMMYFUNCTION("""COMPUTED_VALUE"""),"Nessa Mhuire Phelan")</f>
        <v>Nessa Mhuire Phelan</v>
      </c>
      <c r="C899" s="4" t="str">
        <f>IFERROR(__xludf.DUMMYFUNCTION("""COMPUTED_VALUE"""),"nessa.phelan@onixnet.com")</f>
        <v>nessa.phelan@onixnet.com</v>
      </c>
      <c r="D899" s="4" t="str">
        <f>IFERROR(__xludf.DUMMYFUNCTION("""COMPUTED_VALUE"""),"Active")</f>
        <v>Active</v>
      </c>
      <c r="E899" s="4" t="str">
        <f>IFERROR(__xludf.DUMMYFUNCTION("""COMPUTED_VALUE"""),"Delivery Services")</f>
        <v>Delivery Services</v>
      </c>
      <c r="F899" s="4" t="str">
        <f>IFERROR(__xludf.DUMMYFUNCTION("""COMPUTED_VALUE"""),"Lynn Benway")</f>
        <v>Lynn Benway</v>
      </c>
      <c r="G899" s="4" t="str">
        <f>IFERROR(__xludf.DUMMYFUNCTION("""COMPUTED_VALUE"""),"Portfolio - Rick")</f>
        <v>Portfolio - Rick</v>
      </c>
      <c r="H899" s="4" t="str">
        <f>IFERROR(__xludf.DUMMYFUNCTION("""COMPUTED_VALUE"""),"UJENPTTN7")</f>
        <v>UJENPTTN7</v>
      </c>
      <c r="I899" s="5">
        <f>IFERROR(__xludf.DUMMYFUNCTION("""COMPUTED_VALUE"""),9.0)</f>
        <v>9</v>
      </c>
      <c r="J899" s="4" t="str">
        <f>IFERROR(__xludf.DUMMYFUNCTION("""COMPUTED_VALUE"""),"Tier 4")</f>
        <v>Tier 4</v>
      </c>
      <c r="K899" s="4" t="str">
        <f>IFERROR(__xludf.DUMMYFUNCTION("""COMPUTED_VALUE"""),"Active")</f>
        <v>Active</v>
      </c>
      <c r="L899" s="4" t="str">
        <f>IFERROR(__xludf.DUMMYFUNCTION("""COMPUTED_VALUE"""),"Gemini Enterprise Agent Platform")</f>
        <v>Gemini Enterprise Agent Platform</v>
      </c>
    </row>
    <row r="900">
      <c r="A900" s="4" t="str">
        <f>IFERROR(__xludf.DUMMYFUNCTION("""COMPUTED_VALUE"""),"DMUK0014")</f>
        <v>DMUK0014</v>
      </c>
      <c r="B900" s="4" t="str">
        <f>IFERROR(__xludf.DUMMYFUNCTION("""COMPUTED_VALUE"""),"Paul William Mc Cabe")</f>
        <v>Paul William Mc Cabe</v>
      </c>
      <c r="C900" s="4" t="str">
        <f>IFERROR(__xludf.DUMMYFUNCTION("""COMPUTED_VALUE"""),"paul.mccabe@onixnet.com")</f>
        <v>paul.mccabe@onixnet.com</v>
      </c>
      <c r="D900" s="4" t="str">
        <f>IFERROR(__xludf.DUMMYFUNCTION("""COMPUTED_VALUE"""),"Active")</f>
        <v>Active</v>
      </c>
      <c r="E900" s="4" t="str">
        <f>IFERROR(__xludf.DUMMYFUNCTION("""COMPUTED_VALUE"""),"Delivery Services")</f>
        <v>Delivery Services</v>
      </c>
      <c r="F900" s="4" t="str">
        <f>IFERROR(__xludf.DUMMYFUNCTION("""COMPUTED_VALUE"""),"Bob Cielenski")</f>
        <v>Bob Cielenski</v>
      </c>
      <c r="G900" s="4" t="str">
        <f>IFERROR(__xludf.DUMMYFUNCTION("""COMPUTED_VALUE"""),"Portfolio - Rick")</f>
        <v>Portfolio - Rick</v>
      </c>
      <c r="H900" s="4" t="str">
        <f>IFERROR(__xludf.DUMMYFUNCTION("""COMPUTED_VALUE"""),"ONIPMJAC9")</f>
        <v>ONIPMJAC9</v>
      </c>
      <c r="I900" s="5">
        <f>IFERROR(__xludf.DUMMYFUNCTION("""COMPUTED_VALUE"""),16.0)</f>
        <v>16</v>
      </c>
      <c r="J900" s="4" t="str">
        <f>IFERROR(__xludf.DUMMYFUNCTION("""COMPUTED_VALUE"""),"Tier 4")</f>
        <v>Tier 4</v>
      </c>
      <c r="K900" s="4" t="str">
        <f>IFERROR(__xludf.DUMMYFUNCTION("""COMPUTED_VALUE"""),"Active")</f>
        <v>Active</v>
      </c>
      <c r="L900" s="4" t="str">
        <f>IFERROR(__xludf.DUMMYFUNCTION("""COMPUTED_VALUE"""),"GECX - Agent Assist")</f>
        <v>GECX - Agent Assist</v>
      </c>
    </row>
    <row r="901">
      <c r="A901" s="4" t="str">
        <f>IFERROR(__xludf.DUMMYFUNCTION("""COMPUTED_VALUE"""),"DMUK0015")</f>
        <v>DMUK0015</v>
      </c>
      <c r="B901" s="4" t="str">
        <f>IFERROR(__xludf.DUMMYFUNCTION("""COMPUTED_VALUE"""),"Daniel Ianegitz Vieira")</f>
        <v>Daniel Ianegitz Vieira</v>
      </c>
      <c r="C901" s="4" t="str">
        <f>IFERROR(__xludf.DUMMYFUNCTION("""COMPUTED_VALUE"""),"daniel.vieira@onixnet.com")</f>
        <v>daniel.vieira@onixnet.com</v>
      </c>
      <c r="D901" s="4" t="str">
        <f>IFERROR(__xludf.DUMMYFUNCTION("""COMPUTED_VALUE"""),"Active")</f>
        <v>Active</v>
      </c>
      <c r="E901" s="4" t="str">
        <f>IFERROR(__xludf.DUMMYFUNCTION("""COMPUTED_VALUE"""),"Delivery Services")</f>
        <v>Delivery Services</v>
      </c>
      <c r="F901" s="4" t="str">
        <f>IFERROR(__xludf.DUMMYFUNCTION("""COMPUTED_VALUE"""),"Bob Cielenski")</f>
        <v>Bob Cielenski</v>
      </c>
      <c r="G901" s="4" t="str">
        <f>IFERROR(__xludf.DUMMYFUNCTION("""COMPUTED_VALUE"""),"Portfolio - Rick")</f>
        <v>Portfolio - Rick</v>
      </c>
      <c r="H901" s="4" t="str">
        <f>IFERROR(__xludf.DUMMYFUNCTION("""COMPUTED_VALUE"""),"UJEDIREY4")</f>
        <v>UJEDIREY4</v>
      </c>
      <c r="I901" s="5">
        <f>IFERROR(__xludf.DUMMYFUNCTION("""COMPUTED_VALUE"""),39.0)</f>
        <v>39</v>
      </c>
      <c r="J901" s="4" t="str">
        <f>IFERROR(__xludf.DUMMYFUNCTION("""COMPUTED_VALUE"""),"Tier 2")</f>
        <v>Tier 2</v>
      </c>
      <c r="K901" s="4" t="str">
        <f>IFERROR(__xludf.DUMMYFUNCTION("""COMPUTED_VALUE"""),"Active")</f>
        <v>Active</v>
      </c>
      <c r="L901" s="4" t="str">
        <f>IFERROR(__xludf.DUMMYFUNCTION("""COMPUTED_VALUE"""),"GECX - CCaaS")</f>
        <v>GECX - CCaaS</v>
      </c>
    </row>
    <row r="902">
      <c r="A902" s="4" t="str">
        <f>IFERROR(__xludf.DUMMYFUNCTION("""COMPUTED_VALUE"""),"DMUK0016")</f>
        <v>DMUK0016</v>
      </c>
      <c r="B902" s="4" t="str">
        <f>IFERROR(__xludf.DUMMYFUNCTION("""COMPUTED_VALUE"""),"Simon John Gatley")</f>
        <v>Simon John Gatley</v>
      </c>
      <c r="C902" s="4" t="str">
        <f>IFERROR(__xludf.DUMMYFUNCTION("""COMPUTED_VALUE"""),"simon.gatley@onixnet.com")</f>
        <v>simon.gatley@onixnet.com</v>
      </c>
      <c r="D902" s="4" t="str">
        <f>IFERROR(__xludf.DUMMYFUNCTION("""COMPUTED_VALUE"""),"Active")</f>
        <v>Active</v>
      </c>
      <c r="E902" s="4" t="str">
        <f>IFERROR(__xludf.DUMMYFUNCTION("""COMPUTED_VALUE"""),"Delivery Services")</f>
        <v>Delivery Services</v>
      </c>
      <c r="F902" s="4" t="str">
        <f>IFERROR(__xludf.DUMMYFUNCTION("""COMPUTED_VALUE"""),"Philip Cummings")</f>
        <v>Philip Cummings</v>
      </c>
      <c r="G902" s="4" t="str">
        <f>IFERROR(__xludf.DUMMYFUNCTION("""COMPUTED_VALUE"""),"Portfolio - Rick")</f>
        <v>Portfolio - Rick</v>
      </c>
      <c r="H902" s="4" t="str">
        <f>IFERROR(__xludf.DUMMYFUNCTION("""COMPUTED_VALUE"""),"ONISGDFG6")</f>
        <v>ONISGDFG6</v>
      </c>
      <c r="I902" s="5">
        <f>IFERROR(__xludf.DUMMYFUNCTION("""COMPUTED_VALUE"""),24.0)</f>
        <v>24</v>
      </c>
      <c r="J902" s="4" t="str">
        <f>IFERROR(__xludf.DUMMYFUNCTION("""COMPUTED_VALUE"""),"Tier 3")</f>
        <v>Tier 3</v>
      </c>
      <c r="K902" s="4" t="str">
        <f>IFERROR(__xludf.DUMMYFUNCTION("""COMPUTED_VALUE"""),"Active")</f>
        <v>Active</v>
      </c>
      <c r="L902" s="4" t="str">
        <f>IFERROR(__xludf.DUMMYFUNCTION("""COMPUTED_VALUE"""),"Gemini Enterprise Agent Platform")</f>
        <v>Gemini Enterprise Agent Platform</v>
      </c>
    </row>
    <row r="903">
      <c r="A903" s="4" t="str">
        <f>IFERROR(__xludf.DUMMYFUNCTION("""COMPUTED_VALUE"""),"DMUK0018")</f>
        <v>DMUK0018</v>
      </c>
      <c r="B903" s="4" t="str">
        <f>IFERROR(__xludf.DUMMYFUNCTION("""COMPUTED_VALUE"""),"Lucy Clancy Hoare")</f>
        <v>Lucy Clancy Hoare</v>
      </c>
      <c r="C903" s="4" t="str">
        <f>IFERROR(__xludf.DUMMYFUNCTION("""COMPUTED_VALUE"""),"lucy.clancy@onixnet.com")</f>
        <v>lucy.clancy@onixnet.com</v>
      </c>
      <c r="D903" s="4" t="str">
        <f>IFERROR(__xludf.DUMMYFUNCTION("""COMPUTED_VALUE"""),"Active")</f>
        <v>Active</v>
      </c>
      <c r="E903" s="4" t="str">
        <f>IFERROR(__xludf.DUMMYFUNCTION("""COMPUTED_VALUE"""),"Delivery Services")</f>
        <v>Delivery Services</v>
      </c>
      <c r="F903" s="4" t="str">
        <f>IFERROR(__xludf.DUMMYFUNCTION("""COMPUTED_VALUE"""),"Philip Cummings")</f>
        <v>Philip Cummings</v>
      </c>
      <c r="G903" s="4" t="str">
        <f>IFERROR(__xludf.DUMMYFUNCTION("""COMPUTED_VALUE"""),"Portfolio - Rick")</f>
        <v>Portfolio - Rick</v>
      </c>
      <c r="H903" s="4" t="str">
        <f>IFERROR(__xludf.DUMMYFUNCTION("""COMPUTED_VALUE"""),"ONILCSVE4")</f>
        <v>ONILCSVE4</v>
      </c>
      <c r="I903" s="5">
        <f>IFERROR(__xludf.DUMMYFUNCTION("""COMPUTED_VALUE"""),44.0)</f>
        <v>44</v>
      </c>
      <c r="J903" s="4" t="str">
        <f>IFERROR(__xludf.DUMMYFUNCTION("""COMPUTED_VALUE"""),"Tier 2")</f>
        <v>Tier 2</v>
      </c>
      <c r="K903" s="4" t="str">
        <f>IFERROR(__xludf.DUMMYFUNCTION("""COMPUTED_VALUE"""),"Active")</f>
        <v>Active</v>
      </c>
      <c r="L903" s="4" t="str">
        <f>IFERROR(__xludf.DUMMYFUNCTION("""COMPUTED_VALUE"""),"AI Applications")</f>
        <v>AI Applications</v>
      </c>
    </row>
    <row r="904">
      <c r="A904" s="4" t="str">
        <f>IFERROR(__xludf.DUMMYFUNCTION("""COMPUTED_VALUE"""),"DMUK0019")</f>
        <v>DMUK0019</v>
      </c>
      <c r="B904" s="4" t="str">
        <f>IFERROR(__xludf.DUMMYFUNCTION("""COMPUTED_VALUE"""),"Aaron Cahill")</f>
        <v>Aaron Cahill</v>
      </c>
      <c r="C904" s="4" t="str">
        <f>IFERROR(__xludf.DUMMYFUNCTION("""COMPUTED_VALUE"""),"aaron.cahill@onixnet.com")</f>
        <v>aaron.cahill@onixnet.com</v>
      </c>
      <c r="D904" s="4" t="str">
        <f>IFERROR(__xludf.DUMMYFUNCTION("""COMPUTED_VALUE"""),"Active")</f>
        <v>Active</v>
      </c>
      <c r="E904" s="4" t="str">
        <f>IFERROR(__xludf.DUMMYFUNCTION("""COMPUTED_VALUE"""),"Delivery Services")</f>
        <v>Delivery Services</v>
      </c>
      <c r="F904" s="4" t="str">
        <f>IFERROR(__xludf.DUMMYFUNCTION("""COMPUTED_VALUE"""),"Charles Alvear")</f>
        <v>Charles Alvear</v>
      </c>
      <c r="G904" s="4" t="str">
        <f>IFERROR(__xludf.DUMMYFUNCTION("""COMPUTED_VALUE"""),"Portfolio - Rick")</f>
        <v>Portfolio - Rick</v>
      </c>
      <c r="H904" s="4" t="str">
        <f>IFERROR(__xludf.DUMMYFUNCTION("""COMPUTED_VALUE"""),"UJEACBDN8")</f>
        <v>UJEACBDN8</v>
      </c>
      <c r="I904" s="5">
        <f>IFERROR(__xludf.DUMMYFUNCTION("""COMPUTED_VALUE"""),6.0)</f>
        <v>6</v>
      </c>
      <c r="J904" s="4" t="str">
        <f>IFERROR(__xludf.DUMMYFUNCTION("""COMPUTED_VALUE"""),"Tier 4")</f>
        <v>Tier 4</v>
      </c>
      <c r="K904" s="4" t="str">
        <f>IFERROR(__xludf.DUMMYFUNCTION("""COMPUTED_VALUE"""),"Active")</f>
        <v>Active</v>
      </c>
      <c r="L904" s="4" t="str">
        <f>IFERROR(__xludf.DUMMYFUNCTION("""COMPUTED_VALUE"""),"GECX - CCaaS")</f>
        <v>GECX - CCaaS</v>
      </c>
    </row>
    <row r="905">
      <c r="A905" s="4" t="str">
        <f>IFERROR(__xludf.DUMMYFUNCTION("""COMPUTED_VALUE"""),"DME2939")</f>
        <v>DME2939</v>
      </c>
      <c r="B905" s="4" t="str">
        <f>IFERROR(__xludf.DUMMYFUNCTION("""COMPUTED_VALUE"""),"Punitkumar More")</f>
        <v>Punitkumar More</v>
      </c>
      <c r="C905" s="4" t="str">
        <f>IFERROR(__xludf.DUMMYFUNCTION("""COMPUTED_VALUE"""),"punitkumar.more@onixnet.com")</f>
        <v>punitkumar.more@onixnet.com</v>
      </c>
      <c r="D905" s="4" t="str">
        <f>IFERROR(__xludf.DUMMYFUNCTION("""COMPUTED_VALUE"""),"Active")</f>
        <v>Active</v>
      </c>
      <c r="E905" s="4" t="str">
        <f>IFERROR(__xludf.DUMMYFUNCTION("""COMPUTED_VALUE"""),"Delivery Services")</f>
        <v>Delivery Services</v>
      </c>
      <c r="F905" s="4" t="str">
        <f>IFERROR(__xludf.DUMMYFUNCTION("""COMPUTED_VALUE"""),"Laxmi Ambadas Gaddam")</f>
        <v>Laxmi Ambadas Gaddam</v>
      </c>
      <c r="G905" s="4" t="str">
        <f>IFERROR(__xludf.DUMMYFUNCTION("""COMPUTED_VALUE"""),"Cluster - Sagar")</f>
        <v>Cluster - Sagar</v>
      </c>
      <c r="H905" s="4" t="str">
        <f>IFERROR(__xludf.DUMMYFUNCTION("""COMPUTED_VALUE"""),"ONIPMBOA5")</f>
        <v>ONIPMBOA5</v>
      </c>
      <c r="I905" s="5">
        <f>IFERROR(__xludf.DUMMYFUNCTION("""COMPUTED_VALUE"""),19.0)</f>
        <v>19</v>
      </c>
      <c r="J905" s="4" t="str">
        <f>IFERROR(__xludf.DUMMYFUNCTION("""COMPUTED_VALUE"""),"Tier 4")</f>
        <v>Tier 4</v>
      </c>
      <c r="K905" s="4" t="str">
        <f>IFERROR(__xludf.DUMMYFUNCTION("""COMPUTED_VALUE"""),"Active")</f>
        <v>Active</v>
      </c>
      <c r="L905" s="4" t="str">
        <f>IFERROR(__xludf.DUMMYFUNCTION("""COMPUTED_VALUE"""),"BigQuery")</f>
        <v>BigQuery</v>
      </c>
    </row>
    <row r="906">
      <c r="A906" s="4" t="str">
        <f>IFERROR(__xludf.DUMMYFUNCTION("""COMPUTED_VALUE"""),"ONIX765")</f>
        <v>ONIX765</v>
      </c>
      <c r="B906" s="4" t="str">
        <f>IFERROR(__xludf.DUMMYFUNCTION("""COMPUTED_VALUE"""),"Charles Alvear")</f>
        <v>Charles Alvear</v>
      </c>
      <c r="C906" s="4" t="str">
        <f>IFERROR(__xludf.DUMMYFUNCTION("""COMPUTED_VALUE"""),"Charles.Alvear@onixnet.com")</f>
        <v>Charles.Alvear@onixnet.com</v>
      </c>
      <c r="D906" s="4" t="str">
        <f>IFERROR(__xludf.DUMMYFUNCTION("""COMPUTED_VALUE"""),"Active")</f>
        <v>Active</v>
      </c>
      <c r="E906" s="4" t="str">
        <f>IFERROR(__xludf.DUMMYFUNCTION("""COMPUTED_VALUE"""),"Delivery")</f>
        <v>Delivery</v>
      </c>
      <c r="F906" s="4" t="str">
        <f>IFERROR(__xludf.DUMMYFUNCTION("""COMPUTED_VALUE"""),"Bob Cielenski")</f>
        <v>Bob Cielenski</v>
      </c>
      <c r="G906" s="4" t="str">
        <f>IFERROR(__xludf.DUMMYFUNCTION("""COMPUTED_VALUE"""),"Portfolio - Rick")</f>
        <v>Portfolio - Rick</v>
      </c>
      <c r="H906" s="4" t="str">
        <f>IFERROR(__xludf.DUMMYFUNCTION("""COMPUTED_VALUE"""),"ONICALBT3")</f>
        <v>ONICALBT3</v>
      </c>
      <c r="I906" s="5">
        <f>IFERROR(__xludf.DUMMYFUNCTION("""COMPUTED_VALUE"""),5.0)</f>
        <v>5</v>
      </c>
      <c r="J906" s="4" t="str">
        <f>IFERROR(__xludf.DUMMYFUNCTION("""COMPUTED_VALUE"""),"Tier 4")</f>
        <v>Tier 4</v>
      </c>
      <c r="K906" s="4" t="str">
        <f>IFERROR(__xludf.DUMMYFUNCTION("""COMPUTED_VALUE"""),"Active")</f>
        <v>Active</v>
      </c>
      <c r="L906" s="4" t="str">
        <f>IFERROR(__xludf.DUMMYFUNCTION("""COMPUTED_VALUE"""),"GECX - Agent Assist")</f>
        <v>GECX - Agent Assist</v>
      </c>
    </row>
    <row r="907">
      <c r="A907" s="4" t="str">
        <f>IFERROR(__xludf.DUMMYFUNCTION("""COMPUTED_VALUE"""),"ONIX767")</f>
        <v>ONIX767</v>
      </c>
      <c r="B907" s="4" t="str">
        <f>IFERROR(__xludf.DUMMYFUNCTION("""COMPUTED_VALUE"""),"Shane Archer")</f>
        <v>Shane Archer</v>
      </c>
      <c r="C907" s="4" t="str">
        <f>IFERROR(__xludf.DUMMYFUNCTION("""COMPUTED_VALUE"""),"Shane.Archer@onixnet.com")</f>
        <v>Shane.Archer@onixnet.com</v>
      </c>
      <c r="D907" s="4" t="str">
        <f>IFERROR(__xludf.DUMMYFUNCTION("""COMPUTED_VALUE"""),"Active")</f>
        <v>Active</v>
      </c>
      <c r="E907" s="4" t="str">
        <f>IFERROR(__xludf.DUMMYFUNCTION("""COMPUTED_VALUE"""),"Delivery")</f>
        <v>Delivery</v>
      </c>
      <c r="F907" s="4" t="str">
        <f>IFERROR(__xludf.DUMMYFUNCTION("""COMPUTED_VALUE"""),"Lynn Benway")</f>
        <v>Lynn Benway</v>
      </c>
      <c r="G907" s="4" t="str">
        <f>IFERROR(__xludf.DUMMYFUNCTION("""COMPUTED_VALUE"""),"Portfolio - Rick")</f>
        <v>Portfolio - Rick</v>
      </c>
      <c r="H907" s="4" t="str">
        <f>IFERROR(__xludf.DUMMYFUNCTION("""COMPUTED_VALUE"""),"UJESAALX4")</f>
        <v>UJESAALX4</v>
      </c>
      <c r="I907" s="5">
        <f>IFERROR(__xludf.DUMMYFUNCTION("""COMPUTED_VALUE"""),19.0)</f>
        <v>19</v>
      </c>
      <c r="J907" s="4" t="str">
        <f>IFERROR(__xludf.DUMMYFUNCTION("""COMPUTED_VALUE"""),"Tier 4")</f>
        <v>Tier 4</v>
      </c>
      <c r="K907" s="4" t="str">
        <f>IFERROR(__xludf.DUMMYFUNCTION("""COMPUTED_VALUE"""),"Active")</f>
        <v>Active</v>
      </c>
      <c r="L907" s="4" t="str">
        <f>IFERROR(__xludf.DUMMYFUNCTION("""COMPUTED_VALUE"""),"Gemini Enterprise Agent Platform")</f>
        <v>Gemini Enterprise Agent Platform</v>
      </c>
    </row>
    <row r="908">
      <c r="A908" s="4" t="str">
        <f>IFERROR(__xludf.DUMMYFUNCTION("""COMPUTED_VALUE"""),"ONIX770")</f>
        <v>ONIX770</v>
      </c>
      <c r="B908" s="4" t="str">
        <f>IFERROR(__xludf.DUMMYFUNCTION("""COMPUTED_VALUE"""),"Lynn Benway")</f>
        <v>Lynn Benway</v>
      </c>
      <c r="C908" s="4" t="str">
        <f>IFERROR(__xludf.DUMMYFUNCTION("""COMPUTED_VALUE"""),"Lynn.Benway@onixnet.com")</f>
        <v>Lynn.Benway@onixnet.com</v>
      </c>
      <c r="D908" s="4" t="str">
        <f>IFERROR(__xludf.DUMMYFUNCTION("""COMPUTED_VALUE"""),"Active")</f>
        <v>Active</v>
      </c>
      <c r="E908" s="4" t="str">
        <f>IFERROR(__xludf.DUMMYFUNCTION("""COMPUTED_VALUE"""),"Delivery")</f>
        <v>Delivery</v>
      </c>
      <c r="F908" s="4" t="str">
        <f>IFERROR(__xludf.DUMMYFUNCTION("""COMPUTED_VALUE"""),"Bob Cielenski")</f>
        <v>Bob Cielenski</v>
      </c>
      <c r="G908" s="4" t="str">
        <f>IFERROR(__xludf.DUMMYFUNCTION("""COMPUTED_VALUE"""),"Portfolio - Rick")</f>
        <v>Portfolio - Rick</v>
      </c>
      <c r="H908" s="4" t="str">
        <f>IFERROR(__xludf.DUMMYFUNCTION("""COMPUTED_VALUE"""),"ONILBVAZ1")</f>
        <v>ONILBVAZ1</v>
      </c>
      <c r="I908" s="5">
        <f>IFERROR(__xludf.DUMMYFUNCTION("""COMPUTED_VALUE"""),7.0)</f>
        <v>7</v>
      </c>
      <c r="J908" s="4" t="str">
        <f>IFERROR(__xludf.DUMMYFUNCTION("""COMPUTED_VALUE"""),"Tier 4")</f>
        <v>Tier 4</v>
      </c>
      <c r="K908" s="4" t="str">
        <f>IFERROR(__xludf.DUMMYFUNCTION("""COMPUTED_VALUE"""),"Active")</f>
        <v>Active</v>
      </c>
      <c r="L908" s="4" t="str">
        <f>IFERROR(__xludf.DUMMYFUNCTION("""COMPUTED_VALUE"""),"GECX - Agent Assist")</f>
        <v>GECX - Agent Assist</v>
      </c>
    </row>
    <row r="909">
      <c r="A909" s="4" t="str">
        <f>IFERROR(__xludf.DUMMYFUNCTION("""COMPUTED_VALUE"""),"ONIX771")</f>
        <v>ONIX771</v>
      </c>
      <c r="B909" s="4" t="str">
        <f>IFERROR(__xludf.DUMMYFUNCTION("""COMPUTED_VALUE"""),"Robert Allen Cielenski")</f>
        <v>Robert Allen Cielenski</v>
      </c>
      <c r="C909" s="4" t="str">
        <f>IFERROR(__xludf.DUMMYFUNCTION("""COMPUTED_VALUE"""),"Bob.Cielenski@onixnet.com")</f>
        <v>Bob.Cielenski@onixnet.com</v>
      </c>
      <c r="D909" s="4" t="str">
        <f>IFERROR(__xludf.DUMMYFUNCTION("""COMPUTED_VALUE"""),"Active")</f>
        <v>Active</v>
      </c>
      <c r="E909" s="4" t="str">
        <f>IFERROR(__xludf.DUMMYFUNCTION("""COMPUTED_VALUE"""),"Delivery")</f>
        <v>Delivery</v>
      </c>
      <c r="F909" s="4" t="str">
        <f>IFERROR(__xludf.DUMMYFUNCTION("""COMPUTED_VALUE"""),"Patrick Schablitzki")</f>
        <v>Patrick Schablitzki</v>
      </c>
      <c r="G909" s="4" t="str">
        <f>IFERROR(__xludf.DUMMYFUNCTION("""COMPUTED_VALUE"""),"Portfolio - Rick")</f>
        <v>Portfolio - Rick</v>
      </c>
      <c r="H909" s="4" t="str">
        <f>IFERROR(__xludf.DUMMYFUNCTION("""COMPUTED_VALUE"""),"UJEBCPNR8")</f>
        <v>UJEBCPNR8</v>
      </c>
      <c r="I909" s="5">
        <f>IFERROR(__xludf.DUMMYFUNCTION("""COMPUTED_VALUE"""),15.0)</f>
        <v>15</v>
      </c>
      <c r="J909" s="4" t="str">
        <f>IFERROR(__xludf.DUMMYFUNCTION("""COMPUTED_VALUE"""),"Tier 4")</f>
        <v>Tier 4</v>
      </c>
      <c r="K909" s="4" t="str">
        <f>IFERROR(__xludf.DUMMYFUNCTION("""COMPUTED_VALUE"""),"Active")</f>
        <v>Active</v>
      </c>
      <c r="L909" s="4" t="str">
        <f>IFERROR(__xludf.DUMMYFUNCTION("""COMPUTED_VALUE"""),"AI Applications")</f>
        <v>AI Applications</v>
      </c>
    </row>
    <row r="910">
      <c r="A910" s="4" t="str">
        <f>IFERROR(__xludf.DUMMYFUNCTION("""COMPUTED_VALUE"""),"ONIX772")</f>
        <v>ONIX772</v>
      </c>
      <c r="B910" s="4" t="str">
        <f>IFERROR(__xludf.DUMMYFUNCTION("""COMPUTED_VALUE"""),"Ricardo Cortes")</f>
        <v>Ricardo Cortes</v>
      </c>
      <c r="C910" s="4" t="str">
        <f>IFERROR(__xludf.DUMMYFUNCTION("""COMPUTED_VALUE"""),"ricardo.cortes@onixnet.com")</f>
        <v>ricardo.cortes@onixnet.com</v>
      </c>
      <c r="D910" s="4" t="str">
        <f>IFERROR(__xludf.DUMMYFUNCTION("""COMPUTED_VALUE"""),"Active")</f>
        <v>Active</v>
      </c>
      <c r="E910" s="4" t="str">
        <f>IFERROR(__xludf.DUMMYFUNCTION("""COMPUTED_VALUE"""),"Delivery")</f>
        <v>Delivery</v>
      </c>
      <c r="F910" s="4" t="str">
        <f>IFERROR(__xludf.DUMMYFUNCTION("""COMPUTED_VALUE"""),"Amy Weber")</f>
        <v>Amy Weber</v>
      </c>
      <c r="G910" s="4" t="str">
        <f>IFERROR(__xludf.DUMMYFUNCTION("""COMPUTED_VALUE"""),"Portfolio - Rick")</f>
        <v>Portfolio - Rick</v>
      </c>
      <c r="H910" s="4" t="str">
        <f>IFERROR(__xludf.DUMMYFUNCTION("""COMPUTED_VALUE"""),"ONIRCWUA9")</f>
        <v>ONIRCWUA9</v>
      </c>
      <c r="I910" s="5">
        <f>IFERROR(__xludf.DUMMYFUNCTION("""COMPUTED_VALUE"""),21.0)</f>
        <v>21</v>
      </c>
      <c r="J910" s="4" t="str">
        <f>IFERROR(__xludf.DUMMYFUNCTION("""COMPUTED_VALUE"""),"Tier 3")</f>
        <v>Tier 3</v>
      </c>
      <c r="K910" s="4" t="str">
        <f>IFERROR(__xludf.DUMMYFUNCTION("""COMPUTED_VALUE"""),"Active")</f>
        <v>Active</v>
      </c>
      <c r="L910" s="4" t="str">
        <f>IFERROR(__xludf.DUMMYFUNCTION("""COMPUTED_VALUE"""),"GECX - CX Agent Studio")</f>
        <v>GECX - CX Agent Studio</v>
      </c>
    </row>
    <row r="911">
      <c r="A911" s="4" t="str">
        <f>IFERROR(__xludf.DUMMYFUNCTION("""COMPUTED_VALUE"""),"ONIX773")</f>
        <v>ONIX773</v>
      </c>
      <c r="B911" s="4" t="str">
        <f>IFERROR(__xludf.DUMMYFUNCTION("""COMPUTED_VALUE"""),"Philip Aaron Cummings")</f>
        <v>Philip Aaron Cummings</v>
      </c>
      <c r="C911" s="4" t="str">
        <f>IFERROR(__xludf.DUMMYFUNCTION("""COMPUTED_VALUE"""),"Philip.Cummings@onixnet.com")</f>
        <v>Philip.Cummings@onixnet.com</v>
      </c>
      <c r="D911" s="4" t="str">
        <f>IFERROR(__xludf.DUMMYFUNCTION("""COMPUTED_VALUE"""),"Active")</f>
        <v>Active</v>
      </c>
      <c r="E911" s="4" t="str">
        <f>IFERROR(__xludf.DUMMYFUNCTION("""COMPUTED_VALUE"""),"Delivery")</f>
        <v>Delivery</v>
      </c>
      <c r="F911" s="4" t="str">
        <f>IFERROR(__xludf.DUMMYFUNCTION("""COMPUTED_VALUE"""),"Bob Cielenski")</f>
        <v>Bob Cielenski</v>
      </c>
      <c r="G911" s="4" t="str">
        <f>IFERROR(__xludf.DUMMYFUNCTION("""COMPUTED_VALUE"""),"Portfolio - Rick")</f>
        <v>Portfolio - Rick</v>
      </c>
      <c r="H911" s="4" t="str">
        <f>IFERROR(__xludf.DUMMYFUNCTION("""COMPUTED_VALUE"""),"UJEPCIUL2")</f>
        <v>UJEPCIUL2</v>
      </c>
      <c r="I911" s="5">
        <f>IFERROR(__xludf.DUMMYFUNCTION("""COMPUTED_VALUE"""),80.0)</f>
        <v>80</v>
      </c>
      <c r="J911" s="4" t="str">
        <f>IFERROR(__xludf.DUMMYFUNCTION("""COMPUTED_VALUE"""),"Tier 1")</f>
        <v>Tier 1</v>
      </c>
      <c r="K911" s="4" t="str">
        <f>IFERROR(__xludf.DUMMYFUNCTION("""COMPUTED_VALUE"""),"Active")</f>
        <v>Active</v>
      </c>
      <c r="L911" s="4" t="str">
        <f>IFERROR(__xludf.DUMMYFUNCTION("""COMPUTED_VALUE"""),"GECX - Agent Assist")</f>
        <v>GECX - Agent Assist</v>
      </c>
    </row>
    <row r="912">
      <c r="A912" s="4" t="str">
        <f>IFERROR(__xludf.DUMMYFUNCTION("""COMPUTED_VALUE"""),"ONIX775")</f>
        <v>ONIX775</v>
      </c>
      <c r="B912" s="4" t="str">
        <f>IFERROR(__xludf.DUMMYFUNCTION("""COMPUTED_VALUE"""),"Patrick William Garcia Hess")</f>
        <v>Patrick William Garcia Hess</v>
      </c>
      <c r="C912" s="4" t="str">
        <f>IFERROR(__xludf.DUMMYFUNCTION("""COMPUTED_VALUE"""),"patrick.hess@onixnet.com")</f>
        <v>patrick.hess@onixnet.com</v>
      </c>
      <c r="D912" s="4" t="str">
        <f>IFERROR(__xludf.DUMMYFUNCTION("""COMPUTED_VALUE"""),"Active")</f>
        <v>Active</v>
      </c>
      <c r="E912" s="4" t="str">
        <f>IFERROR(__xludf.DUMMYFUNCTION("""COMPUTED_VALUE"""),"Delivery")</f>
        <v>Delivery</v>
      </c>
      <c r="F912" s="4" t="str">
        <f>IFERROR(__xludf.DUMMYFUNCTION("""COMPUTED_VALUE"""),"Bob Cielenski")</f>
        <v>Bob Cielenski</v>
      </c>
      <c r="G912" s="4" t="str">
        <f>IFERROR(__xludf.DUMMYFUNCTION("""COMPUTED_VALUE"""),"Portfolio - Rick")</f>
        <v>Portfolio - Rick</v>
      </c>
      <c r="H912" s="4" t="str">
        <f>IFERROR(__xludf.DUMMYFUNCTION("""COMPUTED_VALUE"""),"ONIPHDMW2")</f>
        <v>ONIPHDMW2</v>
      </c>
      <c r="I912" s="5">
        <f>IFERROR(__xludf.DUMMYFUNCTION("""COMPUTED_VALUE"""),24.0)</f>
        <v>24</v>
      </c>
      <c r="J912" s="4" t="str">
        <f>IFERROR(__xludf.DUMMYFUNCTION("""COMPUTED_VALUE"""),"Tier 3")</f>
        <v>Tier 3</v>
      </c>
      <c r="K912" s="4" t="str">
        <f>IFERROR(__xludf.DUMMYFUNCTION("""COMPUTED_VALUE"""),"Active")</f>
        <v>Active</v>
      </c>
      <c r="L912" s="4" t="str">
        <f>IFERROR(__xludf.DUMMYFUNCTION("""COMPUTED_VALUE"""),"Gemini Enterprise Agent Platform")</f>
        <v>Gemini Enterprise Agent Platform</v>
      </c>
    </row>
    <row r="913">
      <c r="A913" s="4" t="str">
        <f>IFERROR(__xludf.DUMMYFUNCTION("""COMPUTED_VALUE"""),"ONIX778")</f>
        <v>ONIX778</v>
      </c>
      <c r="B913" s="4" t="str">
        <f>IFERROR(__xludf.DUMMYFUNCTION("""COMPUTED_VALUE"""),"Judy R Martinez")</f>
        <v>Judy R Martinez</v>
      </c>
      <c r="C913" s="4" t="str">
        <f>IFERROR(__xludf.DUMMYFUNCTION("""COMPUTED_VALUE"""),"judy.martinez@onixnet.com")</f>
        <v>judy.martinez@onixnet.com</v>
      </c>
      <c r="D913" s="4" t="str">
        <f>IFERROR(__xludf.DUMMYFUNCTION("""COMPUTED_VALUE"""),"Active")</f>
        <v>Active</v>
      </c>
      <c r="E913" s="4" t="str">
        <f>IFERROR(__xludf.DUMMYFUNCTION("""COMPUTED_VALUE"""),"Delivery")</f>
        <v>Delivery</v>
      </c>
      <c r="F913" s="4" t="str">
        <f>IFERROR(__xludf.DUMMYFUNCTION("""COMPUTED_VALUE"""),"Philip Cummings")</f>
        <v>Philip Cummings</v>
      </c>
      <c r="G913" s="4" t="str">
        <f>IFERROR(__xludf.DUMMYFUNCTION("""COMPUTED_VALUE"""),"Portfolio - Rick")</f>
        <v>Portfolio - Rick</v>
      </c>
      <c r="H913" s="4" t="str">
        <f>IFERROR(__xludf.DUMMYFUNCTION("""COMPUTED_VALUE"""),"UJEJMXGQ7")</f>
        <v>UJEJMXGQ7</v>
      </c>
      <c r="I913" s="5">
        <f>IFERROR(__xludf.DUMMYFUNCTION("""COMPUTED_VALUE"""),42.0)</f>
        <v>42</v>
      </c>
      <c r="J913" s="4" t="str">
        <f>IFERROR(__xludf.DUMMYFUNCTION("""COMPUTED_VALUE"""),"Tier 2")</f>
        <v>Tier 2</v>
      </c>
      <c r="K913" s="4" t="str">
        <f>IFERROR(__xludf.DUMMYFUNCTION("""COMPUTED_VALUE"""),"Active")</f>
        <v>Active</v>
      </c>
      <c r="L913" s="4" t="str">
        <f>IFERROR(__xludf.DUMMYFUNCTION("""COMPUTED_VALUE"""),"AI Applications")</f>
        <v>AI Applications</v>
      </c>
    </row>
    <row r="914">
      <c r="A914" s="4" t="str">
        <f>IFERROR(__xludf.DUMMYFUNCTION("""COMPUTED_VALUE"""),"ONIX779")</f>
        <v>ONIX779</v>
      </c>
      <c r="B914" s="4" t="str">
        <f>IFERROR(__xludf.DUMMYFUNCTION("""COMPUTED_VALUE"""),"Annette Murphy")</f>
        <v>Annette Murphy</v>
      </c>
      <c r="C914" s="4" t="str">
        <f>IFERROR(__xludf.DUMMYFUNCTION("""COMPUTED_VALUE"""),"Annette.Murphy@onixnet.com")</f>
        <v>Annette.Murphy@onixnet.com</v>
      </c>
      <c r="D914" s="4" t="str">
        <f>IFERROR(__xludf.DUMMYFUNCTION("""COMPUTED_VALUE"""),"Active")</f>
        <v>Active</v>
      </c>
      <c r="E914" s="4" t="str">
        <f>IFERROR(__xludf.DUMMYFUNCTION("""COMPUTED_VALUE"""),"Delivery")</f>
        <v>Delivery</v>
      </c>
      <c r="F914" s="4" t="str">
        <f>IFERROR(__xludf.DUMMYFUNCTION("""COMPUTED_VALUE"""),"Amy Weber")</f>
        <v>Amy Weber</v>
      </c>
      <c r="G914" s="4" t="str">
        <f>IFERROR(__xludf.DUMMYFUNCTION("""COMPUTED_VALUE"""),"Portfolio - Rick")</f>
        <v>Portfolio - Rick</v>
      </c>
      <c r="H914" s="4" t="str">
        <f>IFERROR(__xludf.DUMMYFUNCTION("""COMPUTED_VALUE"""),"UJEAMTFU1")</f>
        <v>UJEAMTFU1</v>
      </c>
      <c r="I914" s="5">
        <f>IFERROR(__xludf.DUMMYFUNCTION("""COMPUTED_VALUE"""),25.0)</f>
        <v>25</v>
      </c>
      <c r="J914" s="4" t="str">
        <f>IFERROR(__xludf.DUMMYFUNCTION("""COMPUTED_VALUE"""),"Tier 3")</f>
        <v>Tier 3</v>
      </c>
      <c r="K914" s="4" t="str">
        <f>IFERROR(__xludf.DUMMYFUNCTION("""COMPUTED_VALUE"""),"Active")</f>
        <v>Active</v>
      </c>
      <c r="L914" s="4" t="str">
        <f>IFERROR(__xludf.DUMMYFUNCTION("""COMPUTED_VALUE"""),"GECX - Agent Assist")</f>
        <v>GECX - Agent Assist</v>
      </c>
    </row>
    <row r="915">
      <c r="A915" s="4" t="str">
        <f>IFERROR(__xludf.DUMMYFUNCTION("""COMPUTED_VALUE"""),"ONIX782")</f>
        <v>ONIX782</v>
      </c>
      <c r="B915" s="4" t="str">
        <f>IFERROR(__xludf.DUMMYFUNCTION("""COMPUTED_VALUE"""),"Javier Adonai Pina")</f>
        <v>Javier Adonai Pina</v>
      </c>
      <c r="C915" s="4" t="str">
        <f>IFERROR(__xludf.DUMMYFUNCTION("""COMPUTED_VALUE"""),"Javier.Pina@onixnet.com")</f>
        <v>Javier.Pina@onixnet.com</v>
      </c>
      <c r="D915" s="4" t="str">
        <f>IFERROR(__xludf.DUMMYFUNCTION("""COMPUTED_VALUE"""),"Active")</f>
        <v>Active</v>
      </c>
      <c r="E915" s="4" t="str">
        <f>IFERROR(__xludf.DUMMYFUNCTION("""COMPUTED_VALUE"""),"Delivery")</f>
        <v>Delivery</v>
      </c>
      <c r="F915" s="4" t="str">
        <f>IFERROR(__xludf.DUMMYFUNCTION("""COMPUTED_VALUE"""),"Philip Cummings")</f>
        <v>Philip Cummings</v>
      </c>
      <c r="G915" s="4" t="str">
        <f>IFERROR(__xludf.DUMMYFUNCTION("""COMPUTED_VALUE"""),"Portfolio - Rick")</f>
        <v>Portfolio - Rick</v>
      </c>
      <c r="H915" s="4" t="str">
        <f>IFERROR(__xludf.DUMMYFUNCTION("""COMPUTED_VALUE"""),"UJEJPTOB8")</f>
        <v>UJEJPTOB8</v>
      </c>
      <c r="I915" s="5">
        <f>IFERROR(__xludf.DUMMYFUNCTION("""COMPUTED_VALUE"""),38.0)</f>
        <v>38</v>
      </c>
      <c r="J915" s="4" t="str">
        <f>IFERROR(__xludf.DUMMYFUNCTION("""COMPUTED_VALUE"""),"Tier 2")</f>
        <v>Tier 2</v>
      </c>
      <c r="K915" s="4" t="str">
        <f>IFERROR(__xludf.DUMMYFUNCTION("""COMPUTED_VALUE"""),"Active")</f>
        <v>Active</v>
      </c>
      <c r="L915" s="4" t="str">
        <f>IFERROR(__xludf.DUMMYFUNCTION("""COMPUTED_VALUE"""),"GECX - Agent Assist")</f>
        <v>GECX - Agent Assist</v>
      </c>
    </row>
    <row r="916">
      <c r="A916" s="4" t="str">
        <f>IFERROR(__xludf.DUMMYFUNCTION("""COMPUTED_VALUE"""),"ONIX783")</f>
        <v>ONIX783</v>
      </c>
      <c r="B916" s="4" t="str">
        <f>IFERROR(__xludf.DUMMYFUNCTION("""COMPUTED_VALUE"""),"Deborah Powell")</f>
        <v>Deborah Powell</v>
      </c>
      <c r="C916" s="4" t="str">
        <f>IFERROR(__xludf.DUMMYFUNCTION("""COMPUTED_VALUE"""),"Deb.Powell@onixnet.com")</f>
        <v>Deb.Powell@onixnet.com</v>
      </c>
      <c r="D916" s="4" t="str">
        <f>IFERROR(__xludf.DUMMYFUNCTION("""COMPUTED_VALUE"""),"Active")</f>
        <v>Active</v>
      </c>
      <c r="E916" s="4" t="str">
        <f>IFERROR(__xludf.DUMMYFUNCTION("""COMPUTED_VALUE"""),"Delivery")</f>
        <v>Delivery</v>
      </c>
      <c r="F916" s="4" t="str">
        <f>IFERROR(__xludf.DUMMYFUNCTION("""COMPUTED_VALUE"""),"Bob Cielenski")</f>
        <v>Bob Cielenski</v>
      </c>
      <c r="G916" s="4" t="str">
        <f>IFERROR(__xludf.DUMMYFUNCTION("""COMPUTED_VALUE"""),"Portfolio - Rick")</f>
        <v>Portfolio - Rick</v>
      </c>
      <c r="H916" s="4" t="str">
        <f>IFERROR(__xludf.DUMMYFUNCTION("""COMPUTED_VALUE"""),"ONIDPBPF0")</f>
        <v>ONIDPBPF0</v>
      </c>
      <c r="I916" s="5">
        <f>IFERROR(__xludf.DUMMYFUNCTION("""COMPUTED_VALUE"""),49.0)</f>
        <v>49</v>
      </c>
      <c r="J916" s="4" t="str">
        <f>IFERROR(__xludf.DUMMYFUNCTION("""COMPUTED_VALUE"""),"Tier 2")</f>
        <v>Tier 2</v>
      </c>
      <c r="K916" s="4" t="str">
        <f>IFERROR(__xludf.DUMMYFUNCTION("""COMPUTED_VALUE"""),"Active")</f>
        <v>Active</v>
      </c>
      <c r="L916" s="4" t="str">
        <f>IFERROR(__xludf.DUMMYFUNCTION("""COMPUTED_VALUE"""),"GECX - Agent Assist")</f>
        <v>GECX - Agent Assist</v>
      </c>
    </row>
    <row r="917">
      <c r="A917" s="4" t="str">
        <f>IFERROR(__xludf.DUMMYFUNCTION("""COMPUTED_VALUE"""),"ONIX784")</f>
        <v>ONIX784</v>
      </c>
      <c r="B917" s="4" t="str">
        <f>IFERROR(__xludf.DUMMYFUNCTION("""COMPUTED_VALUE"""),"Chadwick Prater")</f>
        <v>Chadwick Prater</v>
      </c>
      <c r="C917" s="4" t="str">
        <f>IFERROR(__xludf.DUMMYFUNCTION("""COMPUTED_VALUE"""),"Scott.Prater@onixnet.com")</f>
        <v>Scott.Prater@onixnet.com</v>
      </c>
      <c r="D917" s="4" t="str">
        <f>IFERROR(__xludf.DUMMYFUNCTION("""COMPUTED_VALUE"""),"Active")</f>
        <v>Active</v>
      </c>
      <c r="E917" s="4" t="str">
        <f>IFERROR(__xludf.DUMMYFUNCTION("""COMPUTED_VALUE"""),"Delivery")</f>
        <v>Delivery</v>
      </c>
      <c r="F917" s="4" t="str">
        <f>IFERROR(__xludf.DUMMYFUNCTION("""COMPUTED_VALUE"""),"Lynn Benway")</f>
        <v>Lynn Benway</v>
      </c>
      <c r="G917" s="4" t="str">
        <f>IFERROR(__xludf.DUMMYFUNCTION("""COMPUTED_VALUE"""),"Portfolio - Rick")</f>
        <v>Portfolio - Rick</v>
      </c>
      <c r="H917" s="4" t="str">
        <f>IFERROR(__xludf.DUMMYFUNCTION("""COMPUTED_VALUE"""),"ONISPNBQ7")</f>
        <v>ONISPNBQ7</v>
      </c>
      <c r="I917" s="5">
        <f>IFERROR(__xludf.DUMMYFUNCTION("""COMPUTED_VALUE"""),29.0)</f>
        <v>29</v>
      </c>
      <c r="J917" s="4" t="str">
        <f>IFERROR(__xludf.DUMMYFUNCTION("""COMPUTED_VALUE"""),"Tier 3")</f>
        <v>Tier 3</v>
      </c>
      <c r="K917" s="4" t="str">
        <f>IFERROR(__xludf.DUMMYFUNCTION("""COMPUTED_VALUE"""),"Active")</f>
        <v>Active</v>
      </c>
      <c r="L917" s="4" t="str">
        <f>IFERROR(__xludf.DUMMYFUNCTION("""COMPUTED_VALUE"""),"AI Applications")</f>
        <v>AI Applications</v>
      </c>
    </row>
    <row r="918">
      <c r="A918" s="4" t="str">
        <f>IFERROR(__xludf.DUMMYFUNCTION("""COMPUTED_VALUE"""),"ONIX786")</f>
        <v>ONIX786</v>
      </c>
      <c r="B918" s="4" t="str">
        <f>IFERROR(__xludf.DUMMYFUNCTION("""COMPUTED_VALUE"""),"Youssef M Shehata")</f>
        <v>Youssef M Shehata</v>
      </c>
      <c r="C918" s="4" t="str">
        <f>IFERROR(__xludf.DUMMYFUNCTION("""COMPUTED_VALUE"""),"youssef.shehata@onixnet.com")</f>
        <v>youssef.shehata@onixnet.com</v>
      </c>
      <c r="D918" s="4" t="str">
        <f>IFERROR(__xludf.DUMMYFUNCTION("""COMPUTED_VALUE"""),"Active")</f>
        <v>Active</v>
      </c>
      <c r="E918" s="4" t="str">
        <f>IFERROR(__xludf.DUMMYFUNCTION("""COMPUTED_VALUE"""),"Delivery")</f>
        <v>Delivery</v>
      </c>
      <c r="F918" s="4" t="str">
        <f>IFERROR(__xludf.DUMMYFUNCTION("""COMPUTED_VALUE"""),"Bob Cielenski")</f>
        <v>Bob Cielenski</v>
      </c>
      <c r="G918" s="4" t="str">
        <f>IFERROR(__xludf.DUMMYFUNCTION("""COMPUTED_VALUE"""),"Portfolio - Rick")</f>
        <v>Portfolio - Rick</v>
      </c>
      <c r="H918" s="4" t="str">
        <f>IFERROR(__xludf.DUMMYFUNCTION("""COMPUTED_VALUE"""),"ONIYSCOV0")</f>
        <v>ONIYSCOV0</v>
      </c>
      <c r="I918" s="5">
        <f>IFERROR(__xludf.DUMMYFUNCTION("""COMPUTED_VALUE"""),49.0)</f>
        <v>49</v>
      </c>
      <c r="J918" s="4" t="str">
        <f>IFERROR(__xludf.DUMMYFUNCTION("""COMPUTED_VALUE"""),"Tier 2")</f>
        <v>Tier 2</v>
      </c>
      <c r="K918" s="4" t="str">
        <f>IFERROR(__xludf.DUMMYFUNCTION("""COMPUTED_VALUE"""),"Active")</f>
        <v>Active</v>
      </c>
      <c r="L918" s="4" t="str">
        <f>IFERROR(__xludf.DUMMYFUNCTION("""COMPUTED_VALUE"""),"Gemini Enterprise Agent Platform")</f>
        <v>Gemini Enterprise Agent Platform</v>
      </c>
    </row>
    <row r="919">
      <c r="A919" s="4" t="str">
        <f>IFERROR(__xludf.DUMMYFUNCTION("""COMPUTED_VALUE"""),"ONIX787")</f>
        <v>ONIX787</v>
      </c>
      <c r="B919" s="4" t="str">
        <f>IFERROR(__xludf.DUMMYFUNCTION("""COMPUTED_VALUE"""),"Olena Sholomytska")</f>
        <v>Olena Sholomytska</v>
      </c>
      <c r="C919" s="4" t="str">
        <f>IFERROR(__xludf.DUMMYFUNCTION("""COMPUTED_VALUE"""),"olena.sholomytska@onixnet.com")</f>
        <v>olena.sholomytska@onixnet.com</v>
      </c>
      <c r="D919" s="4" t="str">
        <f>IFERROR(__xludf.DUMMYFUNCTION("""COMPUTED_VALUE"""),"Active")</f>
        <v>Active</v>
      </c>
      <c r="E919" s="4" t="str">
        <f>IFERROR(__xludf.DUMMYFUNCTION("""COMPUTED_VALUE"""),"Delivery")</f>
        <v>Delivery</v>
      </c>
      <c r="F919" s="4" t="str">
        <f>IFERROR(__xludf.DUMMYFUNCTION("""COMPUTED_VALUE"""),"Lynn Benway")</f>
        <v>Lynn Benway</v>
      </c>
      <c r="G919" s="4" t="str">
        <f>IFERROR(__xludf.DUMMYFUNCTION("""COMPUTED_VALUE"""),"Portfolio - Rick")</f>
        <v>Portfolio - Rick</v>
      </c>
      <c r="H919" s="4" t="str">
        <f>IFERROR(__xludf.DUMMYFUNCTION("""COMPUTED_VALUE"""),"ONIOSEHV9")</f>
        <v>ONIOSEHV9</v>
      </c>
      <c r="I919" s="5">
        <f>IFERROR(__xludf.DUMMYFUNCTION("""COMPUTED_VALUE"""),29.0)</f>
        <v>29</v>
      </c>
      <c r="J919" s="4" t="str">
        <f>IFERROR(__xludf.DUMMYFUNCTION("""COMPUTED_VALUE"""),"Tier 3")</f>
        <v>Tier 3</v>
      </c>
      <c r="K919" s="4" t="str">
        <f>IFERROR(__xludf.DUMMYFUNCTION("""COMPUTED_VALUE"""),"Active")</f>
        <v>Active</v>
      </c>
      <c r="L919" s="4" t="str">
        <f>IFERROR(__xludf.DUMMYFUNCTION("""COMPUTED_VALUE"""),"AI Applications")</f>
        <v>AI Applications</v>
      </c>
    </row>
    <row r="920">
      <c r="A920" s="4" t="str">
        <f>IFERROR(__xludf.DUMMYFUNCTION("""COMPUTED_VALUE"""),"ONIX788")</f>
        <v>ONIX788</v>
      </c>
      <c r="B920" s="4" t="str">
        <f>IFERROR(__xludf.DUMMYFUNCTION("""COMPUTED_VALUE"""),"Kevin Soriano Landaverde")</f>
        <v>Kevin Soriano Landaverde</v>
      </c>
      <c r="C920" s="4" t="str">
        <f>IFERROR(__xludf.DUMMYFUNCTION("""COMPUTED_VALUE"""),"Kevin.Soriano@onixnet.com")</f>
        <v>Kevin.Soriano@onixnet.com</v>
      </c>
      <c r="D920" s="4" t="str">
        <f>IFERROR(__xludf.DUMMYFUNCTION("""COMPUTED_VALUE"""),"Active")</f>
        <v>Active</v>
      </c>
      <c r="E920" s="4" t="str">
        <f>IFERROR(__xludf.DUMMYFUNCTION("""COMPUTED_VALUE"""),"Delivery")</f>
        <v>Delivery</v>
      </c>
      <c r="F920" s="4" t="str">
        <f>IFERROR(__xludf.DUMMYFUNCTION("""COMPUTED_VALUE"""),"Bob Cielenski")</f>
        <v>Bob Cielenski</v>
      </c>
      <c r="G920" s="4" t="str">
        <f>IFERROR(__xludf.DUMMYFUNCTION("""COMPUTED_VALUE"""),"Portfolio - Rick")</f>
        <v>Portfolio - Rick</v>
      </c>
      <c r="H920" s="4" t="str">
        <f>IFERROR(__xludf.DUMMYFUNCTION("""COMPUTED_VALUE"""),"ONIKSNQY5")</f>
        <v>ONIKSNQY5</v>
      </c>
      <c r="I920" s="5">
        <f>IFERROR(__xludf.DUMMYFUNCTION("""COMPUTED_VALUE"""),44.0)</f>
        <v>44</v>
      </c>
      <c r="J920" s="4" t="str">
        <f>IFERROR(__xludf.DUMMYFUNCTION("""COMPUTED_VALUE"""),"Tier 2")</f>
        <v>Tier 2</v>
      </c>
      <c r="K920" s="4" t="str">
        <f>IFERROR(__xludf.DUMMYFUNCTION("""COMPUTED_VALUE"""),"Active")</f>
        <v>Active</v>
      </c>
      <c r="L920" s="4" t="str">
        <f>IFERROR(__xludf.DUMMYFUNCTION("""COMPUTED_VALUE"""),"GECX - Agent Assist")</f>
        <v>GECX - Agent Assist</v>
      </c>
    </row>
    <row r="921">
      <c r="A921" s="4" t="str">
        <f>IFERROR(__xludf.DUMMYFUNCTION("""COMPUTED_VALUE"""),"ONIX789")</f>
        <v>ONIX789</v>
      </c>
      <c r="B921" s="4" t="str">
        <f>IFERROR(__xludf.DUMMYFUNCTION("""COMPUTED_VALUE"""),"Amy Weber")</f>
        <v>Amy Weber</v>
      </c>
      <c r="C921" s="4" t="str">
        <f>IFERROR(__xludf.DUMMYFUNCTION("""COMPUTED_VALUE"""),"Amy.Weber@onixnet.com")</f>
        <v>Amy.Weber@onixnet.com</v>
      </c>
      <c r="D921" s="4" t="str">
        <f>IFERROR(__xludf.DUMMYFUNCTION("""COMPUTED_VALUE"""),"Active")</f>
        <v>Active</v>
      </c>
      <c r="E921" s="4" t="str">
        <f>IFERROR(__xludf.DUMMYFUNCTION("""COMPUTED_VALUE"""),"Delivery")</f>
        <v>Delivery</v>
      </c>
      <c r="F921" s="4" t="str">
        <f>IFERROR(__xludf.DUMMYFUNCTION("""COMPUTED_VALUE"""),"Bob Cielenski")</f>
        <v>Bob Cielenski</v>
      </c>
      <c r="G921" s="4" t="str">
        <f>IFERROR(__xludf.DUMMYFUNCTION("""COMPUTED_VALUE"""),"Portfolio - Rick")</f>
        <v>Portfolio - Rick</v>
      </c>
      <c r="H921" s="4" t="str">
        <f>IFERROR(__xludf.DUMMYFUNCTION("""COMPUTED_VALUE"""),"UJEAWQMC3")</f>
        <v>UJEAWQMC3</v>
      </c>
      <c r="I921" s="5">
        <f>IFERROR(__xludf.DUMMYFUNCTION("""COMPUTED_VALUE"""),35.0)</f>
        <v>35</v>
      </c>
      <c r="J921" s="4" t="str">
        <f>IFERROR(__xludf.DUMMYFUNCTION("""COMPUTED_VALUE"""),"Tier 2")</f>
        <v>Tier 2</v>
      </c>
      <c r="K921" s="4" t="str">
        <f>IFERROR(__xludf.DUMMYFUNCTION("""COMPUTED_VALUE"""),"Active")</f>
        <v>Active</v>
      </c>
      <c r="L921" s="4" t="str">
        <f>IFERROR(__xludf.DUMMYFUNCTION("""COMPUTED_VALUE"""),"GECX - Agent Assist")</f>
        <v>GECX - Agent Assist</v>
      </c>
    </row>
    <row r="922">
      <c r="A922" s="4" t="str">
        <f>IFERROR(__xludf.DUMMYFUNCTION("""COMPUTED_VALUE"""),"ONIX790")</f>
        <v>ONIX790</v>
      </c>
      <c r="B922" s="4" t="str">
        <f>IFERROR(__xludf.DUMMYFUNCTION("""COMPUTED_VALUE"""),"Jason Wieder")</f>
        <v>Jason Wieder</v>
      </c>
      <c r="C922" s="4" t="str">
        <f>IFERROR(__xludf.DUMMYFUNCTION("""COMPUTED_VALUE"""),"Jason.Wieder@onixnet.com")</f>
        <v>Jason.Wieder@onixnet.com</v>
      </c>
      <c r="D922" s="4" t="str">
        <f>IFERROR(__xludf.DUMMYFUNCTION("""COMPUTED_VALUE"""),"Active")</f>
        <v>Active</v>
      </c>
      <c r="E922" s="4" t="str">
        <f>IFERROR(__xludf.DUMMYFUNCTION("""COMPUTED_VALUE"""),"Delivery")</f>
        <v>Delivery</v>
      </c>
      <c r="F922" s="4" t="str">
        <f>IFERROR(__xludf.DUMMYFUNCTION("""COMPUTED_VALUE"""),"Amy Weber")</f>
        <v>Amy Weber</v>
      </c>
      <c r="G922" s="4" t="str">
        <f>IFERROR(__xludf.DUMMYFUNCTION("""COMPUTED_VALUE"""),"Portfolio - Rick")</f>
        <v>Portfolio - Rick</v>
      </c>
      <c r="H922" s="4" t="str">
        <f>IFERROR(__xludf.DUMMYFUNCTION("""COMPUTED_VALUE"""),"ONIJWFEN0")</f>
        <v>ONIJWFEN0</v>
      </c>
      <c r="I922" s="5">
        <f>IFERROR(__xludf.DUMMYFUNCTION("""COMPUTED_VALUE"""),25.0)</f>
        <v>25</v>
      </c>
      <c r="J922" s="4" t="str">
        <f>IFERROR(__xludf.DUMMYFUNCTION("""COMPUTED_VALUE"""),"Tier 3")</f>
        <v>Tier 3</v>
      </c>
      <c r="K922" s="4" t="str">
        <f>IFERROR(__xludf.DUMMYFUNCTION("""COMPUTED_VALUE"""),"Active")</f>
        <v>Active</v>
      </c>
      <c r="L922" s="4" t="str">
        <f>IFERROR(__xludf.DUMMYFUNCTION("""COMPUTED_VALUE"""),"GECX - Agent Assist")</f>
        <v>GECX - Agent Assist</v>
      </c>
    </row>
    <row r="923">
      <c r="A923" s="4" t="str">
        <f>IFERROR(__xludf.DUMMYFUNCTION("""COMPUTED_VALUE"""),"ONIX791")</f>
        <v>ONIX791</v>
      </c>
      <c r="B923" s="4" t="str">
        <f>IFERROR(__xludf.DUMMYFUNCTION("""COMPUTED_VALUE"""),"Travis Williams")</f>
        <v>Travis Williams</v>
      </c>
      <c r="C923" s="4" t="str">
        <f>IFERROR(__xludf.DUMMYFUNCTION("""COMPUTED_VALUE"""),"Travis.Williams@onixnet.com")</f>
        <v>Travis.Williams@onixnet.com</v>
      </c>
      <c r="D923" s="4" t="str">
        <f>IFERROR(__xludf.DUMMYFUNCTION("""COMPUTED_VALUE"""),"Active")</f>
        <v>Active</v>
      </c>
      <c r="E923" s="4" t="str">
        <f>IFERROR(__xludf.DUMMYFUNCTION("""COMPUTED_VALUE"""),"Delivery")</f>
        <v>Delivery</v>
      </c>
      <c r="F923" s="4" t="str">
        <f>IFERROR(__xludf.DUMMYFUNCTION("""COMPUTED_VALUE"""),"Bob Cielenski")</f>
        <v>Bob Cielenski</v>
      </c>
      <c r="G923" s="4" t="str">
        <f>IFERROR(__xludf.DUMMYFUNCTION("""COMPUTED_VALUE"""),"Portfolio - Rick")</f>
        <v>Portfolio - Rick</v>
      </c>
      <c r="H923" s="4" t="str">
        <f>IFERROR(__xludf.DUMMYFUNCTION("""COMPUTED_VALUE"""),"ONITWWLU2")</f>
        <v>ONITWWLU2</v>
      </c>
      <c r="I923" s="5">
        <f>IFERROR(__xludf.DUMMYFUNCTION("""COMPUTED_VALUE"""),34.0)</f>
        <v>34</v>
      </c>
      <c r="J923" s="4" t="str">
        <f>IFERROR(__xludf.DUMMYFUNCTION("""COMPUTED_VALUE"""),"Tier 3")</f>
        <v>Tier 3</v>
      </c>
      <c r="K923" s="4" t="str">
        <f>IFERROR(__xludf.DUMMYFUNCTION("""COMPUTED_VALUE"""),"Active")</f>
        <v>Active</v>
      </c>
      <c r="L923" s="4" t="str">
        <f>IFERROR(__xludf.DUMMYFUNCTION("""COMPUTED_VALUE"""),"GECX - Agent Assist")</f>
        <v>GECX - Agent Assist</v>
      </c>
    </row>
    <row r="924">
      <c r="A924" s="4" t="str">
        <f>IFERROR(__xludf.DUMMYFUNCTION("""COMPUTED_VALUE"""),"ONIX792")</f>
        <v>ONIX792</v>
      </c>
      <c r="B924" s="4" t="str">
        <f>IFERROR(__xludf.DUMMYFUNCTION("""COMPUTED_VALUE"""),"Connie L Wu")</f>
        <v>Connie L Wu</v>
      </c>
      <c r="C924" s="4" t="str">
        <f>IFERROR(__xludf.DUMMYFUNCTION("""COMPUTED_VALUE"""),"Connie.Wu@onixnet.com")</f>
        <v>Connie.Wu@onixnet.com</v>
      </c>
      <c r="D924" s="4" t="str">
        <f>IFERROR(__xludf.DUMMYFUNCTION("""COMPUTED_VALUE"""),"Active")</f>
        <v>Active</v>
      </c>
      <c r="E924" s="4" t="str">
        <f>IFERROR(__xludf.DUMMYFUNCTION("""COMPUTED_VALUE"""),"Delivery")</f>
        <v>Delivery</v>
      </c>
      <c r="F924" s="4" t="str">
        <f>IFERROR(__xludf.DUMMYFUNCTION("""COMPUTED_VALUE"""),"Patrick Hess")</f>
        <v>Patrick Hess</v>
      </c>
      <c r="G924" s="4" t="str">
        <f>IFERROR(__xludf.DUMMYFUNCTION("""COMPUTED_VALUE"""),"Portfolio - Rick")</f>
        <v>Portfolio - Rick</v>
      </c>
      <c r="H924" s="4" t="str">
        <f>IFERROR(__xludf.DUMMYFUNCTION("""COMPUTED_VALUE"""),"ONICWEBQ8")</f>
        <v>ONICWEBQ8</v>
      </c>
      <c r="I924" s="5">
        <f>IFERROR(__xludf.DUMMYFUNCTION("""COMPUTED_VALUE"""),16.0)</f>
        <v>16</v>
      </c>
      <c r="J924" s="4" t="str">
        <f>IFERROR(__xludf.DUMMYFUNCTION("""COMPUTED_VALUE"""),"Tier 4")</f>
        <v>Tier 4</v>
      </c>
      <c r="K924" s="4" t="str">
        <f>IFERROR(__xludf.DUMMYFUNCTION("""COMPUTED_VALUE"""),"Active")</f>
        <v>Active</v>
      </c>
      <c r="L924" s="4" t="str">
        <f>IFERROR(__xludf.DUMMYFUNCTION("""COMPUTED_VALUE"""),"GECX - Agent Assist")</f>
        <v>GECX - Agent Assist</v>
      </c>
    </row>
    <row r="925">
      <c r="A925" s="4" t="str">
        <f>IFERROR(__xludf.DUMMYFUNCTION("""COMPUTED_VALUE"""),"ONIX793")</f>
        <v>ONIX793</v>
      </c>
      <c r="B925" s="4" t="str">
        <f>IFERROR(__xludf.DUMMYFUNCTION("""COMPUTED_VALUE"""),"Luisa Maria Yuhouse")</f>
        <v>Luisa Maria Yuhouse</v>
      </c>
      <c r="C925" s="4" t="str">
        <f>IFERROR(__xludf.DUMMYFUNCTION("""COMPUTED_VALUE"""),"Luisa.Yuhouse@onixnet.com")</f>
        <v>Luisa.Yuhouse@onixnet.com</v>
      </c>
      <c r="D925" s="4" t="str">
        <f>IFERROR(__xludf.DUMMYFUNCTION("""COMPUTED_VALUE"""),"Active")</f>
        <v>Active</v>
      </c>
      <c r="E925" s="4" t="str">
        <f>IFERROR(__xludf.DUMMYFUNCTION("""COMPUTED_VALUE"""),"Delivery")</f>
        <v>Delivery</v>
      </c>
      <c r="F925" s="4" t="str">
        <f>IFERROR(__xludf.DUMMYFUNCTION("""COMPUTED_VALUE"""),"Lynn Benway")</f>
        <v>Lynn Benway</v>
      </c>
      <c r="G925" s="4" t="str">
        <f>IFERROR(__xludf.DUMMYFUNCTION("""COMPUTED_VALUE"""),"Portfolio - Rick")</f>
        <v>Portfolio - Rick</v>
      </c>
      <c r="H925" s="4" t="str">
        <f>IFERROR(__xludf.DUMMYFUNCTION("""COMPUTED_VALUE"""),"ONILYTSK4")</f>
        <v>ONILYTSK4</v>
      </c>
      <c r="I925" s="5">
        <f>IFERROR(__xludf.DUMMYFUNCTION("""COMPUTED_VALUE"""),41.0)</f>
        <v>41</v>
      </c>
      <c r="J925" s="4" t="str">
        <f>IFERROR(__xludf.DUMMYFUNCTION("""COMPUTED_VALUE"""),"Tier 2")</f>
        <v>Tier 2</v>
      </c>
      <c r="K925" s="4" t="str">
        <f>IFERROR(__xludf.DUMMYFUNCTION("""COMPUTED_VALUE"""),"Active")</f>
        <v>Active</v>
      </c>
      <c r="L925" s="4" t="str">
        <f>IFERROR(__xludf.DUMMYFUNCTION("""COMPUTED_VALUE"""),"GECX - CCaaS")</f>
        <v>GECX - CCaaS</v>
      </c>
    </row>
    <row r="926">
      <c r="A926" s="4" t="str">
        <f>IFERROR(__xludf.DUMMYFUNCTION("""COMPUTED_VALUE"""),"ONIX794")</f>
        <v>ONIX794</v>
      </c>
      <c r="B926" s="4" t="str">
        <f>IFERROR(__xludf.DUMMYFUNCTION("""COMPUTED_VALUE"""),"Malavika Santhosh")</f>
        <v>Malavika Santhosh</v>
      </c>
      <c r="C926" s="4" t="str">
        <f>IFERROR(__xludf.DUMMYFUNCTION("""COMPUTED_VALUE"""),"malavika.santhosh@onixnet.com")</f>
        <v>malavika.santhosh@onixnet.com</v>
      </c>
      <c r="D926" s="4" t="str">
        <f>IFERROR(__xludf.DUMMYFUNCTION("""COMPUTED_VALUE"""),"Active")</f>
        <v>Active</v>
      </c>
      <c r="E926" s="4" t="str">
        <f>IFERROR(__xludf.DUMMYFUNCTION("""COMPUTED_VALUE"""),"Delivery")</f>
        <v>Delivery</v>
      </c>
      <c r="F926" s="4" t="str">
        <f>IFERROR(__xludf.DUMMYFUNCTION("""COMPUTED_VALUE"""),"Lynn Benway")</f>
        <v>Lynn Benway</v>
      </c>
      <c r="G926" s="4" t="str">
        <f>IFERROR(__xludf.DUMMYFUNCTION("""COMPUTED_VALUE"""),"Portfolio - Rick")</f>
        <v>Portfolio - Rick</v>
      </c>
      <c r="H926" s="4" t="str">
        <f>IFERROR(__xludf.DUMMYFUNCTION("""COMPUTED_VALUE"""),"UJEMSXHT7")</f>
        <v>UJEMSXHT7</v>
      </c>
      <c r="I926" s="5">
        <f>IFERROR(__xludf.DUMMYFUNCTION("""COMPUTED_VALUE"""),21.0)</f>
        <v>21</v>
      </c>
      <c r="J926" s="4" t="str">
        <f>IFERROR(__xludf.DUMMYFUNCTION("""COMPUTED_VALUE"""),"Tier 3")</f>
        <v>Tier 3</v>
      </c>
      <c r="K926" s="4" t="str">
        <f>IFERROR(__xludf.DUMMYFUNCTION("""COMPUTED_VALUE"""),"Active")</f>
        <v>Active</v>
      </c>
      <c r="L926" s="4" t="str">
        <f>IFERROR(__xludf.DUMMYFUNCTION("""COMPUTED_VALUE"""),"GECX - CCaaS")</f>
        <v>GECX - CCaaS</v>
      </c>
    </row>
    <row r="927">
      <c r="A927" s="4" t="str">
        <f>IFERROR(__xludf.DUMMYFUNCTION("""COMPUTED_VALUE"""),"DME3362")</f>
        <v>DME3362</v>
      </c>
      <c r="B927" s="4" t="str">
        <f>IFERROR(__xludf.DUMMYFUNCTION("""COMPUTED_VALUE"""),"Soham Prasad Kulkarni")</f>
        <v>Soham Prasad Kulkarni</v>
      </c>
      <c r="C927" s="4" t="str">
        <f>IFERROR(__xludf.DUMMYFUNCTION("""COMPUTED_VALUE"""),"soham.kulkarni@onixnet.com")</f>
        <v>soham.kulkarni@onixnet.com</v>
      </c>
      <c r="D927" s="4" t="str">
        <f>IFERROR(__xludf.DUMMYFUNCTION("""COMPUTED_VALUE"""),"Active")</f>
        <v>Active</v>
      </c>
      <c r="E927" s="4" t="str">
        <f>IFERROR(__xludf.DUMMYFUNCTION("""COMPUTED_VALUE"""),"Product Engineering")</f>
        <v>Product Engineering</v>
      </c>
      <c r="F927" s="4" t="str">
        <f>IFERROR(__xludf.DUMMYFUNCTION("""COMPUTED_VALUE"""),"Samarth Chowksay")</f>
        <v>Samarth Chowksay</v>
      </c>
      <c r="G927" s="4" t="str">
        <f>IFERROR(__xludf.DUMMYFUNCTION("""COMPUTED_VALUE"""),"Cluster - Mayur")</f>
        <v>Cluster - Mayur</v>
      </c>
      <c r="H927" s="4" t="str">
        <f>IFERROR(__xludf.DUMMYFUNCTION("""COMPUTED_VALUE"""),"ONISKVRT6")</f>
        <v>ONISKVRT6</v>
      </c>
      <c r="I927" s="5">
        <f>IFERROR(__xludf.DUMMYFUNCTION("""COMPUTED_VALUE"""),30.0)</f>
        <v>30</v>
      </c>
      <c r="J927" s="4" t="str">
        <f>IFERROR(__xludf.DUMMYFUNCTION("""COMPUTED_VALUE"""),"Tier 3")</f>
        <v>Tier 3</v>
      </c>
      <c r="K927" s="4" t="str">
        <f>IFERROR(__xludf.DUMMYFUNCTION("""COMPUTED_VALUE"""),"Active")</f>
        <v>Active</v>
      </c>
      <c r="L927" s="4" t="str">
        <f>IFERROR(__xludf.DUMMYFUNCTION("""COMPUTED_VALUE"""),"Gemini Enterprise Agent Platform")</f>
        <v>Gemini Enterprise Agent Platform</v>
      </c>
    </row>
    <row r="928">
      <c r="A928" s="4" t="str">
        <f>IFERROR(__xludf.DUMMYFUNCTION("""COMPUTED_VALUE"""),"DME2940")</f>
        <v>DME2940</v>
      </c>
      <c r="B928" s="4" t="str">
        <f>IFERROR(__xludf.DUMMYFUNCTION("""COMPUTED_VALUE"""),"Tejaswan Surapa Reddy")</f>
        <v>Tejaswan Surapa Reddy</v>
      </c>
      <c r="C928" s="4" t="str">
        <f>IFERROR(__xludf.DUMMYFUNCTION("""COMPUTED_VALUE"""),"tejaswan.reddy@onixnet.com")</f>
        <v>tejaswan.reddy@onixnet.com</v>
      </c>
      <c r="D928" s="4" t="str">
        <f>IFERROR(__xludf.DUMMYFUNCTION("""COMPUTED_VALUE"""),"Active")</f>
        <v>Active</v>
      </c>
      <c r="E928" s="4" t="str">
        <f>IFERROR(__xludf.DUMMYFUNCTION("""COMPUTED_VALUE"""),"Product Engineering")</f>
        <v>Product Engineering</v>
      </c>
      <c r="F928" s="4" t="str">
        <f>IFERROR(__xludf.DUMMYFUNCTION("""COMPUTED_VALUE"""),"Anand Sharma")</f>
        <v>Anand Sharma</v>
      </c>
      <c r="G928" s="4" t="str">
        <f>IFERROR(__xludf.DUMMYFUNCTION("""COMPUTED_VALUE"""),"Cluster - Mayur")</f>
        <v>Cluster - Mayur</v>
      </c>
      <c r="H928" s="4"/>
      <c r="I928" s="5"/>
      <c r="J928" s="4"/>
      <c r="K928" s="4" t="str">
        <f>IFERROR(__xludf.DUMMYFUNCTION("""COMPUTED_VALUE"""),"ID Not Created")</f>
        <v>ID Not Created</v>
      </c>
      <c r="L928" s="4"/>
    </row>
    <row r="929">
      <c r="A929" s="4" t="str">
        <f>IFERROR(__xludf.DUMMYFUNCTION("""COMPUTED_VALUE"""),"DME2943")</f>
        <v>DME2943</v>
      </c>
      <c r="B929" s="4" t="str">
        <f>IFERROR(__xludf.DUMMYFUNCTION("""COMPUTED_VALUE"""),"Prashant Bhimrao Dange")</f>
        <v>Prashant Bhimrao Dange</v>
      </c>
      <c r="C929" s="4" t="str">
        <f>IFERROR(__xludf.DUMMYFUNCTION("""COMPUTED_VALUE"""),"prashant.dange@onixnet.com")</f>
        <v>prashant.dange@onixnet.com</v>
      </c>
      <c r="D929" s="4" t="str">
        <f>IFERROR(__xludf.DUMMYFUNCTION("""COMPUTED_VALUE"""),"Active")</f>
        <v>Active</v>
      </c>
      <c r="E929" s="4" t="str">
        <f>IFERROR(__xludf.DUMMYFUNCTION("""COMPUTED_VALUE"""),"Delivery Services")</f>
        <v>Delivery Services</v>
      </c>
      <c r="F929" s="4" t="str">
        <f>IFERROR(__xludf.DUMMYFUNCTION("""COMPUTED_VALUE"""),"Shivam Kumar")</f>
        <v>Shivam Kumar</v>
      </c>
      <c r="G929" s="4" t="str">
        <f>IFERROR(__xludf.DUMMYFUNCTION("""COMPUTED_VALUE"""),"Cluster - Sachin")</f>
        <v>Cluster - Sachin</v>
      </c>
      <c r="H929" s="4" t="str">
        <f>IFERROR(__xludf.DUMMYFUNCTION("""COMPUTED_VALUE"""),"ONIPDZET7")</f>
        <v>ONIPDZET7</v>
      </c>
      <c r="I929" s="5">
        <f>IFERROR(__xludf.DUMMYFUNCTION("""COMPUTED_VALUE"""),10.0)</f>
        <v>10</v>
      </c>
      <c r="J929" s="4" t="str">
        <f>IFERROR(__xludf.DUMMYFUNCTION("""COMPUTED_VALUE"""),"Tier 4")</f>
        <v>Tier 4</v>
      </c>
      <c r="K929" s="4" t="str">
        <f>IFERROR(__xludf.DUMMYFUNCTION("""COMPUTED_VALUE"""),"Active")</f>
        <v>Active</v>
      </c>
      <c r="L929" s="4" t="str">
        <f>IFERROR(__xludf.DUMMYFUNCTION("""COMPUTED_VALUE"""),"BigQuery")</f>
        <v>BigQuery</v>
      </c>
    </row>
    <row r="930">
      <c r="A930" s="4" t="str">
        <f>IFERROR(__xludf.DUMMYFUNCTION("""COMPUTED_VALUE"""),"DME2945")</f>
        <v>DME2945</v>
      </c>
      <c r="B930" s="4" t="str">
        <f>IFERROR(__xludf.DUMMYFUNCTION("""COMPUTED_VALUE"""),"Rishu Ranjan")</f>
        <v>Rishu Ranjan</v>
      </c>
      <c r="C930" s="4" t="str">
        <f>IFERROR(__xludf.DUMMYFUNCTION("""COMPUTED_VALUE"""),"rishu.ranjan@onixnet.com")</f>
        <v>rishu.ranjan@onixnet.com</v>
      </c>
      <c r="D930" s="4" t="str">
        <f>IFERROR(__xludf.DUMMYFUNCTION("""COMPUTED_VALUE"""),"Active")</f>
        <v>Active</v>
      </c>
      <c r="E930" s="4" t="str">
        <f>IFERROR(__xludf.DUMMYFUNCTION("""COMPUTED_VALUE"""),"Delivery Services")</f>
        <v>Delivery Services</v>
      </c>
      <c r="F930" s="4" t="str">
        <f>IFERROR(__xludf.DUMMYFUNCTION("""COMPUTED_VALUE"""),"Varun Katyal")</f>
        <v>Varun Katyal</v>
      </c>
      <c r="G930" s="4" t="str">
        <f>IFERROR(__xludf.DUMMYFUNCTION("""COMPUTED_VALUE"""),"Cluster - Varun")</f>
        <v>Cluster - Varun</v>
      </c>
      <c r="H930" s="4" t="str">
        <f>IFERROR(__xludf.DUMMYFUNCTION("""COMPUTED_VALUE"""),"ONIRRDGK8")</f>
        <v>ONIRRDGK8</v>
      </c>
      <c r="I930" s="5">
        <f>IFERROR(__xludf.DUMMYFUNCTION("""COMPUTED_VALUE"""),9.0)</f>
        <v>9</v>
      </c>
      <c r="J930" s="4" t="str">
        <f>IFERROR(__xludf.DUMMYFUNCTION("""COMPUTED_VALUE"""),"Tier 4")</f>
        <v>Tier 4</v>
      </c>
      <c r="K930" s="4" t="str">
        <f>IFERROR(__xludf.DUMMYFUNCTION("""COMPUTED_VALUE"""),"Active")</f>
        <v>Active</v>
      </c>
      <c r="L930" s="4" t="str">
        <f>IFERROR(__xludf.DUMMYFUNCTION("""COMPUTED_VALUE"""),"Cloud Run")</f>
        <v>Cloud Run</v>
      </c>
    </row>
    <row r="931">
      <c r="A931" s="4" t="str">
        <f>IFERROR(__xludf.DUMMYFUNCTION("""COMPUTED_VALUE"""),"DMC1036")</f>
        <v>DMC1036</v>
      </c>
      <c r="B931" s="4" t="str">
        <f>IFERROR(__xludf.DUMMYFUNCTION("""COMPUTED_VALUE"""),"Subhanshu Kushwah")</f>
        <v>Subhanshu Kushwah</v>
      </c>
      <c r="C931" s="4" t="str">
        <f>IFERROR(__xludf.DUMMYFUNCTION("""COMPUTED_VALUE"""),"subhanshu.kushwah@onixnet.com")</f>
        <v>subhanshu.kushwah@onixnet.com</v>
      </c>
      <c r="D931" s="4" t="str">
        <f>IFERROR(__xludf.DUMMYFUNCTION("""COMPUTED_VALUE"""),"Active")</f>
        <v>Active</v>
      </c>
      <c r="E931" s="4" t="str">
        <f>IFERROR(__xludf.DUMMYFUNCTION("""COMPUTED_VALUE"""),"Delivery Services")</f>
        <v>Delivery Services</v>
      </c>
      <c r="F931" s="4" t="str">
        <f>IFERROR(__xludf.DUMMYFUNCTION("""COMPUTED_VALUE"""),"Akash Choudhari")</f>
        <v>Akash Choudhari</v>
      </c>
      <c r="G931" s="4" t="str">
        <f>IFERROR(__xludf.DUMMYFUNCTION("""COMPUTED_VALUE"""),"Cluster - Sandeep")</f>
        <v>Cluster - Sandeep</v>
      </c>
      <c r="H931" s="4" t="str">
        <f>IFERROR(__xludf.DUMMYFUNCTION("""COMPUTED_VALUE"""),"ONISKPJP1")</f>
        <v>ONISKPJP1</v>
      </c>
      <c r="I931" s="5">
        <f>IFERROR(__xludf.DUMMYFUNCTION("""COMPUTED_VALUE"""),18.0)</f>
        <v>18</v>
      </c>
      <c r="J931" s="4" t="str">
        <f>IFERROR(__xludf.DUMMYFUNCTION("""COMPUTED_VALUE"""),"Tier 4")</f>
        <v>Tier 4</v>
      </c>
      <c r="K931" s="4" t="str">
        <f>IFERROR(__xludf.DUMMYFUNCTION("""COMPUTED_VALUE"""),"Active")</f>
        <v>Active</v>
      </c>
      <c r="L931" s="4" t="str">
        <f>IFERROR(__xludf.DUMMYFUNCTION("""COMPUTED_VALUE"""),"Gemini Enterprise")</f>
        <v>Gemini Enterprise</v>
      </c>
    </row>
    <row r="932">
      <c r="A932" s="4" t="str">
        <f>IFERROR(__xludf.DUMMYFUNCTION("""COMPUTED_VALUE"""),"DME2947")</f>
        <v>DME2947</v>
      </c>
      <c r="B932" s="4" t="str">
        <f>IFERROR(__xludf.DUMMYFUNCTION("""COMPUTED_VALUE"""),"Abinash Sonowal")</f>
        <v>Abinash Sonowal</v>
      </c>
      <c r="C932" s="4" t="str">
        <f>IFERROR(__xludf.DUMMYFUNCTION("""COMPUTED_VALUE"""),"abinash.sonowal@onixnet.com")</f>
        <v>abinash.sonowal@onixnet.com</v>
      </c>
      <c r="D932" s="4" t="str">
        <f>IFERROR(__xludf.DUMMYFUNCTION("""COMPUTED_VALUE"""),"Active")</f>
        <v>Active</v>
      </c>
      <c r="E932" s="4" t="str">
        <f>IFERROR(__xludf.DUMMYFUNCTION("""COMPUTED_VALUE"""),"Product Engineering")</f>
        <v>Product Engineering</v>
      </c>
      <c r="F932" s="4" t="str">
        <f>IFERROR(__xludf.DUMMYFUNCTION("""COMPUTED_VALUE"""),"Suraj Chavan")</f>
        <v>Suraj Chavan</v>
      </c>
      <c r="G932" s="4" t="str">
        <f>IFERROR(__xludf.DUMMYFUNCTION("""COMPUTED_VALUE"""),"Cluster - Mayur")</f>
        <v>Cluster - Mayur</v>
      </c>
      <c r="H932" s="4" t="str">
        <f>IFERROR(__xludf.DUMMYFUNCTION("""COMPUTED_VALUE"""),"ONIASUBZ0")</f>
        <v>ONIASUBZ0</v>
      </c>
      <c r="I932" s="5">
        <f>IFERROR(__xludf.DUMMYFUNCTION("""COMPUTED_VALUE"""),15.0)</f>
        <v>15</v>
      </c>
      <c r="J932" s="4" t="str">
        <f>IFERROR(__xludf.DUMMYFUNCTION("""COMPUTED_VALUE"""),"Tier 4")</f>
        <v>Tier 4</v>
      </c>
      <c r="K932" s="4" t="str">
        <f>IFERROR(__xludf.DUMMYFUNCTION("""COMPUTED_VALUE"""),"Active")</f>
        <v>Active</v>
      </c>
      <c r="L932" s="4" t="str">
        <f>IFERROR(__xludf.DUMMYFUNCTION("""COMPUTED_VALUE"""),"AI Applications")</f>
        <v>AI Applications</v>
      </c>
    </row>
    <row r="933">
      <c r="A933" s="4" t="str">
        <f>IFERROR(__xludf.DUMMYFUNCTION("""COMPUTED_VALUE"""),"DME2953")</f>
        <v>DME2953</v>
      </c>
      <c r="B933" s="4" t="str">
        <f>IFERROR(__xludf.DUMMYFUNCTION("""COMPUTED_VALUE"""),"Durga Sainath Dora")</f>
        <v>Durga Sainath Dora</v>
      </c>
      <c r="C933" s="4" t="str">
        <f>IFERROR(__xludf.DUMMYFUNCTION("""COMPUTED_VALUE"""),"durgasainath.dora@onixnet.com")</f>
        <v>durgasainath.dora@onixnet.com</v>
      </c>
      <c r="D933" s="4" t="str">
        <f>IFERROR(__xludf.DUMMYFUNCTION("""COMPUTED_VALUE"""),"Active")</f>
        <v>Active</v>
      </c>
      <c r="E933" s="4" t="str">
        <f>IFERROR(__xludf.DUMMYFUNCTION("""COMPUTED_VALUE"""),"Delivery Services")</f>
        <v>Delivery Services</v>
      </c>
      <c r="F933" s="4" t="str">
        <f>IFERROR(__xludf.DUMMYFUNCTION("""COMPUTED_VALUE"""),"Kanhaiya Jha")</f>
        <v>Kanhaiya Jha</v>
      </c>
      <c r="G933" s="4" t="str">
        <f>IFERROR(__xludf.DUMMYFUNCTION("""COMPUTED_VALUE"""),"Cluster - Kanhaiya")</f>
        <v>Cluster - Kanhaiya</v>
      </c>
      <c r="H933" s="4" t="str">
        <f>IFERROR(__xludf.DUMMYFUNCTION("""COMPUTED_VALUE"""),"ONIDDFYU1")</f>
        <v>ONIDDFYU1</v>
      </c>
      <c r="I933" s="5">
        <f>IFERROR(__xludf.DUMMYFUNCTION("""COMPUTED_VALUE"""),20.0)</f>
        <v>20</v>
      </c>
      <c r="J933" s="4" t="str">
        <f>IFERROR(__xludf.DUMMYFUNCTION("""COMPUTED_VALUE"""),"Tier 3")</f>
        <v>Tier 3</v>
      </c>
      <c r="K933" s="4" t="str">
        <f>IFERROR(__xludf.DUMMYFUNCTION("""COMPUTED_VALUE"""),"Active")</f>
        <v>Active</v>
      </c>
      <c r="L933" s="4" t="str">
        <f>IFERROR(__xludf.DUMMYFUNCTION("""COMPUTED_VALUE"""),"Gemini Enterprise Agent Platform")</f>
        <v>Gemini Enterprise Agent Platform</v>
      </c>
    </row>
    <row r="934">
      <c r="A934" s="4" t="str">
        <f>IFERROR(__xludf.DUMMYFUNCTION("""COMPUTED_VALUE"""),"DME2955")</f>
        <v>DME2955</v>
      </c>
      <c r="B934" s="4" t="str">
        <f>IFERROR(__xludf.DUMMYFUNCTION("""COMPUTED_VALUE"""),"Abhishree Gajanan Khangar")</f>
        <v>Abhishree Gajanan Khangar</v>
      </c>
      <c r="C934" s="4" t="str">
        <f>IFERROR(__xludf.DUMMYFUNCTION("""COMPUTED_VALUE"""),"abhishree.khangar@onixnet.com")</f>
        <v>abhishree.khangar@onixnet.com</v>
      </c>
      <c r="D934" s="4" t="str">
        <f>IFERROR(__xludf.DUMMYFUNCTION("""COMPUTED_VALUE"""),"Active")</f>
        <v>Active</v>
      </c>
      <c r="E934" s="4" t="str">
        <f>IFERROR(__xludf.DUMMYFUNCTION("""COMPUTED_VALUE"""),"Product Engineering")</f>
        <v>Product Engineering</v>
      </c>
      <c r="F934" s="4" t="str">
        <f>IFERROR(__xludf.DUMMYFUNCTION("""COMPUTED_VALUE"""),"Rohit Joshi")</f>
        <v>Rohit Joshi</v>
      </c>
      <c r="G934" s="4" t="str">
        <f>IFERROR(__xludf.DUMMYFUNCTION("""COMPUTED_VALUE"""),"Cluster - Mayur")</f>
        <v>Cluster - Mayur</v>
      </c>
      <c r="H934" s="4" t="str">
        <f>IFERROR(__xludf.DUMMYFUNCTION("""COMPUTED_VALUE"""),"ONIAKQUM0")</f>
        <v>ONIAKQUM0</v>
      </c>
      <c r="I934" s="5">
        <f>IFERROR(__xludf.DUMMYFUNCTION("""COMPUTED_VALUE"""),10.0)</f>
        <v>10</v>
      </c>
      <c r="J934" s="4" t="str">
        <f>IFERROR(__xludf.DUMMYFUNCTION("""COMPUTED_VALUE"""),"Tier 4")</f>
        <v>Tier 4</v>
      </c>
      <c r="K934" s="4" t="str">
        <f>IFERROR(__xludf.DUMMYFUNCTION("""COMPUTED_VALUE"""),"Active")</f>
        <v>Active</v>
      </c>
      <c r="L934" s="4" t="str">
        <f>IFERROR(__xludf.DUMMYFUNCTION("""COMPUTED_VALUE"""),"AI Applications")</f>
        <v>AI Applications</v>
      </c>
    </row>
    <row r="935">
      <c r="A935" s="4" t="str">
        <f>IFERROR(__xludf.DUMMYFUNCTION("""COMPUTED_VALUE"""),"DME2980")</f>
        <v>DME2980</v>
      </c>
      <c r="B935" s="4" t="str">
        <f>IFERROR(__xludf.DUMMYFUNCTION("""COMPUTED_VALUE"""),"Raj Ambekar")</f>
        <v>Raj Ambekar</v>
      </c>
      <c r="C935" s="4" t="str">
        <f>IFERROR(__xludf.DUMMYFUNCTION("""COMPUTED_VALUE"""),"raj.ambekar@onixnet.com")</f>
        <v>raj.ambekar@onixnet.com</v>
      </c>
      <c r="D935" s="4" t="str">
        <f>IFERROR(__xludf.DUMMYFUNCTION("""COMPUTED_VALUE"""),"Active")</f>
        <v>Active</v>
      </c>
      <c r="E935" s="4" t="str">
        <f>IFERROR(__xludf.DUMMYFUNCTION("""COMPUTED_VALUE"""),"Product Engineering")</f>
        <v>Product Engineering</v>
      </c>
      <c r="F935" s="4" t="str">
        <f>IFERROR(__xludf.DUMMYFUNCTION("""COMPUTED_VALUE"""),"Vikas Suryawanshi")</f>
        <v>Vikas Suryawanshi</v>
      </c>
      <c r="G935" s="4" t="str">
        <f>IFERROR(__xludf.DUMMYFUNCTION("""COMPUTED_VALUE"""),"Cluster - Mayur")</f>
        <v>Cluster - Mayur</v>
      </c>
      <c r="H935" s="4"/>
      <c r="I935" s="5"/>
      <c r="J935" s="4"/>
      <c r="K935" s="4" t="str">
        <f>IFERROR(__xludf.DUMMYFUNCTION("""COMPUTED_VALUE"""),"ID Not Created")</f>
        <v>ID Not Created</v>
      </c>
      <c r="L935" s="4"/>
    </row>
    <row r="936">
      <c r="A936" s="4" t="str">
        <f>IFERROR(__xludf.DUMMYFUNCTION("""COMPUTED_VALUE"""),"DME2956")</f>
        <v>DME2956</v>
      </c>
      <c r="B936" s="4" t="str">
        <f>IFERROR(__xludf.DUMMYFUNCTION("""COMPUTED_VALUE"""),"Prachi Goyal")</f>
        <v>Prachi Goyal</v>
      </c>
      <c r="C936" s="4" t="str">
        <f>IFERROR(__xludf.DUMMYFUNCTION("""COMPUTED_VALUE"""),"prachi.goyal@onixnet.com")</f>
        <v>prachi.goyal@onixnet.com</v>
      </c>
      <c r="D936" s="4" t="str">
        <f>IFERROR(__xludf.DUMMYFUNCTION("""COMPUTED_VALUE"""),"Active")</f>
        <v>Active</v>
      </c>
      <c r="E936" s="4" t="str">
        <f>IFERROR(__xludf.DUMMYFUNCTION("""COMPUTED_VALUE"""),"Delivery Services")</f>
        <v>Delivery Services</v>
      </c>
      <c r="F936" s="4" t="str">
        <f>IFERROR(__xludf.DUMMYFUNCTION("""COMPUTED_VALUE"""),"Mayur Kasar")</f>
        <v>Mayur Kasar</v>
      </c>
      <c r="G936" s="4" t="str">
        <f>IFERROR(__xludf.DUMMYFUNCTION("""COMPUTED_VALUE"""),"Cluster - Varun")</f>
        <v>Cluster - Varun</v>
      </c>
      <c r="H936" s="4" t="str">
        <f>IFERROR(__xludf.DUMMYFUNCTION("""COMPUTED_VALUE"""),"ONIPGAWU3")</f>
        <v>ONIPGAWU3</v>
      </c>
      <c r="I936" s="5">
        <f>IFERROR(__xludf.DUMMYFUNCTION("""COMPUTED_VALUE"""),32.0)</f>
        <v>32</v>
      </c>
      <c r="J936" s="4" t="str">
        <f>IFERROR(__xludf.DUMMYFUNCTION("""COMPUTED_VALUE"""),"Tier 3")</f>
        <v>Tier 3</v>
      </c>
      <c r="K936" s="4" t="str">
        <f>IFERROR(__xludf.DUMMYFUNCTION("""COMPUTED_VALUE"""),"Active")</f>
        <v>Active</v>
      </c>
      <c r="L936" s="4" t="str">
        <f>IFERROR(__xludf.DUMMYFUNCTION("""COMPUTED_VALUE"""),"Gemini Enterprise Agent Platform")</f>
        <v>Gemini Enterprise Agent Platform</v>
      </c>
    </row>
    <row r="937">
      <c r="A937" s="4" t="str">
        <f>IFERROR(__xludf.DUMMYFUNCTION("""COMPUTED_VALUE"""),"DME2948")</f>
        <v>DME2948</v>
      </c>
      <c r="B937" s="4" t="str">
        <f>IFERROR(__xludf.DUMMYFUNCTION("""COMPUTED_VALUE"""),"Om Santosh Kendre")</f>
        <v>Om Santosh Kendre</v>
      </c>
      <c r="C937" s="4" t="str">
        <f>IFERROR(__xludf.DUMMYFUNCTION("""COMPUTED_VALUE"""),"om.kendre@onixnet.com")</f>
        <v>om.kendre@onixnet.com</v>
      </c>
      <c r="D937" s="4" t="str">
        <f>IFERROR(__xludf.DUMMYFUNCTION("""COMPUTED_VALUE"""),"Active")</f>
        <v>Active</v>
      </c>
      <c r="E937" s="4" t="str">
        <f>IFERROR(__xludf.DUMMYFUNCTION("""COMPUTED_VALUE"""),"Product Engineering")</f>
        <v>Product Engineering</v>
      </c>
      <c r="F937" s="4" t="str">
        <f>IFERROR(__xludf.DUMMYFUNCTION("""COMPUTED_VALUE"""),"Ketan Dosi")</f>
        <v>Ketan Dosi</v>
      </c>
      <c r="G937" s="4" t="str">
        <f>IFERROR(__xludf.DUMMYFUNCTION("""COMPUTED_VALUE"""),"Cluster - Mayur")</f>
        <v>Cluster - Mayur</v>
      </c>
      <c r="H937" s="4"/>
      <c r="I937" s="5"/>
      <c r="J937" s="4"/>
      <c r="K937" s="4" t="str">
        <f>IFERROR(__xludf.DUMMYFUNCTION("""COMPUTED_VALUE"""),"ID Not Created")</f>
        <v>ID Not Created</v>
      </c>
      <c r="L937" s="4"/>
    </row>
    <row r="938">
      <c r="A938" s="4" t="str">
        <f>IFERROR(__xludf.DUMMYFUNCTION("""COMPUTED_VALUE"""),"DME2952")</f>
        <v>DME2952</v>
      </c>
      <c r="B938" s="4" t="str">
        <f>IFERROR(__xludf.DUMMYFUNCTION("""COMPUTED_VALUE"""),"Adarsh Kumar")</f>
        <v>Adarsh Kumar</v>
      </c>
      <c r="C938" s="4" t="str">
        <f>IFERROR(__xludf.DUMMYFUNCTION("""COMPUTED_VALUE"""),"adarsh.Kumar@onixnet.com")</f>
        <v>adarsh.Kumar@onixnet.com</v>
      </c>
      <c r="D938" s="4" t="str">
        <f>IFERROR(__xludf.DUMMYFUNCTION("""COMPUTED_VALUE"""),"Active")</f>
        <v>Active</v>
      </c>
      <c r="E938" s="4" t="str">
        <f>IFERROR(__xludf.DUMMYFUNCTION("""COMPUTED_VALUE"""),"Product Engineering")</f>
        <v>Product Engineering</v>
      </c>
      <c r="F938" s="4" t="str">
        <f>IFERROR(__xludf.DUMMYFUNCTION("""COMPUTED_VALUE"""),"Rohit Joshi")</f>
        <v>Rohit Joshi</v>
      </c>
      <c r="G938" s="4" t="str">
        <f>IFERROR(__xludf.DUMMYFUNCTION("""COMPUTED_VALUE"""),"Cluster - Mayur")</f>
        <v>Cluster - Mayur</v>
      </c>
      <c r="H938" s="4" t="str">
        <f>IFERROR(__xludf.DUMMYFUNCTION("""COMPUTED_VALUE"""),"ONIAKISO6")</f>
        <v>ONIAKISO6</v>
      </c>
      <c r="I938" s="5">
        <f>IFERROR(__xludf.DUMMYFUNCTION("""COMPUTED_VALUE"""),10.0)</f>
        <v>10</v>
      </c>
      <c r="J938" s="4" t="str">
        <f>IFERROR(__xludf.DUMMYFUNCTION("""COMPUTED_VALUE"""),"Tier 4")</f>
        <v>Tier 4</v>
      </c>
      <c r="K938" s="4" t="str">
        <f>IFERROR(__xludf.DUMMYFUNCTION("""COMPUTED_VALUE"""),"Active")</f>
        <v>Active</v>
      </c>
      <c r="L938" s="4" t="str">
        <f>IFERROR(__xludf.DUMMYFUNCTION("""COMPUTED_VALUE"""),"AI Applications")</f>
        <v>AI Applications</v>
      </c>
    </row>
    <row r="939">
      <c r="A939" s="4" t="str">
        <f>IFERROR(__xludf.DUMMYFUNCTION("""COMPUTED_VALUE"""),"DME2949")</f>
        <v>DME2949</v>
      </c>
      <c r="B939" s="4" t="str">
        <f>IFERROR(__xludf.DUMMYFUNCTION("""COMPUTED_VALUE"""),"Anant Sunilkumar Patil")</f>
        <v>Anant Sunilkumar Patil</v>
      </c>
      <c r="C939" s="4" t="str">
        <f>IFERROR(__xludf.DUMMYFUNCTION("""COMPUTED_VALUE"""),"anant.Patil@onixnet.com")</f>
        <v>anant.Patil@onixnet.com</v>
      </c>
      <c r="D939" s="4" t="str">
        <f>IFERROR(__xludf.DUMMYFUNCTION("""COMPUTED_VALUE"""),"Active")</f>
        <v>Active</v>
      </c>
      <c r="E939" s="4" t="str">
        <f>IFERROR(__xludf.DUMMYFUNCTION("""COMPUTED_VALUE"""),"Product Engineering")</f>
        <v>Product Engineering</v>
      </c>
      <c r="F939" s="4" t="str">
        <f>IFERROR(__xludf.DUMMYFUNCTION("""COMPUTED_VALUE"""),"Abhishek Kumar")</f>
        <v>Abhishek Kumar</v>
      </c>
      <c r="G939" s="4" t="str">
        <f>IFERROR(__xludf.DUMMYFUNCTION("""COMPUTED_VALUE"""),"Cluster - Mayur")</f>
        <v>Cluster - Mayur</v>
      </c>
      <c r="H939" s="4"/>
      <c r="I939" s="5"/>
      <c r="J939" s="4"/>
      <c r="K939" s="4" t="str">
        <f>IFERROR(__xludf.DUMMYFUNCTION("""COMPUTED_VALUE"""),"ID Not Created")</f>
        <v>ID Not Created</v>
      </c>
      <c r="L939" s="4"/>
    </row>
    <row r="940">
      <c r="A940" s="4" t="str">
        <f>IFERROR(__xludf.DUMMYFUNCTION("""COMPUTED_VALUE"""),"DME2950")</f>
        <v>DME2950</v>
      </c>
      <c r="B940" s="4" t="str">
        <f>IFERROR(__xludf.DUMMYFUNCTION("""COMPUTED_VALUE"""),"Abhinandan Raju Jugale")</f>
        <v>Abhinandan Raju Jugale</v>
      </c>
      <c r="C940" s="4" t="str">
        <f>IFERROR(__xludf.DUMMYFUNCTION("""COMPUTED_VALUE"""),"abhinandan.Jugale@onixnet.com")</f>
        <v>abhinandan.Jugale@onixnet.com</v>
      </c>
      <c r="D940" s="4" t="str">
        <f>IFERROR(__xludf.DUMMYFUNCTION("""COMPUTED_VALUE"""),"Active")</f>
        <v>Active</v>
      </c>
      <c r="E940" s="4" t="str">
        <f>IFERROR(__xludf.DUMMYFUNCTION("""COMPUTED_VALUE"""),"Product Engineering")</f>
        <v>Product Engineering</v>
      </c>
      <c r="F940" s="4" t="str">
        <f>IFERROR(__xludf.DUMMYFUNCTION("""COMPUTED_VALUE"""),"Uday Hajare")</f>
        <v>Uday Hajare</v>
      </c>
      <c r="G940" s="4" t="str">
        <f>IFERROR(__xludf.DUMMYFUNCTION("""COMPUTED_VALUE"""),"Cluster - Mayur")</f>
        <v>Cluster - Mayur</v>
      </c>
      <c r="H940" s="4"/>
      <c r="I940" s="5"/>
      <c r="J940" s="4"/>
      <c r="K940" s="4" t="str">
        <f>IFERROR(__xludf.DUMMYFUNCTION("""COMPUTED_VALUE"""),"ID Not Created")</f>
        <v>ID Not Created</v>
      </c>
      <c r="L940" s="4"/>
    </row>
    <row r="941">
      <c r="A941" s="4" t="str">
        <f>IFERROR(__xludf.DUMMYFUNCTION("""COMPUTED_VALUE"""),"DME2951")</f>
        <v>DME2951</v>
      </c>
      <c r="B941" s="4" t="str">
        <f>IFERROR(__xludf.DUMMYFUNCTION("""COMPUTED_VALUE"""),"Tanaya Nitinkumar Narwade")</f>
        <v>Tanaya Nitinkumar Narwade</v>
      </c>
      <c r="C941" s="4" t="str">
        <f>IFERROR(__xludf.DUMMYFUNCTION("""COMPUTED_VALUE"""),"tanaya.Narawade@onixnet.com")</f>
        <v>tanaya.Narawade@onixnet.com</v>
      </c>
      <c r="D941" s="4" t="str">
        <f>IFERROR(__xludf.DUMMYFUNCTION("""COMPUTED_VALUE"""),"Active")</f>
        <v>Active</v>
      </c>
      <c r="E941" s="4" t="str">
        <f>IFERROR(__xludf.DUMMYFUNCTION("""COMPUTED_VALUE"""),"Product Engineering")</f>
        <v>Product Engineering</v>
      </c>
      <c r="F941" s="4" t="str">
        <f>IFERROR(__xludf.DUMMYFUNCTION("""COMPUTED_VALUE"""),"Rahul Panwar")</f>
        <v>Rahul Panwar</v>
      </c>
      <c r="G941" s="4" t="str">
        <f>IFERROR(__xludf.DUMMYFUNCTION("""COMPUTED_VALUE"""),"Cluster - Mayur")</f>
        <v>Cluster - Mayur</v>
      </c>
      <c r="H941" s="4" t="str">
        <f>IFERROR(__xludf.DUMMYFUNCTION("""COMPUTED_VALUE"""),"ONITNOPV1")</f>
        <v>ONITNOPV1</v>
      </c>
      <c r="I941" s="5">
        <f>IFERROR(__xludf.DUMMYFUNCTION("""COMPUTED_VALUE"""),25.0)</f>
        <v>25</v>
      </c>
      <c r="J941" s="4" t="str">
        <f>IFERROR(__xludf.DUMMYFUNCTION("""COMPUTED_VALUE"""),"Tier 3")</f>
        <v>Tier 3</v>
      </c>
      <c r="K941" s="4" t="str">
        <f>IFERROR(__xludf.DUMMYFUNCTION("""COMPUTED_VALUE"""),"Active")</f>
        <v>Active</v>
      </c>
      <c r="L941" s="4" t="str">
        <f>IFERROR(__xludf.DUMMYFUNCTION("""COMPUTED_VALUE"""),"AI Applications")</f>
        <v>AI Applications</v>
      </c>
    </row>
    <row r="942">
      <c r="A942" s="4" t="str">
        <f>IFERROR(__xludf.DUMMYFUNCTION("""COMPUTED_VALUE"""),"DME2984")</f>
        <v>DME2984</v>
      </c>
      <c r="B942" s="4" t="str">
        <f>IFERROR(__xludf.DUMMYFUNCTION("""COMPUTED_VALUE"""),"Anirudh Joshi")</f>
        <v>Anirudh Joshi</v>
      </c>
      <c r="C942" s="4" t="str">
        <f>IFERROR(__xludf.DUMMYFUNCTION("""COMPUTED_VALUE"""),"anirudh.joshi@onixnet.com")</f>
        <v>anirudh.joshi@onixnet.com</v>
      </c>
      <c r="D942" s="4" t="str">
        <f>IFERROR(__xludf.DUMMYFUNCTION("""COMPUTED_VALUE"""),"Active")</f>
        <v>Active</v>
      </c>
      <c r="E942" s="4" t="str">
        <f>IFERROR(__xludf.DUMMYFUNCTION("""COMPUTED_VALUE"""),"Product Engineering")</f>
        <v>Product Engineering</v>
      </c>
      <c r="F942" s="4" t="str">
        <f>IFERROR(__xludf.DUMMYFUNCTION("""COMPUTED_VALUE"""),"Ravi Kapoor")</f>
        <v>Ravi Kapoor</v>
      </c>
      <c r="G942" s="4" t="str">
        <f>IFERROR(__xludf.DUMMYFUNCTION("""COMPUTED_VALUE"""),"Cluster - Mayur")</f>
        <v>Cluster - Mayur</v>
      </c>
      <c r="H942" s="4" t="str">
        <f>IFERROR(__xludf.DUMMYFUNCTION("""COMPUTED_VALUE"""),"ONIAJRNF4")</f>
        <v>ONIAJRNF4</v>
      </c>
      <c r="I942" s="5">
        <f>IFERROR(__xludf.DUMMYFUNCTION("""COMPUTED_VALUE"""),0.0)</f>
        <v>0</v>
      </c>
      <c r="J942" s="4" t="str">
        <f>IFERROR(__xludf.DUMMYFUNCTION("""COMPUTED_VALUE"""),"Tier 4")</f>
        <v>Tier 4</v>
      </c>
      <c r="K942" s="4" t="str">
        <f>IFERROR(__xludf.DUMMYFUNCTION("""COMPUTED_VALUE"""),"ID Created DRP score 0")</f>
        <v>ID Created DRP score 0</v>
      </c>
      <c r="L942" s="4"/>
    </row>
    <row r="943">
      <c r="A943" s="4" t="str">
        <f>IFERROR(__xludf.DUMMYFUNCTION("""COMPUTED_VALUE"""),"DME2957")</f>
        <v>DME2957</v>
      </c>
      <c r="B943" s="4" t="str">
        <f>IFERROR(__xludf.DUMMYFUNCTION("""COMPUTED_VALUE"""),"Sonam Laxman Nikam")</f>
        <v>Sonam Laxman Nikam</v>
      </c>
      <c r="C943" s="4" t="str">
        <f>IFERROR(__xludf.DUMMYFUNCTION("""COMPUTED_VALUE"""),"sonam.nikam@onixnet.com")</f>
        <v>sonam.nikam@onixnet.com</v>
      </c>
      <c r="D943" s="4" t="str">
        <f>IFERROR(__xludf.DUMMYFUNCTION("""COMPUTED_VALUE"""),"Active")</f>
        <v>Active</v>
      </c>
      <c r="E943" s="4" t="str">
        <f>IFERROR(__xludf.DUMMYFUNCTION("""COMPUTED_VALUE"""),"Delivery Services")</f>
        <v>Delivery Services</v>
      </c>
      <c r="F943" s="4" t="str">
        <f>IFERROR(__xludf.DUMMYFUNCTION("""COMPUTED_VALUE"""),"Mayur Kasar")</f>
        <v>Mayur Kasar</v>
      </c>
      <c r="G943" s="4" t="str">
        <f>IFERROR(__xludf.DUMMYFUNCTION("""COMPUTED_VALUE"""),"Cluster - Varun")</f>
        <v>Cluster - Varun</v>
      </c>
      <c r="H943" s="4" t="str">
        <f>IFERROR(__xludf.DUMMYFUNCTION("""COMPUTED_VALUE"""),"ONISNLBY9")</f>
        <v>ONISNLBY9</v>
      </c>
      <c r="I943" s="5">
        <f>IFERROR(__xludf.DUMMYFUNCTION("""COMPUTED_VALUE"""),54.0)</f>
        <v>54</v>
      </c>
      <c r="J943" s="4" t="str">
        <f>IFERROR(__xludf.DUMMYFUNCTION("""COMPUTED_VALUE"""),"Tier 1")</f>
        <v>Tier 1</v>
      </c>
      <c r="K943" s="4" t="str">
        <f>IFERROR(__xludf.DUMMYFUNCTION("""COMPUTED_VALUE"""),"Active")</f>
        <v>Active</v>
      </c>
      <c r="L943" s="4" t="str">
        <f>IFERROR(__xludf.DUMMYFUNCTION("""COMPUTED_VALUE"""),"Gemini Enterprise")</f>
        <v>Gemini Enterprise</v>
      </c>
    </row>
    <row r="944">
      <c r="A944" s="4" t="str">
        <f>IFERROR(__xludf.DUMMYFUNCTION("""COMPUTED_VALUE"""),"DME2958")</f>
        <v>DME2958</v>
      </c>
      <c r="B944" s="4" t="str">
        <f>IFERROR(__xludf.DUMMYFUNCTION("""COMPUTED_VALUE"""),"Anjaneswar Maddala")</f>
        <v>Anjaneswar Maddala</v>
      </c>
      <c r="C944" s="4" t="str">
        <f>IFERROR(__xludf.DUMMYFUNCTION("""COMPUTED_VALUE"""),"anjaneswar.maddala@onixnet.com")</f>
        <v>anjaneswar.maddala@onixnet.com</v>
      </c>
      <c r="D944" s="4" t="str">
        <f>IFERROR(__xludf.DUMMYFUNCTION("""COMPUTED_VALUE"""),"Active")</f>
        <v>Active</v>
      </c>
      <c r="E944" s="4" t="str">
        <f>IFERROR(__xludf.DUMMYFUNCTION("""COMPUTED_VALUE"""),"Delivery Services")</f>
        <v>Delivery Services</v>
      </c>
      <c r="F944" s="4" t="str">
        <f>IFERROR(__xludf.DUMMYFUNCTION("""COMPUTED_VALUE"""),"Haroon Azeem")</f>
        <v>Haroon Azeem</v>
      </c>
      <c r="G944" s="4" t="str">
        <f>IFERROR(__xludf.DUMMYFUNCTION("""COMPUTED_VALUE"""),"Cluster - Shreepad")</f>
        <v>Cluster - Shreepad</v>
      </c>
      <c r="H944" s="4" t="str">
        <f>IFERROR(__xludf.DUMMYFUNCTION("""COMPUTED_VALUE"""),"ONIAMRBK3")</f>
        <v>ONIAMRBK3</v>
      </c>
      <c r="I944" s="5">
        <f>IFERROR(__xludf.DUMMYFUNCTION("""COMPUTED_VALUE"""),14.0)</f>
        <v>14</v>
      </c>
      <c r="J944" s="4" t="str">
        <f>IFERROR(__xludf.DUMMYFUNCTION("""COMPUTED_VALUE"""),"Tier 4")</f>
        <v>Tier 4</v>
      </c>
      <c r="K944" s="4" t="str">
        <f>IFERROR(__xludf.DUMMYFUNCTION("""COMPUTED_VALUE"""),"Active")</f>
        <v>Active</v>
      </c>
      <c r="L944" s="4" t="str">
        <f>IFERROR(__xludf.DUMMYFUNCTION("""COMPUTED_VALUE"""),"BigQuery")</f>
        <v>BigQuery</v>
      </c>
    </row>
    <row r="945">
      <c r="A945" s="4" t="str">
        <f>IFERROR(__xludf.DUMMYFUNCTION("""COMPUTED_VALUE"""),"DME2959")</f>
        <v>DME2959</v>
      </c>
      <c r="B945" s="4" t="str">
        <f>IFERROR(__xludf.DUMMYFUNCTION("""COMPUTED_VALUE"""),"Akshay Nandu Kotkar")</f>
        <v>Akshay Nandu Kotkar</v>
      </c>
      <c r="C945" s="4" t="str">
        <f>IFERROR(__xludf.DUMMYFUNCTION("""COMPUTED_VALUE"""),"akshay.kotkar@onixnet.com")</f>
        <v>akshay.kotkar@onixnet.com</v>
      </c>
      <c r="D945" s="4" t="str">
        <f>IFERROR(__xludf.DUMMYFUNCTION("""COMPUTED_VALUE"""),"Active")</f>
        <v>Active</v>
      </c>
      <c r="E945" s="4" t="str">
        <f>IFERROR(__xludf.DUMMYFUNCTION("""COMPUTED_VALUE"""),"Delivery Services")</f>
        <v>Delivery Services</v>
      </c>
      <c r="F945" s="4" t="str">
        <f>IFERROR(__xludf.DUMMYFUNCTION("""COMPUTED_VALUE"""),"Vishal Khare")</f>
        <v>Vishal Khare</v>
      </c>
      <c r="G945" s="4" t="str">
        <f>IFERROR(__xludf.DUMMYFUNCTION("""COMPUTED_VALUE"""),"Cluster - Sagar")</f>
        <v>Cluster - Sagar</v>
      </c>
      <c r="H945" s="4" t="str">
        <f>IFERROR(__xludf.DUMMYFUNCTION("""COMPUTED_VALUE"""),"ONIAKVXT0")</f>
        <v>ONIAKVXT0</v>
      </c>
      <c r="I945" s="5">
        <f>IFERROR(__xludf.DUMMYFUNCTION("""COMPUTED_VALUE"""),15.0)</f>
        <v>15</v>
      </c>
      <c r="J945" s="4" t="str">
        <f>IFERROR(__xludf.DUMMYFUNCTION("""COMPUTED_VALUE"""),"Tier 4")</f>
        <v>Tier 4</v>
      </c>
      <c r="K945" s="4" t="str">
        <f>IFERROR(__xludf.DUMMYFUNCTION("""COMPUTED_VALUE"""),"Active")</f>
        <v>Active</v>
      </c>
      <c r="L945" s="4" t="str">
        <f>IFERROR(__xludf.DUMMYFUNCTION("""COMPUTED_VALUE"""),"AI Applications")</f>
        <v>AI Applications</v>
      </c>
    </row>
    <row r="946">
      <c r="A946" s="4" t="str">
        <f>IFERROR(__xludf.DUMMYFUNCTION("""COMPUTED_VALUE"""),"DME2960")</f>
        <v>DME2960</v>
      </c>
      <c r="B946" s="4" t="str">
        <f>IFERROR(__xludf.DUMMYFUNCTION("""COMPUTED_VALUE"""),"Jayant Kasturia")</f>
        <v>Jayant Kasturia</v>
      </c>
      <c r="C946" s="4" t="str">
        <f>IFERROR(__xludf.DUMMYFUNCTION("""COMPUTED_VALUE"""),"jayant.kasturia@onixnet.com")</f>
        <v>jayant.kasturia@onixnet.com</v>
      </c>
      <c r="D946" s="4" t="str">
        <f>IFERROR(__xludf.DUMMYFUNCTION("""COMPUTED_VALUE"""),"Active")</f>
        <v>Active</v>
      </c>
      <c r="E946" s="4" t="str">
        <f>IFERROR(__xludf.DUMMYFUNCTION("""COMPUTED_VALUE"""),"Delivery Services")</f>
        <v>Delivery Services</v>
      </c>
      <c r="F946" s="4" t="str">
        <f>IFERROR(__xludf.DUMMYFUNCTION("""COMPUTED_VALUE"""),"Punam S Paliwal")</f>
        <v>Punam S Paliwal</v>
      </c>
      <c r="G946" s="4" t="str">
        <f>IFERROR(__xludf.DUMMYFUNCTION("""COMPUTED_VALUE"""),"Cluster - Sagar")</f>
        <v>Cluster - Sagar</v>
      </c>
      <c r="H946" s="4" t="str">
        <f>IFERROR(__xludf.DUMMYFUNCTION("""COMPUTED_VALUE"""),"ONIJKYFI2")</f>
        <v>ONIJKYFI2</v>
      </c>
      <c r="I946" s="5">
        <f>IFERROR(__xludf.DUMMYFUNCTION("""COMPUTED_VALUE"""),36.0)</f>
        <v>36</v>
      </c>
      <c r="J946" s="4" t="str">
        <f>IFERROR(__xludf.DUMMYFUNCTION("""COMPUTED_VALUE"""),"Tier 2")</f>
        <v>Tier 2</v>
      </c>
      <c r="K946" s="4" t="str">
        <f>IFERROR(__xludf.DUMMYFUNCTION("""COMPUTED_VALUE"""),"Active")</f>
        <v>Active</v>
      </c>
      <c r="L946" s="4" t="str">
        <f>IFERROR(__xludf.DUMMYFUNCTION("""COMPUTED_VALUE"""),"Gemini Enterprise Agent Platform")</f>
        <v>Gemini Enterprise Agent Platform</v>
      </c>
    </row>
    <row r="947">
      <c r="A947" s="4" t="str">
        <f>IFERROR(__xludf.DUMMYFUNCTION("""COMPUTED_VALUE"""),"DME2961")</f>
        <v>DME2961</v>
      </c>
      <c r="B947" s="4" t="str">
        <f>IFERROR(__xludf.DUMMYFUNCTION("""COMPUTED_VALUE"""),"Krushna Raosaheb Siraskar")</f>
        <v>Krushna Raosaheb Siraskar</v>
      </c>
      <c r="C947" s="4" t="str">
        <f>IFERROR(__xludf.DUMMYFUNCTION("""COMPUTED_VALUE"""),"krushna.siraskar@onixnet.com")</f>
        <v>krushna.siraskar@onixnet.com</v>
      </c>
      <c r="D947" s="4" t="str">
        <f>IFERROR(__xludf.DUMMYFUNCTION("""COMPUTED_VALUE"""),"Active")</f>
        <v>Active</v>
      </c>
      <c r="E947" s="4" t="str">
        <f>IFERROR(__xludf.DUMMYFUNCTION("""COMPUTED_VALUE"""),"Delivery Services")</f>
        <v>Delivery Services</v>
      </c>
      <c r="F947" s="4" t="str">
        <f>IFERROR(__xludf.DUMMYFUNCTION("""COMPUTED_VALUE"""),"Akash Morey")</f>
        <v>Akash Morey</v>
      </c>
      <c r="G947" s="4" t="str">
        <f>IFERROR(__xludf.DUMMYFUNCTION("""COMPUTED_VALUE"""),"Cluster - Sandeep")</f>
        <v>Cluster - Sandeep</v>
      </c>
      <c r="H947" s="4" t="str">
        <f>IFERROR(__xludf.DUMMYFUNCTION("""COMPUTED_VALUE"""),"ONIKSPYN0")</f>
        <v>ONIKSPYN0</v>
      </c>
      <c r="I947" s="5">
        <f>IFERROR(__xludf.DUMMYFUNCTION("""COMPUTED_VALUE"""),11.0)</f>
        <v>11</v>
      </c>
      <c r="J947" s="4" t="str">
        <f>IFERROR(__xludf.DUMMYFUNCTION("""COMPUTED_VALUE"""),"Tier 4")</f>
        <v>Tier 4</v>
      </c>
      <c r="K947" s="4" t="str">
        <f>IFERROR(__xludf.DUMMYFUNCTION("""COMPUTED_VALUE"""),"Active")</f>
        <v>Active</v>
      </c>
      <c r="L947" s="4" t="str">
        <f>IFERROR(__xludf.DUMMYFUNCTION("""COMPUTED_VALUE"""),"Google Kubernetes Engine")</f>
        <v>Google Kubernetes Engine</v>
      </c>
    </row>
    <row r="948">
      <c r="A948" s="4" t="str">
        <f>IFERROR(__xludf.DUMMYFUNCTION("""COMPUTED_VALUE"""),"DME2962")</f>
        <v>DME2962</v>
      </c>
      <c r="B948" s="4" t="str">
        <f>IFERROR(__xludf.DUMMYFUNCTION("""COMPUTED_VALUE"""),"Omkar Devidas Aher")</f>
        <v>Omkar Devidas Aher</v>
      </c>
      <c r="C948" s="4" t="str">
        <f>IFERROR(__xludf.DUMMYFUNCTION("""COMPUTED_VALUE"""),"omkar.aher@onixnet.com")</f>
        <v>omkar.aher@onixnet.com</v>
      </c>
      <c r="D948" s="4" t="str">
        <f>IFERROR(__xludf.DUMMYFUNCTION("""COMPUTED_VALUE"""),"Active")</f>
        <v>Active</v>
      </c>
      <c r="E948" s="4" t="str">
        <f>IFERROR(__xludf.DUMMYFUNCTION("""COMPUTED_VALUE"""),"Delivery Services")</f>
        <v>Delivery Services</v>
      </c>
      <c r="F948" s="4" t="str">
        <f>IFERROR(__xludf.DUMMYFUNCTION("""COMPUTED_VALUE"""),"Rahul Shelake")</f>
        <v>Rahul Shelake</v>
      </c>
      <c r="G948" s="4" t="str">
        <f>IFERROR(__xludf.DUMMYFUNCTION("""COMPUTED_VALUE"""),"Cluster - Sagar")</f>
        <v>Cluster - Sagar</v>
      </c>
      <c r="H948" s="4" t="str">
        <f>IFERROR(__xludf.DUMMYFUNCTION("""COMPUTED_VALUE"""),"ONIOATDK7")</f>
        <v>ONIOATDK7</v>
      </c>
      <c r="I948" s="5">
        <f>IFERROR(__xludf.DUMMYFUNCTION("""COMPUTED_VALUE"""),15.0)</f>
        <v>15</v>
      </c>
      <c r="J948" s="4" t="str">
        <f>IFERROR(__xludf.DUMMYFUNCTION("""COMPUTED_VALUE"""),"Tier 4")</f>
        <v>Tier 4</v>
      </c>
      <c r="K948" s="4" t="str">
        <f>IFERROR(__xludf.DUMMYFUNCTION("""COMPUTED_VALUE"""),"Active")</f>
        <v>Active</v>
      </c>
      <c r="L948" s="4" t="str">
        <f>IFERROR(__xludf.DUMMYFUNCTION("""COMPUTED_VALUE"""),"Gemini Enterprise Agent Platform")</f>
        <v>Gemini Enterprise Agent Platform</v>
      </c>
    </row>
    <row r="949">
      <c r="A949" s="4" t="str">
        <f>IFERROR(__xludf.DUMMYFUNCTION("""COMPUTED_VALUE"""),"DME2963")</f>
        <v>DME2963</v>
      </c>
      <c r="B949" s="4" t="str">
        <f>IFERROR(__xludf.DUMMYFUNCTION("""COMPUTED_VALUE"""),"Shreya Prakash Patil")</f>
        <v>Shreya Prakash Patil</v>
      </c>
      <c r="C949" s="4" t="str">
        <f>IFERROR(__xludf.DUMMYFUNCTION("""COMPUTED_VALUE"""),"shreya.patil@onixnet.com")</f>
        <v>shreya.patil@onixnet.com</v>
      </c>
      <c r="D949" s="4" t="str">
        <f>IFERROR(__xludf.DUMMYFUNCTION("""COMPUTED_VALUE"""),"Active")</f>
        <v>Active</v>
      </c>
      <c r="E949" s="4" t="str">
        <f>IFERROR(__xludf.DUMMYFUNCTION("""COMPUTED_VALUE"""),"Delivery Services")</f>
        <v>Delivery Services</v>
      </c>
      <c r="F949" s="4" t="str">
        <f>IFERROR(__xludf.DUMMYFUNCTION("""COMPUTED_VALUE"""),"Sushant Gadiwan")</f>
        <v>Sushant Gadiwan</v>
      </c>
      <c r="G949" s="4" t="str">
        <f>IFERROR(__xludf.DUMMYFUNCTION("""COMPUTED_VALUE"""),"Cluster - Sagar")</f>
        <v>Cluster - Sagar</v>
      </c>
      <c r="H949" s="4" t="str">
        <f>IFERROR(__xludf.DUMMYFUNCTION("""COMPUTED_VALUE"""),"ONISPOFE3")</f>
        <v>ONISPOFE3</v>
      </c>
      <c r="I949" s="5">
        <f>IFERROR(__xludf.DUMMYFUNCTION("""COMPUTED_VALUE"""),20.0)</f>
        <v>20</v>
      </c>
      <c r="J949" s="4" t="str">
        <f>IFERROR(__xludf.DUMMYFUNCTION("""COMPUTED_VALUE"""),"Tier 3")</f>
        <v>Tier 3</v>
      </c>
      <c r="K949" s="4" t="str">
        <f>IFERROR(__xludf.DUMMYFUNCTION("""COMPUTED_VALUE"""),"Active")</f>
        <v>Active</v>
      </c>
      <c r="L949" s="4" t="str">
        <f>IFERROR(__xludf.DUMMYFUNCTION("""COMPUTED_VALUE"""),"Gemini Enterprise Agent Platform")</f>
        <v>Gemini Enterprise Agent Platform</v>
      </c>
    </row>
    <row r="950">
      <c r="A950" s="4" t="str">
        <f>IFERROR(__xludf.DUMMYFUNCTION("""COMPUTED_VALUE"""),"DME2964")</f>
        <v>DME2964</v>
      </c>
      <c r="B950" s="4" t="str">
        <f>IFERROR(__xludf.DUMMYFUNCTION("""COMPUTED_VALUE"""),"Siddhesh Bhausaheb Kasar")</f>
        <v>Siddhesh Bhausaheb Kasar</v>
      </c>
      <c r="C950" s="4" t="str">
        <f>IFERROR(__xludf.DUMMYFUNCTION("""COMPUTED_VALUE"""),"siddhesh.kasar@onixnet.com")</f>
        <v>siddhesh.kasar@onixnet.com</v>
      </c>
      <c r="D950" s="4" t="str">
        <f>IFERROR(__xludf.DUMMYFUNCTION("""COMPUTED_VALUE"""),"Active")</f>
        <v>Active</v>
      </c>
      <c r="E950" s="4" t="str">
        <f>IFERROR(__xludf.DUMMYFUNCTION("""COMPUTED_VALUE"""),"Delivery Services")</f>
        <v>Delivery Services</v>
      </c>
      <c r="F950" s="4" t="str">
        <f>IFERROR(__xludf.DUMMYFUNCTION("""COMPUTED_VALUE"""),"Akash Morey")</f>
        <v>Akash Morey</v>
      </c>
      <c r="G950" s="4" t="str">
        <f>IFERROR(__xludf.DUMMYFUNCTION("""COMPUTED_VALUE"""),"Cluster - Sandeep")</f>
        <v>Cluster - Sandeep</v>
      </c>
      <c r="H950" s="4" t="str">
        <f>IFERROR(__xludf.DUMMYFUNCTION("""COMPUTED_VALUE"""),"ONISKNTB4")</f>
        <v>ONISKNTB4</v>
      </c>
      <c r="I950" s="5">
        <f>IFERROR(__xludf.DUMMYFUNCTION("""COMPUTED_VALUE"""),35.0)</f>
        <v>35</v>
      </c>
      <c r="J950" s="4" t="str">
        <f>IFERROR(__xludf.DUMMYFUNCTION("""COMPUTED_VALUE"""),"Tier 2")</f>
        <v>Tier 2</v>
      </c>
      <c r="K950" s="4" t="str">
        <f>IFERROR(__xludf.DUMMYFUNCTION("""COMPUTED_VALUE"""),"Active")</f>
        <v>Active</v>
      </c>
      <c r="L950" s="4" t="str">
        <f>IFERROR(__xludf.DUMMYFUNCTION("""COMPUTED_VALUE"""),"Gemini Enterprise Agent Platform")</f>
        <v>Gemini Enterprise Agent Platform</v>
      </c>
    </row>
    <row r="951">
      <c r="A951" s="4" t="str">
        <f>IFERROR(__xludf.DUMMYFUNCTION("""COMPUTED_VALUE"""),"DME2965")</f>
        <v>DME2965</v>
      </c>
      <c r="B951" s="4" t="str">
        <f>IFERROR(__xludf.DUMMYFUNCTION("""COMPUTED_VALUE"""),"Vaishnavi Dadasaheb Gundgire")</f>
        <v>Vaishnavi Dadasaheb Gundgire</v>
      </c>
      <c r="C951" s="4" t="str">
        <f>IFERROR(__xludf.DUMMYFUNCTION("""COMPUTED_VALUE"""),"vaishnavi.gundgire@onixnet.com")</f>
        <v>vaishnavi.gundgire@onixnet.com</v>
      </c>
      <c r="D951" s="4" t="str">
        <f>IFERROR(__xludf.DUMMYFUNCTION("""COMPUTED_VALUE"""),"Active")</f>
        <v>Active</v>
      </c>
      <c r="E951" s="4" t="str">
        <f>IFERROR(__xludf.DUMMYFUNCTION("""COMPUTED_VALUE"""),"Delivery Services")</f>
        <v>Delivery Services</v>
      </c>
      <c r="F951" s="4" t="str">
        <f>IFERROR(__xludf.DUMMYFUNCTION("""COMPUTED_VALUE"""),"Punam S Paliwal")</f>
        <v>Punam S Paliwal</v>
      </c>
      <c r="G951" s="4" t="str">
        <f>IFERROR(__xludf.DUMMYFUNCTION("""COMPUTED_VALUE"""),"Cluster - Sagar")</f>
        <v>Cluster - Sagar</v>
      </c>
      <c r="H951" s="4" t="str">
        <f>IFERROR(__xludf.DUMMYFUNCTION("""COMPUTED_VALUE"""),"ONIVGZPY0")</f>
        <v>ONIVGZPY0</v>
      </c>
      <c r="I951" s="5">
        <f>IFERROR(__xludf.DUMMYFUNCTION("""COMPUTED_VALUE"""),46.0)</f>
        <v>46</v>
      </c>
      <c r="J951" s="4" t="str">
        <f>IFERROR(__xludf.DUMMYFUNCTION("""COMPUTED_VALUE"""),"Tier 2")</f>
        <v>Tier 2</v>
      </c>
      <c r="K951" s="4" t="str">
        <f>IFERROR(__xludf.DUMMYFUNCTION("""COMPUTED_VALUE"""),"Active")</f>
        <v>Active</v>
      </c>
      <c r="L951" s="4" t="str">
        <f>IFERROR(__xludf.DUMMYFUNCTION("""COMPUTED_VALUE"""),"Gemini Enterprise Agent Platform")</f>
        <v>Gemini Enterprise Agent Platform</v>
      </c>
    </row>
    <row r="952">
      <c r="A952" s="4" t="str">
        <f>IFERROR(__xludf.DUMMYFUNCTION("""COMPUTED_VALUE"""),"DME2966")</f>
        <v>DME2966</v>
      </c>
      <c r="B952" s="4" t="str">
        <f>IFERROR(__xludf.DUMMYFUNCTION("""COMPUTED_VALUE"""),"Akash Rajesh Sarulkar")</f>
        <v>Akash Rajesh Sarulkar</v>
      </c>
      <c r="C952" s="4" t="str">
        <f>IFERROR(__xludf.DUMMYFUNCTION("""COMPUTED_VALUE"""),"akash.sarulkar@onixnet.com")</f>
        <v>akash.sarulkar@onixnet.com</v>
      </c>
      <c r="D952" s="4" t="str">
        <f>IFERROR(__xludf.DUMMYFUNCTION("""COMPUTED_VALUE"""),"Active")</f>
        <v>Active</v>
      </c>
      <c r="E952" s="4" t="str">
        <f>IFERROR(__xludf.DUMMYFUNCTION("""COMPUTED_VALUE"""),"Delivery Services")</f>
        <v>Delivery Services</v>
      </c>
      <c r="F952" s="4" t="str">
        <f>IFERROR(__xludf.DUMMYFUNCTION("""COMPUTED_VALUE"""),"Sushant Gadiwan")</f>
        <v>Sushant Gadiwan</v>
      </c>
      <c r="G952" s="4" t="str">
        <f>IFERROR(__xludf.DUMMYFUNCTION("""COMPUTED_VALUE"""),"Cluster - Sagar")</f>
        <v>Cluster - Sagar</v>
      </c>
      <c r="H952" s="4" t="str">
        <f>IFERROR(__xludf.DUMMYFUNCTION("""COMPUTED_VALUE"""),"ONIASANM2")</f>
        <v>ONIASANM2</v>
      </c>
      <c r="I952" s="5">
        <f>IFERROR(__xludf.DUMMYFUNCTION("""COMPUTED_VALUE"""),25.0)</f>
        <v>25</v>
      </c>
      <c r="J952" s="4" t="str">
        <f>IFERROR(__xludf.DUMMYFUNCTION("""COMPUTED_VALUE"""),"Tier 3")</f>
        <v>Tier 3</v>
      </c>
      <c r="K952" s="4" t="str">
        <f>IFERROR(__xludf.DUMMYFUNCTION("""COMPUTED_VALUE"""),"Active")</f>
        <v>Active</v>
      </c>
      <c r="L952" s="4" t="str">
        <f>IFERROR(__xludf.DUMMYFUNCTION("""COMPUTED_VALUE"""),"Gemini Enterprise Agent Platform")</f>
        <v>Gemini Enterprise Agent Platform</v>
      </c>
    </row>
    <row r="953">
      <c r="A953" s="4" t="str">
        <f>IFERROR(__xludf.DUMMYFUNCTION("""COMPUTED_VALUE"""),"DME2967")</f>
        <v>DME2967</v>
      </c>
      <c r="B953" s="4" t="str">
        <f>IFERROR(__xludf.DUMMYFUNCTION("""COMPUTED_VALUE"""),"Dipti Ramesh Panchal")</f>
        <v>Dipti Ramesh Panchal</v>
      </c>
      <c r="C953" s="4" t="str">
        <f>IFERROR(__xludf.DUMMYFUNCTION("""COMPUTED_VALUE"""),"dipti.panchal@onixnet.com")</f>
        <v>dipti.panchal@onixnet.com</v>
      </c>
      <c r="D953" s="4" t="str">
        <f>IFERROR(__xludf.DUMMYFUNCTION("""COMPUTED_VALUE"""),"Active")</f>
        <v>Active</v>
      </c>
      <c r="E953" s="4" t="str">
        <f>IFERROR(__xludf.DUMMYFUNCTION("""COMPUTED_VALUE"""),"Delivery Services")</f>
        <v>Delivery Services</v>
      </c>
      <c r="F953" s="4" t="str">
        <f>IFERROR(__xludf.DUMMYFUNCTION("""COMPUTED_VALUE"""),"Pritesh Chaudhari")</f>
        <v>Pritesh Chaudhari</v>
      </c>
      <c r="G953" s="4" t="str">
        <f>IFERROR(__xludf.DUMMYFUNCTION("""COMPUTED_VALUE"""),"Cluster - Sagar")</f>
        <v>Cluster - Sagar</v>
      </c>
      <c r="H953" s="4" t="str">
        <f>IFERROR(__xludf.DUMMYFUNCTION("""COMPUTED_VALUE"""),"ONIDPXNQ4")</f>
        <v>ONIDPXNQ4</v>
      </c>
      <c r="I953" s="5">
        <f>IFERROR(__xludf.DUMMYFUNCTION("""COMPUTED_VALUE"""),5.0)</f>
        <v>5</v>
      </c>
      <c r="J953" s="4" t="str">
        <f>IFERROR(__xludf.DUMMYFUNCTION("""COMPUTED_VALUE"""),"Tier 4")</f>
        <v>Tier 4</v>
      </c>
      <c r="K953" s="4" t="str">
        <f>IFERROR(__xludf.DUMMYFUNCTION("""COMPUTED_VALUE"""),"Active")</f>
        <v>Active</v>
      </c>
      <c r="L953" s="4" t="str">
        <f>IFERROR(__xludf.DUMMYFUNCTION("""COMPUTED_VALUE"""),"Gemini Enterprise Agent Platform")</f>
        <v>Gemini Enterprise Agent Platform</v>
      </c>
    </row>
    <row r="954">
      <c r="A954" s="4" t="str">
        <f>IFERROR(__xludf.DUMMYFUNCTION("""COMPUTED_VALUE"""),"DME2968")</f>
        <v>DME2968</v>
      </c>
      <c r="B954" s="4" t="str">
        <f>IFERROR(__xludf.DUMMYFUNCTION("""COMPUTED_VALUE"""),"Mayank Mahesh Salakke")</f>
        <v>Mayank Mahesh Salakke</v>
      </c>
      <c r="C954" s="4" t="str">
        <f>IFERROR(__xludf.DUMMYFUNCTION("""COMPUTED_VALUE"""),"mayank.salakke@onixnet.com")</f>
        <v>mayank.salakke@onixnet.com</v>
      </c>
      <c r="D954" s="4" t="str">
        <f>IFERROR(__xludf.DUMMYFUNCTION("""COMPUTED_VALUE"""),"Active")</f>
        <v>Active</v>
      </c>
      <c r="E954" s="4" t="str">
        <f>IFERROR(__xludf.DUMMYFUNCTION("""COMPUTED_VALUE"""),"Delivery Services")</f>
        <v>Delivery Services</v>
      </c>
      <c r="F954" s="4" t="str">
        <f>IFERROR(__xludf.DUMMYFUNCTION("""COMPUTED_VALUE"""),"Rahul Shelake")</f>
        <v>Rahul Shelake</v>
      </c>
      <c r="G954" s="4" t="str">
        <f>IFERROR(__xludf.DUMMYFUNCTION("""COMPUTED_VALUE"""),"Cluster - Sagar")</f>
        <v>Cluster - Sagar</v>
      </c>
      <c r="H954" s="4" t="str">
        <f>IFERROR(__xludf.DUMMYFUNCTION("""COMPUTED_VALUE"""),"ONIMSLAF5")</f>
        <v>ONIMSLAF5</v>
      </c>
      <c r="I954" s="5">
        <f>IFERROR(__xludf.DUMMYFUNCTION("""COMPUTED_VALUE"""),10.0)</f>
        <v>10</v>
      </c>
      <c r="J954" s="4" t="str">
        <f>IFERROR(__xludf.DUMMYFUNCTION("""COMPUTED_VALUE"""),"Tier 4")</f>
        <v>Tier 4</v>
      </c>
      <c r="K954" s="4" t="str">
        <f>IFERROR(__xludf.DUMMYFUNCTION("""COMPUTED_VALUE"""),"Active")</f>
        <v>Active</v>
      </c>
      <c r="L954" s="4" t="str">
        <f>IFERROR(__xludf.DUMMYFUNCTION("""COMPUTED_VALUE"""),"Gemini Enterprise Agent Platform")</f>
        <v>Gemini Enterprise Agent Platform</v>
      </c>
    </row>
    <row r="955">
      <c r="A955" s="4" t="str">
        <f>IFERROR(__xludf.DUMMYFUNCTION("""COMPUTED_VALUE"""),"DME2969")</f>
        <v>DME2969</v>
      </c>
      <c r="B955" s="4" t="str">
        <f>IFERROR(__xludf.DUMMYFUNCTION("""COMPUTED_VALUE"""),"Prasad Pradip Wandhekar")</f>
        <v>Prasad Pradip Wandhekar</v>
      </c>
      <c r="C955" s="4" t="str">
        <f>IFERROR(__xludf.DUMMYFUNCTION("""COMPUTED_VALUE"""),"prasad.wandhekar@onixnet.com")</f>
        <v>prasad.wandhekar@onixnet.com</v>
      </c>
      <c r="D955" s="4" t="str">
        <f>IFERROR(__xludf.DUMMYFUNCTION("""COMPUTED_VALUE"""),"Active")</f>
        <v>Active</v>
      </c>
      <c r="E955" s="4" t="str">
        <f>IFERROR(__xludf.DUMMYFUNCTION("""COMPUTED_VALUE"""),"Delivery Services")</f>
        <v>Delivery Services</v>
      </c>
      <c r="F955" s="4" t="str">
        <f>IFERROR(__xludf.DUMMYFUNCTION("""COMPUTED_VALUE"""),"Vishal Khare")</f>
        <v>Vishal Khare</v>
      </c>
      <c r="G955" s="4" t="str">
        <f>IFERROR(__xludf.DUMMYFUNCTION("""COMPUTED_VALUE"""),"Cluster - Sagar")</f>
        <v>Cluster - Sagar</v>
      </c>
      <c r="H955" s="4" t="str">
        <f>IFERROR(__xludf.DUMMYFUNCTION("""COMPUTED_VALUE"""),"ONIPWBDL9")</f>
        <v>ONIPWBDL9</v>
      </c>
      <c r="I955" s="5">
        <f>IFERROR(__xludf.DUMMYFUNCTION("""COMPUTED_VALUE"""),15.0)</f>
        <v>15</v>
      </c>
      <c r="J955" s="4" t="str">
        <f>IFERROR(__xludf.DUMMYFUNCTION("""COMPUTED_VALUE"""),"Tier 4")</f>
        <v>Tier 4</v>
      </c>
      <c r="K955" s="4" t="str">
        <f>IFERROR(__xludf.DUMMYFUNCTION("""COMPUTED_VALUE"""),"Active")</f>
        <v>Active</v>
      </c>
      <c r="L955" s="4" t="str">
        <f>IFERROR(__xludf.DUMMYFUNCTION("""COMPUTED_VALUE"""),"Gemini Enterprise Agent Platform")</f>
        <v>Gemini Enterprise Agent Platform</v>
      </c>
    </row>
    <row r="956">
      <c r="A956" s="4" t="str">
        <f>IFERROR(__xludf.DUMMYFUNCTION("""COMPUTED_VALUE"""),"DME2970")</f>
        <v>DME2970</v>
      </c>
      <c r="B956" s="4" t="str">
        <f>IFERROR(__xludf.DUMMYFUNCTION("""COMPUTED_VALUE"""),"Saidutt Rajdeep Bhagat")</f>
        <v>Saidutt Rajdeep Bhagat</v>
      </c>
      <c r="C956" s="4" t="str">
        <f>IFERROR(__xludf.DUMMYFUNCTION("""COMPUTED_VALUE"""),"saidutt.bhagat@onixnet.com")</f>
        <v>saidutt.bhagat@onixnet.com</v>
      </c>
      <c r="D956" s="4" t="str">
        <f>IFERROR(__xludf.DUMMYFUNCTION("""COMPUTED_VALUE"""),"Active")</f>
        <v>Active</v>
      </c>
      <c r="E956" s="4" t="str">
        <f>IFERROR(__xludf.DUMMYFUNCTION("""COMPUTED_VALUE"""),"Delivery Services")</f>
        <v>Delivery Services</v>
      </c>
      <c r="F956" s="4" t="str">
        <f>IFERROR(__xludf.DUMMYFUNCTION("""COMPUTED_VALUE"""),"Laxmi Ambadas Gaddam")</f>
        <v>Laxmi Ambadas Gaddam</v>
      </c>
      <c r="G956" s="4" t="str">
        <f>IFERROR(__xludf.DUMMYFUNCTION("""COMPUTED_VALUE"""),"Cluster - Sagar")</f>
        <v>Cluster - Sagar</v>
      </c>
      <c r="H956" s="4" t="str">
        <f>IFERROR(__xludf.DUMMYFUNCTION("""COMPUTED_VALUE"""),"ONISBFDZ6")</f>
        <v>ONISBFDZ6</v>
      </c>
      <c r="I956" s="5">
        <f>IFERROR(__xludf.DUMMYFUNCTION("""COMPUTED_VALUE"""),30.0)</f>
        <v>30</v>
      </c>
      <c r="J956" s="4" t="str">
        <f>IFERROR(__xludf.DUMMYFUNCTION("""COMPUTED_VALUE"""),"Tier 3")</f>
        <v>Tier 3</v>
      </c>
      <c r="K956" s="4" t="str">
        <f>IFERROR(__xludf.DUMMYFUNCTION("""COMPUTED_VALUE"""),"Active")</f>
        <v>Active</v>
      </c>
      <c r="L956" s="4" t="str">
        <f>IFERROR(__xludf.DUMMYFUNCTION("""COMPUTED_VALUE"""),"Gemini Enterprise Agent Platform")</f>
        <v>Gemini Enterprise Agent Platform</v>
      </c>
    </row>
    <row r="957">
      <c r="A957" s="4" t="str">
        <f>IFERROR(__xludf.DUMMYFUNCTION("""COMPUTED_VALUE"""),"DME2971")</f>
        <v>DME2971</v>
      </c>
      <c r="B957" s="4" t="str">
        <f>IFERROR(__xludf.DUMMYFUNCTION("""COMPUTED_VALUE"""),"Prathamesh Ramesh Salunkhe")</f>
        <v>Prathamesh Ramesh Salunkhe</v>
      </c>
      <c r="C957" s="4" t="str">
        <f>IFERROR(__xludf.DUMMYFUNCTION("""COMPUTED_VALUE"""),"prathamesh.salunkhe@onixnet.com")</f>
        <v>prathamesh.salunkhe@onixnet.com</v>
      </c>
      <c r="D957" s="4" t="str">
        <f>IFERROR(__xludf.DUMMYFUNCTION("""COMPUTED_VALUE"""),"Active")</f>
        <v>Active</v>
      </c>
      <c r="E957" s="4" t="str">
        <f>IFERROR(__xludf.DUMMYFUNCTION("""COMPUTED_VALUE"""),"Delivery Services")</f>
        <v>Delivery Services</v>
      </c>
      <c r="F957" s="4" t="str">
        <f>IFERROR(__xludf.DUMMYFUNCTION("""COMPUTED_VALUE"""),"Dhananjay Pise")</f>
        <v>Dhananjay Pise</v>
      </c>
      <c r="G957" s="4" t="str">
        <f>IFERROR(__xludf.DUMMYFUNCTION("""COMPUTED_VALUE"""),"Cluster - Sachin")</f>
        <v>Cluster - Sachin</v>
      </c>
      <c r="H957" s="4" t="str">
        <f>IFERROR(__xludf.DUMMYFUNCTION("""COMPUTED_VALUE"""),"ONIPSDLV3")</f>
        <v>ONIPSDLV3</v>
      </c>
      <c r="I957" s="5">
        <f>IFERROR(__xludf.DUMMYFUNCTION("""COMPUTED_VALUE"""),35.0)</f>
        <v>35</v>
      </c>
      <c r="J957" s="4" t="str">
        <f>IFERROR(__xludf.DUMMYFUNCTION("""COMPUTED_VALUE"""),"Tier 2")</f>
        <v>Tier 2</v>
      </c>
      <c r="K957" s="4" t="str">
        <f>IFERROR(__xludf.DUMMYFUNCTION("""COMPUTED_VALUE"""),"Active")</f>
        <v>Active</v>
      </c>
      <c r="L957" s="4" t="str">
        <f>IFERROR(__xludf.DUMMYFUNCTION("""COMPUTED_VALUE"""),"Gemini Enterprise Agent Platform")</f>
        <v>Gemini Enterprise Agent Platform</v>
      </c>
    </row>
    <row r="958">
      <c r="A958" s="4" t="str">
        <f>IFERROR(__xludf.DUMMYFUNCTION("""COMPUTED_VALUE"""),"DME2972")</f>
        <v>DME2972</v>
      </c>
      <c r="B958" s="4" t="str">
        <f>IFERROR(__xludf.DUMMYFUNCTION("""COMPUTED_VALUE"""),"Yash Mukund Pande")</f>
        <v>Yash Mukund Pande</v>
      </c>
      <c r="C958" s="4" t="str">
        <f>IFERROR(__xludf.DUMMYFUNCTION("""COMPUTED_VALUE"""),"yash.pande@onixnet.com")</f>
        <v>yash.pande@onixnet.com</v>
      </c>
      <c r="D958" s="4" t="str">
        <f>IFERROR(__xludf.DUMMYFUNCTION("""COMPUTED_VALUE"""),"Active")</f>
        <v>Active</v>
      </c>
      <c r="E958" s="4" t="str">
        <f>IFERROR(__xludf.DUMMYFUNCTION("""COMPUTED_VALUE"""),"Delivery Services")</f>
        <v>Delivery Services</v>
      </c>
      <c r="F958" s="4" t="str">
        <f>IFERROR(__xludf.DUMMYFUNCTION("""COMPUTED_VALUE"""),"Aarti Borhade")</f>
        <v>Aarti Borhade</v>
      </c>
      <c r="G958" s="4" t="str">
        <f>IFERROR(__xludf.DUMMYFUNCTION("""COMPUTED_VALUE"""),"Cluster - Sagar")</f>
        <v>Cluster - Sagar</v>
      </c>
      <c r="H958" s="4" t="str">
        <f>IFERROR(__xludf.DUMMYFUNCTION("""COMPUTED_VALUE"""),"ONIYPVTX8")</f>
        <v>ONIYPVTX8</v>
      </c>
      <c r="I958" s="5">
        <f>IFERROR(__xludf.DUMMYFUNCTION("""COMPUTED_VALUE"""),10.0)</f>
        <v>10</v>
      </c>
      <c r="J958" s="4" t="str">
        <f>IFERROR(__xludf.DUMMYFUNCTION("""COMPUTED_VALUE"""),"Tier 4")</f>
        <v>Tier 4</v>
      </c>
      <c r="K958" s="4" t="str">
        <f>IFERROR(__xludf.DUMMYFUNCTION("""COMPUTED_VALUE"""),"Active")</f>
        <v>Active</v>
      </c>
      <c r="L958" s="4" t="str">
        <f>IFERROR(__xludf.DUMMYFUNCTION("""COMPUTED_VALUE"""),"Gemini Enterprise Agent Platform")</f>
        <v>Gemini Enterprise Agent Platform</v>
      </c>
    </row>
    <row r="959">
      <c r="A959" s="4" t="str">
        <f>IFERROR(__xludf.DUMMYFUNCTION("""COMPUTED_VALUE"""),"DME2973")</f>
        <v>DME2973</v>
      </c>
      <c r="B959" s="4" t="str">
        <f>IFERROR(__xludf.DUMMYFUNCTION("""COMPUTED_VALUE"""),"Aditya Narayan Pathak")</f>
        <v>Aditya Narayan Pathak</v>
      </c>
      <c r="C959" s="4" t="str">
        <f>IFERROR(__xludf.DUMMYFUNCTION("""COMPUTED_VALUE"""),"aditya.pathak@onixnet.com")</f>
        <v>aditya.pathak@onixnet.com</v>
      </c>
      <c r="D959" s="4" t="str">
        <f>IFERROR(__xludf.DUMMYFUNCTION("""COMPUTED_VALUE"""),"Active")</f>
        <v>Active</v>
      </c>
      <c r="E959" s="4" t="str">
        <f>IFERROR(__xludf.DUMMYFUNCTION("""COMPUTED_VALUE"""),"Delivery Services")</f>
        <v>Delivery Services</v>
      </c>
      <c r="F959" s="4" t="str">
        <f>IFERROR(__xludf.DUMMYFUNCTION("""COMPUTED_VALUE"""),"Anuj Chopra")</f>
        <v>Anuj Chopra</v>
      </c>
      <c r="G959" s="4" t="str">
        <f>IFERROR(__xludf.DUMMYFUNCTION("""COMPUTED_VALUE"""),"Cluster - Sagar")</f>
        <v>Cluster - Sagar</v>
      </c>
      <c r="H959" s="4" t="str">
        <f>IFERROR(__xludf.DUMMYFUNCTION("""COMPUTED_VALUE"""),"ONIAPUCJ1")</f>
        <v>ONIAPUCJ1</v>
      </c>
      <c r="I959" s="5">
        <f>IFERROR(__xludf.DUMMYFUNCTION("""COMPUTED_VALUE"""),15.0)</f>
        <v>15</v>
      </c>
      <c r="J959" s="4" t="str">
        <f>IFERROR(__xludf.DUMMYFUNCTION("""COMPUTED_VALUE"""),"Tier 4")</f>
        <v>Tier 4</v>
      </c>
      <c r="K959" s="4" t="str">
        <f>IFERROR(__xludf.DUMMYFUNCTION("""COMPUTED_VALUE"""),"Active")</f>
        <v>Active</v>
      </c>
      <c r="L959" s="4" t="str">
        <f>IFERROR(__xludf.DUMMYFUNCTION("""COMPUTED_VALUE"""),"AI Applications")</f>
        <v>AI Applications</v>
      </c>
    </row>
    <row r="960">
      <c r="A960" s="4" t="str">
        <f>IFERROR(__xludf.DUMMYFUNCTION("""COMPUTED_VALUE"""),"DME2974")</f>
        <v>DME2974</v>
      </c>
      <c r="B960" s="4" t="str">
        <f>IFERROR(__xludf.DUMMYFUNCTION("""COMPUTED_VALUE"""),"Rohan Namdev Hardade")</f>
        <v>Rohan Namdev Hardade</v>
      </c>
      <c r="C960" s="4" t="str">
        <f>IFERROR(__xludf.DUMMYFUNCTION("""COMPUTED_VALUE"""),"rohan.hardade@onixnet.com")</f>
        <v>rohan.hardade@onixnet.com</v>
      </c>
      <c r="D960" s="4" t="str">
        <f>IFERROR(__xludf.DUMMYFUNCTION("""COMPUTED_VALUE"""),"Active")</f>
        <v>Active</v>
      </c>
      <c r="E960" s="4" t="str">
        <f>IFERROR(__xludf.DUMMYFUNCTION("""COMPUTED_VALUE"""),"Delivery Services")</f>
        <v>Delivery Services</v>
      </c>
      <c r="F960" s="4" t="str">
        <f>IFERROR(__xludf.DUMMYFUNCTION("""COMPUTED_VALUE"""),"Priyanka Jain")</f>
        <v>Priyanka Jain</v>
      </c>
      <c r="G960" s="4" t="str">
        <f>IFERROR(__xludf.DUMMYFUNCTION("""COMPUTED_VALUE"""),"Cluster - Sagar")</f>
        <v>Cluster - Sagar</v>
      </c>
      <c r="H960" s="4" t="str">
        <f>IFERROR(__xludf.DUMMYFUNCTION("""COMPUTED_VALUE"""),"ONIRHZSJ8")</f>
        <v>ONIRHZSJ8</v>
      </c>
      <c r="I960" s="5">
        <f>IFERROR(__xludf.DUMMYFUNCTION("""COMPUTED_VALUE"""),25.0)</f>
        <v>25</v>
      </c>
      <c r="J960" s="4" t="str">
        <f>IFERROR(__xludf.DUMMYFUNCTION("""COMPUTED_VALUE"""),"Tier 3")</f>
        <v>Tier 3</v>
      </c>
      <c r="K960" s="4" t="str">
        <f>IFERROR(__xludf.DUMMYFUNCTION("""COMPUTED_VALUE"""),"Active")</f>
        <v>Active</v>
      </c>
      <c r="L960" s="4" t="str">
        <f>IFERROR(__xludf.DUMMYFUNCTION("""COMPUTED_VALUE"""),"Gemini Enterprise Agent Platform")</f>
        <v>Gemini Enterprise Agent Platform</v>
      </c>
    </row>
    <row r="961">
      <c r="A961" s="4" t="str">
        <f>IFERROR(__xludf.DUMMYFUNCTION("""COMPUTED_VALUE"""),"DME2975")</f>
        <v>DME2975</v>
      </c>
      <c r="B961" s="4" t="str">
        <f>IFERROR(__xludf.DUMMYFUNCTION("""COMPUTED_VALUE"""),"Khushi Munot")</f>
        <v>Khushi Munot</v>
      </c>
      <c r="C961" s="4" t="str">
        <f>IFERROR(__xludf.DUMMYFUNCTION("""COMPUTED_VALUE"""),"khushi.munot@onixnet.com")</f>
        <v>khushi.munot@onixnet.com</v>
      </c>
      <c r="D961" s="4" t="str">
        <f>IFERROR(__xludf.DUMMYFUNCTION("""COMPUTED_VALUE"""),"Active")</f>
        <v>Active</v>
      </c>
      <c r="E961" s="4" t="str">
        <f>IFERROR(__xludf.DUMMYFUNCTION("""COMPUTED_VALUE"""),"Delivery Services")</f>
        <v>Delivery Services</v>
      </c>
      <c r="F961" s="4" t="str">
        <f>IFERROR(__xludf.DUMMYFUNCTION("""COMPUTED_VALUE"""),"Rahul Shelake")</f>
        <v>Rahul Shelake</v>
      </c>
      <c r="G961" s="4" t="str">
        <f>IFERROR(__xludf.DUMMYFUNCTION("""COMPUTED_VALUE"""),"Cluster - Sagar")</f>
        <v>Cluster - Sagar</v>
      </c>
      <c r="H961" s="4" t="str">
        <f>IFERROR(__xludf.DUMMYFUNCTION("""COMPUTED_VALUE"""),"ONIKMBQS6")</f>
        <v>ONIKMBQS6</v>
      </c>
      <c r="I961" s="5">
        <f>IFERROR(__xludf.DUMMYFUNCTION("""COMPUTED_VALUE"""),5.0)</f>
        <v>5</v>
      </c>
      <c r="J961" s="4" t="str">
        <f>IFERROR(__xludf.DUMMYFUNCTION("""COMPUTED_VALUE"""),"Tier 4")</f>
        <v>Tier 4</v>
      </c>
      <c r="K961" s="4" t="str">
        <f>IFERROR(__xludf.DUMMYFUNCTION("""COMPUTED_VALUE"""),"Active")</f>
        <v>Active</v>
      </c>
      <c r="L961" s="4" t="str">
        <f>IFERROR(__xludf.DUMMYFUNCTION("""COMPUTED_VALUE"""),"AI Applications")</f>
        <v>AI Applications</v>
      </c>
    </row>
    <row r="962">
      <c r="A962" s="4" t="str">
        <f>IFERROR(__xludf.DUMMYFUNCTION("""COMPUTED_VALUE"""),"DME2976")</f>
        <v>DME2976</v>
      </c>
      <c r="B962" s="4" t="str">
        <f>IFERROR(__xludf.DUMMYFUNCTION("""COMPUTED_VALUE"""),"Shatakshi Pratin Nawale")</f>
        <v>Shatakshi Pratin Nawale</v>
      </c>
      <c r="C962" s="4" t="str">
        <f>IFERROR(__xludf.DUMMYFUNCTION("""COMPUTED_VALUE"""),"shatakshi.nawale@onixnet.com")</f>
        <v>shatakshi.nawale@onixnet.com</v>
      </c>
      <c r="D962" s="4" t="str">
        <f>IFERROR(__xludf.DUMMYFUNCTION("""COMPUTED_VALUE"""),"Active")</f>
        <v>Active</v>
      </c>
      <c r="E962" s="4" t="str">
        <f>IFERROR(__xludf.DUMMYFUNCTION("""COMPUTED_VALUE"""),"Delivery Services")</f>
        <v>Delivery Services</v>
      </c>
      <c r="F962" s="4" t="str">
        <f>IFERROR(__xludf.DUMMYFUNCTION("""COMPUTED_VALUE"""),"Aarti Borhade")</f>
        <v>Aarti Borhade</v>
      </c>
      <c r="G962" s="4" t="str">
        <f>IFERROR(__xludf.DUMMYFUNCTION("""COMPUTED_VALUE"""),"Cluster - Sagar")</f>
        <v>Cluster - Sagar</v>
      </c>
      <c r="H962" s="4" t="str">
        <f>IFERROR(__xludf.DUMMYFUNCTION("""COMPUTED_VALUE"""),"ONISNNUX7")</f>
        <v>ONISNNUX7</v>
      </c>
      <c r="I962" s="5">
        <f>IFERROR(__xludf.DUMMYFUNCTION("""COMPUTED_VALUE"""),15.0)</f>
        <v>15</v>
      </c>
      <c r="J962" s="4" t="str">
        <f>IFERROR(__xludf.DUMMYFUNCTION("""COMPUTED_VALUE"""),"Tier 4")</f>
        <v>Tier 4</v>
      </c>
      <c r="K962" s="4" t="str">
        <f>IFERROR(__xludf.DUMMYFUNCTION("""COMPUTED_VALUE"""),"Active")</f>
        <v>Active</v>
      </c>
      <c r="L962" s="4" t="str">
        <f>IFERROR(__xludf.DUMMYFUNCTION("""COMPUTED_VALUE"""),"AI Applications")</f>
        <v>AI Applications</v>
      </c>
    </row>
    <row r="963">
      <c r="A963" s="4" t="str">
        <f>IFERROR(__xludf.DUMMYFUNCTION("""COMPUTED_VALUE"""),"DME2977")</f>
        <v>DME2977</v>
      </c>
      <c r="B963" s="4" t="str">
        <f>IFERROR(__xludf.DUMMYFUNCTION("""COMPUTED_VALUE"""),"Kajal Pawar")</f>
        <v>Kajal Pawar</v>
      </c>
      <c r="C963" s="4" t="str">
        <f>IFERROR(__xludf.DUMMYFUNCTION("""COMPUTED_VALUE"""),"kajal.pawar@onixnet.com")</f>
        <v>kajal.pawar@onixnet.com</v>
      </c>
      <c r="D963" s="4" t="str">
        <f>IFERROR(__xludf.DUMMYFUNCTION("""COMPUTED_VALUE"""),"Active")</f>
        <v>Active</v>
      </c>
      <c r="E963" s="4" t="str">
        <f>IFERROR(__xludf.DUMMYFUNCTION("""COMPUTED_VALUE"""),"Delivery Services")</f>
        <v>Delivery Services</v>
      </c>
      <c r="F963" s="4" t="str">
        <f>IFERROR(__xludf.DUMMYFUNCTION("""COMPUTED_VALUE"""),"Sushant Gadiwan")</f>
        <v>Sushant Gadiwan</v>
      </c>
      <c r="G963" s="4" t="str">
        <f>IFERROR(__xludf.DUMMYFUNCTION("""COMPUTED_VALUE"""),"Cluster - Sagar")</f>
        <v>Cluster - Sagar</v>
      </c>
      <c r="H963" s="4" t="str">
        <f>IFERROR(__xludf.DUMMYFUNCTION("""COMPUTED_VALUE"""),"ONIKPBPW2")</f>
        <v>ONIKPBPW2</v>
      </c>
      <c r="I963" s="5">
        <f>IFERROR(__xludf.DUMMYFUNCTION("""COMPUTED_VALUE"""),10.0)</f>
        <v>10</v>
      </c>
      <c r="J963" s="4" t="str">
        <f>IFERROR(__xludf.DUMMYFUNCTION("""COMPUTED_VALUE"""),"Tier 4")</f>
        <v>Tier 4</v>
      </c>
      <c r="K963" s="4" t="str">
        <f>IFERROR(__xludf.DUMMYFUNCTION("""COMPUTED_VALUE"""),"Active")</f>
        <v>Active</v>
      </c>
      <c r="L963" s="4" t="str">
        <f>IFERROR(__xludf.DUMMYFUNCTION("""COMPUTED_VALUE"""),"Gemini Enterprise Agent Platform")</f>
        <v>Gemini Enterprise Agent Platform</v>
      </c>
    </row>
    <row r="964">
      <c r="A964" s="4" t="str">
        <f>IFERROR(__xludf.DUMMYFUNCTION("""COMPUTED_VALUE"""),"DME2978")</f>
        <v>DME2978</v>
      </c>
      <c r="B964" s="4" t="str">
        <f>IFERROR(__xludf.DUMMYFUNCTION("""COMPUTED_VALUE"""),"Rahul Kashyap")</f>
        <v>Rahul Kashyap</v>
      </c>
      <c r="C964" s="4" t="str">
        <f>IFERROR(__xludf.DUMMYFUNCTION("""COMPUTED_VALUE"""),"rahul.kashyap@onixnet.com")</f>
        <v>rahul.kashyap@onixnet.com</v>
      </c>
      <c r="D964" s="4" t="str">
        <f>IFERROR(__xludf.DUMMYFUNCTION("""COMPUTED_VALUE"""),"Active")</f>
        <v>Active</v>
      </c>
      <c r="E964" s="4" t="str">
        <f>IFERROR(__xludf.DUMMYFUNCTION("""COMPUTED_VALUE"""),"Delivery Services")</f>
        <v>Delivery Services</v>
      </c>
      <c r="F964" s="4" t="str">
        <f>IFERROR(__xludf.DUMMYFUNCTION("""COMPUTED_VALUE"""),"Vishal Khare")</f>
        <v>Vishal Khare</v>
      </c>
      <c r="G964" s="4" t="str">
        <f>IFERROR(__xludf.DUMMYFUNCTION("""COMPUTED_VALUE"""),"Cluster - Sagar")</f>
        <v>Cluster - Sagar</v>
      </c>
      <c r="H964" s="4" t="str">
        <f>IFERROR(__xludf.DUMMYFUNCTION("""COMPUTED_VALUE"""),"ONIRKPDB5")</f>
        <v>ONIRKPDB5</v>
      </c>
      <c r="I964" s="5">
        <f>IFERROR(__xludf.DUMMYFUNCTION("""COMPUTED_VALUE"""),40.0)</f>
        <v>40</v>
      </c>
      <c r="J964" s="4" t="str">
        <f>IFERROR(__xludf.DUMMYFUNCTION("""COMPUTED_VALUE"""),"Tier 2")</f>
        <v>Tier 2</v>
      </c>
      <c r="K964" s="4" t="str">
        <f>IFERROR(__xludf.DUMMYFUNCTION("""COMPUTED_VALUE"""),"Active")</f>
        <v>Active</v>
      </c>
      <c r="L964" s="4" t="str">
        <f>IFERROR(__xludf.DUMMYFUNCTION("""COMPUTED_VALUE"""),"Gemini Enterprise Agent Platform")</f>
        <v>Gemini Enterprise Agent Platform</v>
      </c>
    </row>
    <row r="965">
      <c r="A965" s="4" t="str">
        <f>IFERROR(__xludf.DUMMYFUNCTION("""COMPUTED_VALUE"""),"DME3363")</f>
        <v>DME3363</v>
      </c>
      <c r="B965" s="4" t="str">
        <f>IFERROR(__xludf.DUMMYFUNCTION("""COMPUTED_VALUE"""),"Prathamesh Yuvraj Jadhav")</f>
        <v>Prathamesh Yuvraj Jadhav</v>
      </c>
      <c r="C965" s="4" t="str">
        <f>IFERROR(__xludf.DUMMYFUNCTION("""COMPUTED_VALUE"""),"prathamesh.jadhav@onixnet.com")</f>
        <v>prathamesh.jadhav@onixnet.com</v>
      </c>
      <c r="D965" s="4" t="str">
        <f>IFERROR(__xludf.DUMMYFUNCTION("""COMPUTED_VALUE"""),"Active")</f>
        <v>Active</v>
      </c>
      <c r="E965" s="4" t="str">
        <f>IFERROR(__xludf.DUMMYFUNCTION("""COMPUTED_VALUE"""),"Delivery Services")</f>
        <v>Delivery Services</v>
      </c>
      <c r="F965" s="4" t="str">
        <f>IFERROR(__xludf.DUMMYFUNCTION("""COMPUTED_VALUE"""),"Rahul Shelake")</f>
        <v>Rahul Shelake</v>
      </c>
      <c r="G965" s="4" t="str">
        <f>IFERROR(__xludf.DUMMYFUNCTION("""COMPUTED_VALUE"""),"Cluster - Sagar")</f>
        <v>Cluster - Sagar</v>
      </c>
      <c r="H965" s="4" t="str">
        <f>IFERROR(__xludf.DUMMYFUNCTION("""COMPUTED_VALUE"""),"ONIPJEJE8")</f>
        <v>ONIPJEJE8</v>
      </c>
      <c r="I965" s="5">
        <f>IFERROR(__xludf.DUMMYFUNCTION("""COMPUTED_VALUE"""),15.0)</f>
        <v>15</v>
      </c>
      <c r="J965" s="4" t="str">
        <f>IFERROR(__xludf.DUMMYFUNCTION("""COMPUTED_VALUE"""),"Tier 4")</f>
        <v>Tier 4</v>
      </c>
      <c r="K965" s="4" t="str">
        <f>IFERROR(__xludf.DUMMYFUNCTION("""COMPUTED_VALUE"""),"Active")</f>
        <v>Active</v>
      </c>
      <c r="L965" s="4" t="str">
        <f>IFERROR(__xludf.DUMMYFUNCTION("""COMPUTED_VALUE"""),"AI Applications")</f>
        <v>AI Applications</v>
      </c>
    </row>
    <row r="966">
      <c r="A966" s="4" t="str">
        <f>IFERROR(__xludf.DUMMYFUNCTION("""COMPUTED_VALUE"""),"DME3364")</f>
        <v>DME3364</v>
      </c>
      <c r="B966" s="4" t="str">
        <f>IFERROR(__xludf.DUMMYFUNCTION("""COMPUTED_VALUE"""),"Soham Satish Kulkarni")</f>
        <v>Soham Satish Kulkarni</v>
      </c>
      <c r="C966" s="4" t="str">
        <f>IFERROR(__xludf.DUMMYFUNCTION("""COMPUTED_VALUE"""),"soham.kulkarni1@onixnet.com")</f>
        <v>soham.kulkarni1@onixnet.com</v>
      </c>
      <c r="D966" s="4" t="str">
        <f>IFERROR(__xludf.DUMMYFUNCTION("""COMPUTED_VALUE"""),"Active")</f>
        <v>Active</v>
      </c>
      <c r="E966" s="4" t="str">
        <f>IFERROR(__xludf.DUMMYFUNCTION("""COMPUTED_VALUE"""),"Delivery Services")</f>
        <v>Delivery Services</v>
      </c>
      <c r="F966" s="4" t="str">
        <f>IFERROR(__xludf.DUMMYFUNCTION("""COMPUTED_VALUE"""),"Aditya Kumar Agarwal")</f>
        <v>Aditya Kumar Agarwal</v>
      </c>
      <c r="G966" s="4" t="str">
        <f>IFERROR(__xludf.DUMMYFUNCTION("""COMPUTED_VALUE"""),"Cluster - Sagar")</f>
        <v>Cluster - Sagar</v>
      </c>
      <c r="H966" s="4" t="str">
        <f>IFERROR(__xludf.DUMMYFUNCTION("""COMPUTED_VALUE"""),"ONISKFUW2")</f>
        <v>ONISKFUW2</v>
      </c>
      <c r="I966" s="5">
        <f>IFERROR(__xludf.DUMMYFUNCTION("""COMPUTED_VALUE"""),5.0)</f>
        <v>5</v>
      </c>
      <c r="J966" s="4" t="str">
        <f>IFERROR(__xludf.DUMMYFUNCTION("""COMPUTED_VALUE"""),"Tier 4")</f>
        <v>Tier 4</v>
      </c>
      <c r="K966" s="4" t="str">
        <f>IFERROR(__xludf.DUMMYFUNCTION("""COMPUTED_VALUE"""),"Active")</f>
        <v>Active</v>
      </c>
      <c r="L966" s="4" t="str">
        <f>IFERROR(__xludf.DUMMYFUNCTION("""COMPUTED_VALUE"""),"Gemini Enterprise Agent Platform")</f>
        <v>Gemini Enterprise Agent Platform</v>
      </c>
    </row>
    <row r="967">
      <c r="A967" s="4" t="str">
        <f>IFERROR(__xludf.DUMMYFUNCTION("""COMPUTED_VALUE"""),"DME3396")</f>
        <v>DME3396</v>
      </c>
      <c r="B967" s="4" t="str">
        <f>IFERROR(__xludf.DUMMYFUNCTION("""COMPUTED_VALUE"""),"Soham Baban Kale")</f>
        <v>Soham Baban Kale</v>
      </c>
      <c r="C967" s="4" t="str">
        <f>IFERROR(__xludf.DUMMYFUNCTION("""COMPUTED_VALUE"""),"soham.kale@onixnet.com")</f>
        <v>soham.kale@onixnet.com</v>
      </c>
      <c r="D967" s="4" t="str">
        <f>IFERROR(__xludf.DUMMYFUNCTION("""COMPUTED_VALUE"""),"Active")</f>
        <v>Active</v>
      </c>
      <c r="E967" s="4" t="str">
        <f>IFERROR(__xludf.DUMMYFUNCTION("""COMPUTED_VALUE"""),"Delivery Services")</f>
        <v>Delivery Services</v>
      </c>
      <c r="F967" s="4" t="str">
        <f>IFERROR(__xludf.DUMMYFUNCTION("""COMPUTED_VALUE"""),"Sushant Gadiwan")</f>
        <v>Sushant Gadiwan</v>
      </c>
      <c r="G967" s="4" t="str">
        <f>IFERROR(__xludf.DUMMYFUNCTION("""COMPUTED_VALUE"""),"Cluster - Sagar")</f>
        <v>Cluster - Sagar</v>
      </c>
      <c r="H967" s="4" t="str">
        <f>IFERROR(__xludf.DUMMYFUNCTION("""COMPUTED_VALUE"""),"ONISKCRJ8")</f>
        <v>ONISKCRJ8</v>
      </c>
      <c r="I967" s="5">
        <f>IFERROR(__xludf.DUMMYFUNCTION("""COMPUTED_VALUE"""),25.0)</f>
        <v>25</v>
      </c>
      <c r="J967" s="4" t="str">
        <f>IFERROR(__xludf.DUMMYFUNCTION("""COMPUTED_VALUE"""),"Tier 3")</f>
        <v>Tier 3</v>
      </c>
      <c r="K967" s="4" t="str">
        <f>IFERROR(__xludf.DUMMYFUNCTION("""COMPUTED_VALUE"""),"Active")</f>
        <v>Active</v>
      </c>
      <c r="L967" s="4" t="str">
        <f>IFERROR(__xludf.DUMMYFUNCTION("""COMPUTED_VALUE"""),"Gemini Enterprise Agent Platform")</f>
        <v>Gemini Enterprise Agent Platform</v>
      </c>
    </row>
    <row r="968">
      <c r="A968" s="4" t="str">
        <f>IFERROR(__xludf.DUMMYFUNCTION("""COMPUTED_VALUE"""),"DME3380")</f>
        <v>DME3380</v>
      </c>
      <c r="B968" s="4" t="str">
        <f>IFERROR(__xludf.DUMMYFUNCTION("""COMPUTED_VALUE"""),"Harsh Bapusaheb Sawant")</f>
        <v>Harsh Bapusaheb Sawant</v>
      </c>
      <c r="C968" s="4" t="str">
        <f>IFERROR(__xludf.DUMMYFUNCTION("""COMPUTED_VALUE"""),"harsh.sawant@onixnet.com")</f>
        <v>harsh.sawant@onixnet.com</v>
      </c>
      <c r="D968" s="4" t="str">
        <f>IFERROR(__xludf.DUMMYFUNCTION("""COMPUTED_VALUE"""),"Active")</f>
        <v>Active</v>
      </c>
      <c r="E968" s="4" t="str">
        <f>IFERROR(__xludf.DUMMYFUNCTION("""COMPUTED_VALUE"""),"Delivery Services")</f>
        <v>Delivery Services</v>
      </c>
      <c r="F968" s="4" t="str">
        <f>IFERROR(__xludf.DUMMYFUNCTION("""COMPUTED_VALUE"""),"Chetana Hande")</f>
        <v>Chetana Hande</v>
      </c>
      <c r="G968" s="4" t="str">
        <f>IFERROR(__xludf.DUMMYFUNCTION("""COMPUTED_VALUE"""),"Cluster - Sagar")</f>
        <v>Cluster - Sagar</v>
      </c>
      <c r="H968" s="4" t="str">
        <f>IFERROR(__xludf.DUMMYFUNCTION("""COMPUTED_VALUE"""),"ONIHSSFJ9")</f>
        <v>ONIHSSFJ9</v>
      </c>
      <c r="I968" s="5">
        <f>IFERROR(__xludf.DUMMYFUNCTION("""COMPUTED_VALUE"""),35.0)</f>
        <v>35</v>
      </c>
      <c r="J968" s="4" t="str">
        <f>IFERROR(__xludf.DUMMYFUNCTION("""COMPUTED_VALUE"""),"Tier 2")</f>
        <v>Tier 2</v>
      </c>
      <c r="K968" s="4" t="str">
        <f>IFERROR(__xludf.DUMMYFUNCTION("""COMPUTED_VALUE"""),"Active")</f>
        <v>Active</v>
      </c>
      <c r="L968" s="4" t="str">
        <f>IFERROR(__xludf.DUMMYFUNCTION("""COMPUTED_VALUE"""),"Gemini Enterprise Agent Platform")</f>
        <v>Gemini Enterprise Agent Platform</v>
      </c>
    </row>
    <row r="969">
      <c r="A969" s="4" t="str">
        <f>IFERROR(__xludf.DUMMYFUNCTION("""COMPUTED_VALUE"""),"DME3381")</f>
        <v>DME3381</v>
      </c>
      <c r="B969" s="4" t="str">
        <f>IFERROR(__xludf.DUMMYFUNCTION("""COMPUTED_VALUE"""),"Akshay Sarlal Pawar")</f>
        <v>Akshay Sarlal Pawar</v>
      </c>
      <c r="C969" s="4" t="str">
        <f>IFERROR(__xludf.DUMMYFUNCTION("""COMPUTED_VALUE"""),"akshay.pawar@onixnet.com")</f>
        <v>akshay.pawar@onixnet.com</v>
      </c>
      <c r="D969" s="4" t="str">
        <f>IFERROR(__xludf.DUMMYFUNCTION("""COMPUTED_VALUE"""),"Active")</f>
        <v>Active</v>
      </c>
      <c r="E969" s="4" t="str">
        <f>IFERROR(__xludf.DUMMYFUNCTION("""COMPUTED_VALUE"""),"Delivery Services")</f>
        <v>Delivery Services</v>
      </c>
      <c r="F969" s="4" t="str">
        <f>IFERROR(__xludf.DUMMYFUNCTION("""COMPUTED_VALUE"""),"Vishal Khare")</f>
        <v>Vishal Khare</v>
      </c>
      <c r="G969" s="4" t="str">
        <f>IFERROR(__xludf.DUMMYFUNCTION("""COMPUTED_VALUE"""),"Cluster - Sagar")</f>
        <v>Cluster - Sagar</v>
      </c>
      <c r="H969" s="4" t="str">
        <f>IFERROR(__xludf.DUMMYFUNCTION("""COMPUTED_VALUE"""),"ONIAPBUH6")</f>
        <v>ONIAPBUH6</v>
      </c>
      <c r="I969" s="5">
        <f>IFERROR(__xludf.DUMMYFUNCTION("""COMPUTED_VALUE"""),40.0)</f>
        <v>40</v>
      </c>
      <c r="J969" s="4" t="str">
        <f>IFERROR(__xludf.DUMMYFUNCTION("""COMPUTED_VALUE"""),"Tier 2")</f>
        <v>Tier 2</v>
      </c>
      <c r="K969" s="4" t="str">
        <f>IFERROR(__xludf.DUMMYFUNCTION("""COMPUTED_VALUE"""),"Active")</f>
        <v>Active</v>
      </c>
      <c r="L969" s="4" t="str">
        <f>IFERROR(__xludf.DUMMYFUNCTION("""COMPUTED_VALUE"""),"Gemini Enterprise Agent Platform")</f>
        <v>Gemini Enterprise Agent Platform</v>
      </c>
    </row>
    <row r="970">
      <c r="A970" s="4" t="str">
        <f>IFERROR(__xludf.DUMMYFUNCTION("""COMPUTED_VALUE"""),"DME2982")</f>
        <v>DME2982</v>
      </c>
      <c r="B970" s="4" t="str">
        <f>IFERROR(__xludf.DUMMYFUNCTION("""COMPUTED_VALUE"""),"Piyush Darji")</f>
        <v>Piyush Darji</v>
      </c>
      <c r="C970" s="4" t="str">
        <f>IFERROR(__xludf.DUMMYFUNCTION("""COMPUTED_VALUE"""),"piyushkumar.darji@onixnet.com")</f>
        <v>piyushkumar.darji@onixnet.com</v>
      </c>
      <c r="D970" s="4" t="str">
        <f>IFERROR(__xludf.DUMMYFUNCTION("""COMPUTED_VALUE"""),"Active")</f>
        <v>Active</v>
      </c>
      <c r="E970" s="4" t="str">
        <f>IFERROR(__xludf.DUMMYFUNCTION("""COMPUTED_VALUE"""),"Delivery Services")</f>
        <v>Delivery Services</v>
      </c>
      <c r="F970" s="4" t="str">
        <f>IFERROR(__xludf.DUMMYFUNCTION("""COMPUTED_VALUE"""),"Indrajit Omprakash Bhagat")</f>
        <v>Indrajit Omprakash Bhagat</v>
      </c>
      <c r="G970" s="4" t="str">
        <f>IFERROR(__xludf.DUMMYFUNCTION("""COMPUTED_VALUE"""),"Cluster - Varun")</f>
        <v>Cluster - Varun</v>
      </c>
      <c r="H970" s="4" t="str">
        <f>IFERROR(__xludf.DUMMYFUNCTION("""COMPUTED_VALUE"""),"ONIPDQGI2")</f>
        <v>ONIPDQGI2</v>
      </c>
      <c r="I970" s="5">
        <f>IFERROR(__xludf.DUMMYFUNCTION("""COMPUTED_VALUE"""),5.0)</f>
        <v>5</v>
      </c>
      <c r="J970" s="4" t="str">
        <f>IFERROR(__xludf.DUMMYFUNCTION("""COMPUTED_VALUE"""),"Tier 4")</f>
        <v>Tier 4</v>
      </c>
      <c r="K970" s="4" t="str">
        <f>IFERROR(__xludf.DUMMYFUNCTION("""COMPUTED_VALUE"""),"Active")</f>
        <v>Active</v>
      </c>
      <c r="L970" s="4" t="str">
        <f>IFERROR(__xludf.DUMMYFUNCTION("""COMPUTED_VALUE"""),"Gemini Enterprise Agent Platform")</f>
        <v>Gemini Enterprise Agent Platform</v>
      </c>
    </row>
    <row r="971">
      <c r="A971" s="4" t="str">
        <f>IFERROR(__xludf.DUMMYFUNCTION("""COMPUTED_VALUE"""),"DME3365")</f>
        <v>DME3365</v>
      </c>
      <c r="B971" s="4" t="str">
        <f>IFERROR(__xludf.DUMMYFUNCTION("""COMPUTED_VALUE"""),"Atharva Uttam Pedgulwar")</f>
        <v>Atharva Uttam Pedgulwar</v>
      </c>
      <c r="C971" s="4" t="str">
        <f>IFERROR(__xludf.DUMMYFUNCTION("""COMPUTED_VALUE"""),"atharva.pedgulwar@onixnet.com")</f>
        <v>atharva.pedgulwar@onixnet.com</v>
      </c>
      <c r="D971" s="4" t="str">
        <f>IFERROR(__xludf.DUMMYFUNCTION("""COMPUTED_VALUE"""),"Active")</f>
        <v>Active</v>
      </c>
      <c r="E971" s="4" t="str">
        <f>IFERROR(__xludf.DUMMYFUNCTION("""COMPUTED_VALUE"""),"Delivery Services")</f>
        <v>Delivery Services</v>
      </c>
      <c r="F971" s="4" t="str">
        <f>IFERROR(__xludf.DUMMYFUNCTION("""COMPUTED_VALUE"""),"Chetana Hande")</f>
        <v>Chetana Hande</v>
      </c>
      <c r="G971" s="4" t="str">
        <f>IFERROR(__xludf.DUMMYFUNCTION("""COMPUTED_VALUE"""),"Cluster - Sagar")</f>
        <v>Cluster - Sagar</v>
      </c>
      <c r="H971" s="4" t="str">
        <f>IFERROR(__xludf.DUMMYFUNCTION("""COMPUTED_VALUE"""),"ONIAPTJC0")</f>
        <v>ONIAPTJC0</v>
      </c>
      <c r="I971" s="5">
        <f>IFERROR(__xludf.DUMMYFUNCTION("""COMPUTED_VALUE"""),30.0)</f>
        <v>30</v>
      </c>
      <c r="J971" s="4" t="str">
        <f>IFERROR(__xludf.DUMMYFUNCTION("""COMPUTED_VALUE"""),"Tier 3")</f>
        <v>Tier 3</v>
      </c>
      <c r="K971" s="4" t="str">
        <f>IFERROR(__xludf.DUMMYFUNCTION("""COMPUTED_VALUE"""),"Active")</f>
        <v>Active</v>
      </c>
      <c r="L971" s="4" t="str">
        <f>IFERROR(__xludf.DUMMYFUNCTION("""COMPUTED_VALUE"""),"Gemini Enterprise Agent Platform")</f>
        <v>Gemini Enterprise Agent Platform</v>
      </c>
    </row>
    <row r="972">
      <c r="A972" s="4" t="str">
        <f>IFERROR(__xludf.DUMMYFUNCTION("""COMPUTED_VALUE"""),"DME2979")</f>
        <v>DME2979</v>
      </c>
      <c r="B972" s="4" t="str">
        <f>IFERROR(__xludf.DUMMYFUNCTION("""COMPUTED_VALUE"""),"Kaushal Kailas Gore")</f>
        <v>Kaushal Kailas Gore</v>
      </c>
      <c r="C972" s="4" t="str">
        <f>IFERROR(__xludf.DUMMYFUNCTION("""COMPUTED_VALUE"""),"kaushal.gore@onixnet.com")</f>
        <v>kaushal.gore@onixnet.com</v>
      </c>
      <c r="D972" s="4" t="str">
        <f>IFERROR(__xludf.DUMMYFUNCTION("""COMPUTED_VALUE"""),"Active")</f>
        <v>Active</v>
      </c>
      <c r="E972" s="4" t="str">
        <f>IFERROR(__xludf.DUMMYFUNCTION("""COMPUTED_VALUE"""),"Delivery Services")</f>
        <v>Delivery Services</v>
      </c>
      <c r="F972" s="4" t="str">
        <f>IFERROR(__xludf.DUMMYFUNCTION("""COMPUTED_VALUE"""),"Jitender Singh")</f>
        <v>Jitender Singh</v>
      </c>
      <c r="G972" s="4" t="str">
        <f>IFERROR(__xludf.DUMMYFUNCTION("""COMPUTED_VALUE"""),"Cluster - Gaurav")</f>
        <v>Cluster - Gaurav</v>
      </c>
      <c r="H972" s="4" t="str">
        <f>IFERROR(__xludf.DUMMYFUNCTION("""COMPUTED_VALUE"""),"ONIKGBBN2")</f>
        <v>ONIKGBBN2</v>
      </c>
      <c r="I972" s="5">
        <f>IFERROR(__xludf.DUMMYFUNCTION("""COMPUTED_VALUE"""),20.0)</f>
        <v>20</v>
      </c>
      <c r="J972" s="4" t="str">
        <f>IFERROR(__xludf.DUMMYFUNCTION("""COMPUTED_VALUE"""),"Tier 3")</f>
        <v>Tier 3</v>
      </c>
      <c r="K972" s="4" t="str">
        <f>IFERROR(__xludf.DUMMYFUNCTION("""COMPUTED_VALUE"""),"Active")</f>
        <v>Active</v>
      </c>
      <c r="L972" s="4" t="str">
        <f>IFERROR(__xludf.DUMMYFUNCTION("""COMPUTED_VALUE"""),"Gemini Enterprise Agent Platform")</f>
        <v>Gemini Enterprise Agent Platform</v>
      </c>
    </row>
    <row r="973">
      <c r="A973" s="4" t="str">
        <f>IFERROR(__xludf.DUMMYFUNCTION("""COMPUTED_VALUE"""),"DME3366")</f>
        <v>DME3366</v>
      </c>
      <c r="B973" s="4" t="str">
        <f>IFERROR(__xludf.DUMMYFUNCTION("""COMPUTED_VALUE"""),"Manasi Ravasaheb Patil")</f>
        <v>Manasi Ravasaheb Patil</v>
      </c>
      <c r="C973" s="4" t="str">
        <f>IFERROR(__xludf.DUMMYFUNCTION("""COMPUTED_VALUE"""),"manasi.patil@onixnet.com")</f>
        <v>manasi.patil@onixnet.com</v>
      </c>
      <c r="D973" s="4" t="str">
        <f>IFERROR(__xludf.DUMMYFUNCTION("""COMPUTED_VALUE"""),"Active")</f>
        <v>Active</v>
      </c>
      <c r="E973" s="4" t="str">
        <f>IFERROR(__xludf.DUMMYFUNCTION("""COMPUTED_VALUE"""),"Delivery Services")</f>
        <v>Delivery Services</v>
      </c>
      <c r="F973" s="4" t="str">
        <f>IFERROR(__xludf.DUMMYFUNCTION("""COMPUTED_VALUE"""),"Aarti Borhade")</f>
        <v>Aarti Borhade</v>
      </c>
      <c r="G973" s="4" t="str">
        <f>IFERROR(__xludf.DUMMYFUNCTION("""COMPUTED_VALUE"""),"Cluster - Sagar")</f>
        <v>Cluster - Sagar</v>
      </c>
      <c r="H973" s="4" t="str">
        <f>IFERROR(__xludf.DUMMYFUNCTION("""COMPUTED_VALUE"""),"ONIMPGKY6")</f>
        <v>ONIMPGKY6</v>
      </c>
      <c r="I973" s="5">
        <f>IFERROR(__xludf.DUMMYFUNCTION("""COMPUTED_VALUE"""),10.0)</f>
        <v>10</v>
      </c>
      <c r="J973" s="4" t="str">
        <f>IFERROR(__xludf.DUMMYFUNCTION("""COMPUTED_VALUE"""),"Tier 4")</f>
        <v>Tier 4</v>
      </c>
      <c r="K973" s="4" t="str">
        <f>IFERROR(__xludf.DUMMYFUNCTION("""COMPUTED_VALUE"""),"Active")</f>
        <v>Active</v>
      </c>
      <c r="L973" s="4" t="str">
        <f>IFERROR(__xludf.DUMMYFUNCTION("""COMPUTED_VALUE"""),"Gemini Enterprise Agent Platform")</f>
        <v>Gemini Enterprise Agent Platform</v>
      </c>
    </row>
    <row r="974">
      <c r="A974" s="4" t="str">
        <f>IFERROR(__xludf.DUMMYFUNCTION("""COMPUTED_VALUE"""),"ONIX800")</f>
        <v>ONIX800</v>
      </c>
      <c r="B974" s="4" t="str">
        <f>IFERROR(__xludf.DUMMYFUNCTION("""COMPUTED_VALUE"""),"Cheryl Saunoris")</f>
        <v>Cheryl Saunoris</v>
      </c>
      <c r="C974" s="4" t="str">
        <f>IFERROR(__xludf.DUMMYFUNCTION("""COMPUTED_VALUE"""),"cheryl.saunoris@onixnet.com")</f>
        <v>cheryl.saunoris@onixnet.com</v>
      </c>
      <c r="D974" s="4" t="str">
        <f>IFERROR(__xludf.DUMMYFUNCTION("""COMPUTED_VALUE"""),"Active")</f>
        <v>Active</v>
      </c>
      <c r="E974" s="4" t="str">
        <f>IFERROR(__xludf.DUMMYFUNCTION("""COMPUTED_VALUE"""),"Sales Services")</f>
        <v>Sales Services</v>
      </c>
      <c r="F974" s="4" t="str">
        <f>IFERROR(__xludf.DUMMYFUNCTION("""COMPUTED_VALUE"""),"Sanjiv Chawla")</f>
        <v>Sanjiv Chawla</v>
      </c>
      <c r="G974" s="4" t="str">
        <f>IFERROR(__xludf.DUMMYFUNCTION("""COMPUTED_VALUE"""),"Portfolio - Ankur (Sales)")</f>
        <v>Portfolio - Ankur (Sales)</v>
      </c>
      <c r="H974" s="4" t="str">
        <f>IFERROR(__xludf.DUMMYFUNCTION("""COMPUTED_VALUE"""),"ONICSFBN2")</f>
        <v>ONICSFBN2</v>
      </c>
      <c r="I974" s="5">
        <f>IFERROR(__xludf.DUMMYFUNCTION("""COMPUTED_VALUE"""),14.0)</f>
        <v>14</v>
      </c>
      <c r="J974" s="4" t="str">
        <f>IFERROR(__xludf.DUMMYFUNCTION("""COMPUTED_VALUE"""),"Tier 4")</f>
        <v>Tier 4</v>
      </c>
      <c r="K974" s="4" t="str">
        <f>IFERROR(__xludf.DUMMYFUNCTION("""COMPUTED_VALUE"""),"Active")</f>
        <v>Active</v>
      </c>
      <c r="L974" s="4" t="str">
        <f>IFERROR(__xludf.DUMMYFUNCTION("""COMPUTED_VALUE"""),"BigQuery")</f>
        <v>BigQuery</v>
      </c>
    </row>
    <row r="975">
      <c r="A975" s="4" t="str">
        <f>IFERROR(__xludf.DUMMYFUNCTION("""COMPUTED_VALUE"""),"DME2994")</f>
        <v>DME2994</v>
      </c>
      <c r="B975" s="4" t="str">
        <f>IFERROR(__xludf.DUMMYFUNCTION("""COMPUTED_VALUE"""),"Bhanu Sivaprasad")</f>
        <v>Bhanu Sivaprasad</v>
      </c>
      <c r="C975" s="4" t="str">
        <f>IFERROR(__xludf.DUMMYFUNCTION("""COMPUTED_VALUE"""),"bhanu.porapu@onixnet.com")</f>
        <v>bhanu.porapu@onixnet.com</v>
      </c>
      <c r="D975" s="4" t="str">
        <f>IFERROR(__xludf.DUMMYFUNCTION("""COMPUTED_VALUE"""),"Active")</f>
        <v>Active</v>
      </c>
      <c r="E975" s="4" t="str">
        <f>IFERROR(__xludf.DUMMYFUNCTION("""COMPUTED_VALUE"""),"Delivery Services")</f>
        <v>Delivery Services</v>
      </c>
      <c r="F975" s="4" t="str">
        <f>IFERROR(__xludf.DUMMYFUNCTION("""COMPUTED_VALUE"""),"Kishore Nagella")</f>
        <v>Kishore Nagella</v>
      </c>
      <c r="G975" s="4" t="str">
        <f>IFERROR(__xludf.DUMMYFUNCTION("""COMPUTED_VALUE"""),"Cluster - Shreepad")</f>
        <v>Cluster - Shreepad</v>
      </c>
      <c r="H975" s="4" t="str">
        <f>IFERROR(__xludf.DUMMYFUNCTION("""COMPUTED_VALUE"""),"ONIBPKME6")</f>
        <v>ONIBPKME6</v>
      </c>
      <c r="I975" s="5">
        <f>IFERROR(__xludf.DUMMYFUNCTION("""COMPUTED_VALUE"""),5.0)</f>
        <v>5</v>
      </c>
      <c r="J975" s="4" t="str">
        <f>IFERROR(__xludf.DUMMYFUNCTION("""COMPUTED_VALUE"""),"Tier 4")</f>
        <v>Tier 4</v>
      </c>
      <c r="K975" s="4" t="str">
        <f>IFERROR(__xludf.DUMMYFUNCTION("""COMPUTED_VALUE"""),"Active")</f>
        <v>Active</v>
      </c>
      <c r="L975" s="4" t="str">
        <f>IFERROR(__xludf.DUMMYFUNCTION("""COMPUTED_VALUE"""),"Gemini Enterprise Agent Platform")</f>
        <v>Gemini Enterprise Agent Platform</v>
      </c>
    </row>
    <row r="976">
      <c r="A976" s="4" t="str">
        <f>IFERROR(__xludf.DUMMYFUNCTION("""COMPUTED_VALUE"""),"DME2988")</f>
        <v>DME2988</v>
      </c>
      <c r="B976" s="4" t="str">
        <f>IFERROR(__xludf.DUMMYFUNCTION("""COMPUTED_VALUE"""),"Rajeev Gera")</f>
        <v>Rajeev Gera</v>
      </c>
      <c r="C976" s="4" t="str">
        <f>IFERROR(__xludf.DUMMYFUNCTION("""COMPUTED_VALUE"""),"rajeev.gera@onixnet.com")</f>
        <v>rajeev.gera@onixnet.com</v>
      </c>
      <c r="D976" s="4" t="str">
        <f>IFERROR(__xludf.DUMMYFUNCTION("""COMPUTED_VALUE"""),"Active")</f>
        <v>Active</v>
      </c>
      <c r="E976" s="4" t="str">
        <f>IFERROR(__xludf.DUMMYFUNCTION("""COMPUTED_VALUE"""),"Delivery Services")</f>
        <v>Delivery Services</v>
      </c>
      <c r="F976" s="4" t="str">
        <f>IFERROR(__xludf.DUMMYFUNCTION("""COMPUTED_VALUE"""),"Varun Katyal")</f>
        <v>Varun Katyal</v>
      </c>
      <c r="G976" s="4" t="str">
        <f>IFERROR(__xludf.DUMMYFUNCTION("""COMPUTED_VALUE"""),"Cluster - Varun")</f>
        <v>Cluster - Varun</v>
      </c>
      <c r="H976" s="4" t="str">
        <f>IFERROR(__xludf.DUMMYFUNCTION("""COMPUTED_VALUE"""),"ONIRGOQL4")</f>
        <v>ONIRGOQL4</v>
      </c>
      <c r="I976" s="5">
        <f>IFERROR(__xludf.DUMMYFUNCTION("""COMPUTED_VALUE"""),39.0)</f>
        <v>39</v>
      </c>
      <c r="J976" s="4" t="str">
        <f>IFERROR(__xludf.DUMMYFUNCTION("""COMPUTED_VALUE"""),"Tier 2")</f>
        <v>Tier 2</v>
      </c>
      <c r="K976" s="4" t="str">
        <f>IFERROR(__xludf.DUMMYFUNCTION("""COMPUTED_VALUE"""),"Active")</f>
        <v>Active</v>
      </c>
      <c r="L976" s="4"/>
    </row>
    <row r="977">
      <c r="A977" s="4" t="str">
        <f>IFERROR(__xludf.DUMMYFUNCTION("""COMPUTED_VALUE"""),"DME2986")</f>
        <v>DME2986</v>
      </c>
      <c r="B977" s="4" t="str">
        <f>IFERROR(__xludf.DUMMYFUNCTION("""COMPUTED_VALUE"""),"Vyankatesh Vilas Patharkar")</f>
        <v>Vyankatesh Vilas Patharkar</v>
      </c>
      <c r="C977" s="4" t="str">
        <f>IFERROR(__xludf.DUMMYFUNCTION("""COMPUTED_VALUE"""),"vyankatesh.patharkar@onixnet.com")</f>
        <v>vyankatesh.patharkar@onixnet.com</v>
      </c>
      <c r="D977" s="4" t="str">
        <f>IFERROR(__xludf.DUMMYFUNCTION("""COMPUTED_VALUE"""),"Active")</f>
        <v>Active</v>
      </c>
      <c r="E977" s="4" t="str">
        <f>IFERROR(__xludf.DUMMYFUNCTION("""COMPUTED_VALUE"""),"Delivery Services")</f>
        <v>Delivery Services</v>
      </c>
      <c r="F977" s="4" t="str">
        <f>IFERROR(__xludf.DUMMYFUNCTION("""COMPUTED_VALUE"""),"Mayur Kasar")</f>
        <v>Mayur Kasar</v>
      </c>
      <c r="G977" s="4" t="str">
        <f>IFERROR(__xludf.DUMMYFUNCTION("""COMPUTED_VALUE"""),"Cluster - Varun")</f>
        <v>Cluster - Varun</v>
      </c>
      <c r="H977" s="4" t="str">
        <f>IFERROR(__xludf.DUMMYFUNCTION("""COMPUTED_VALUE"""),"ONIVPLIP3")</f>
        <v>ONIVPLIP3</v>
      </c>
      <c r="I977" s="5">
        <f>IFERROR(__xludf.DUMMYFUNCTION("""COMPUTED_VALUE"""),29.0)</f>
        <v>29</v>
      </c>
      <c r="J977" s="4" t="str">
        <f>IFERROR(__xludf.DUMMYFUNCTION("""COMPUTED_VALUE"""),"Tier 3")</f>
        <v>Tier 3</v>
      </c>
      <c r="K977" s="4" t="str">
        <f>IFERROR(__xludf.DUMMYFUNCTION("""COMPUTED_VALUE"""),"Active")</f>
        <v>Active</v>
      </c>
      <c r="L977" s="4" t="str">
        <f>IFERROR(__xludf.DUMMYFUNCTION("""COMPUTED_VALUE"""),"Gemini Enterprise Agent Platform")</f>
        <v>Gemini Enterprise Agent Platform</v>
      </c>
    </row>
    <row r="978">
      <c r="A978" s="4" t="str">
        <f>IFERROR(__xludf.DUMMYFUNCTION("""COMPUTED_VALUE"""),"DME2990")</f>
        <v>DME2990</v>
      </c>
      <c r="B978" s="4" t="str">
        <f>IFERROR(__xludf.DUMMYFUNCTION("""COMPUTED_VALUE"""),"Syam Prasad Gera")</f>
        <v>Syam Prasad Gera</v>
      </c>
      <c r="C978" s="4" t="str">
        <f>IFERROR(__xludf.DUMMYFUNCTION("""COMPUTED_VALUE"""),"syamprasad.gera@onixnet.com")</f>
        <v>syamprasad.gera@onixnet.com</v>
      </c>
      <c r="D978" s="4" t="str">
        <f>IFERROR(__xludf.DUMMYFUNCTION("""COMPUTED_VALUE"""),"Active")</f>
        <v>Active</v>
      </c>
      <c r="E978" s="4" t="str">
        <f>IFERROR(__xludf.DUMMYFUNCTION("""COMPUTED_VALUE"""),"Delivery Services")</f>
        <v>Delivery Services</v>
      </c>
      <c r="F978" s="4" t="str">
        <f>IFERROR(__xludf.DUMMYFUNCTION("""COMPUTED_VALUE"""),"Shreepad Dhok")</f>
        <v>Shreepad Dhok</v>
      </c>
      <c r="G978" s="4" t="str">
        <f>IFERROR(__xludf.DUMMYFUNCTION("""COMPUTED_VALUE"""),"Cluster - Shreepad")</f>
        <v>Cluster - Shreepad</v>
      </c>
      <c r="H978" s="4" t="str">
        <f>IFERROR(__xludf.DUMMYFUNCTION("""COMPUTED_VALUE"""),"ONISGFQX9")</f>
        <v>ONISGFQX9</v>
      </c>
      <c r="I978" s="5">
        <f>IFERROR(__xludf.DUMMYFUNCTION("""COMPUTED_VALUE"""),8.0)</f>
        <v>8</v>
      </c>
      <c r="J978" s="4" t="str">
        <f>IFERROR(__xludf.DUMMYFUNCTION("""COMPUTED_VALUE"""),"Tier 4")</f>
        <v>Tier 4</v>
      </c>
      <c r="K978" s="4" t="str">
        <f>IFERROR(__xludf.DUMMYFUNCTION("""COMPUTED_VALUE"""),"Active")</f>
        <v>Active</v>
      </c>
      <c r="L978" s="4" t="str">
        <f>IFERROR(__xludf.DUMMYFUNCTION("""COMPUTED_VALUE"""),"BigQuery")</f>
        <v>BigQuery</v>
      </c>
    </row>
    <row r="979">
      <c r="A979" s="4" t="str">
        <f>IFERROR(__xludf.DUMMYFUNCTION("""COMPUTED_VALUE"""),"ONIX808")</f>
        <v>ONIX808</v>
      </c>
      <c r="B979" s="4" t="str">
        <f>IFERROR(__xludf.DUMMYFUNCTION("""COMPUTED_VALUE"""),"Priyanka Nikam")</f>
        <v>Priyanka Nikam</v>
      </c>
      <c r="C979" s="4" t="str">
        <f>IFERROR(__xludf.DUMMYFUNCTION("""COMPUTED_VALUE"""),"priyanka.nikam@onixnet.com")</f>
        <v>priyanka.nikam@onixnet.com</v>
      </c>
      <c r="D979" s="4" t="str">
        <f>IFERROR(__xludf.DUMMYFUNCTION("""COMPUTED_VALUE"""),"Active")</f>
        <v>Active</v>
      </c>
      <c r="E979" s="4" t="str">
        <f>IFERROR(__xludf.DUMMYFUNCTION("""COMPUTED_VALUE"""),"Delivery")</f>
        <v>Delivery</v>
      </c>
      <c r="F979" s="4" t="str">
        <f>IFERROR(__xludf.DUMMYFUNCTION("""COMPUTED_VALUE"""),"Joshua Shnider")</f>
        <v>Joshua Shnider</v>
      </c>
      <c r="G979" s="4" t="str">
        <f>IFERROR(__xludf.DUMMYFUNCTION("""COMPUTED_VALUE"""),"Portfolio - Kanth")</f>
        <v>Portfolio - Kanth</v>
      </c>
      <c r="H979" s="4" t="str">
        <f>IFERROR(__xludf.DUMMYFUNCTION("""COMPUTED_VALUE"""),"ONIPNDZL0")</f>
        <v>ONIPNDZL0</v>
      </c>
      <c r="I979" s="5">
        <f>IFERROR(__xludf.DUMMYFUNCTION("""COMPUTED_VALUE"""),29.0)</f>
        <v>29</v>
      </c>
      <c r="J979" s="4" t="str">
        <f>IFERROR(__xludf.DUMMYFUNCTION("""COMPUTED_VALUE"""),"Tier 3")</f>
        <v>Tier 3</v>
      </c>
      <c r="K979" s="4" t="str">
        <f>IFERROR(__xludf.DUMMYFUNCTION("""COMPUTED_VALUE"""),"Active")</f>
        <v>Active</v>
      </c>
      <c r="L979" s="4" t="str">
        <f>IFERROR(__xludf.DUMMYFUNCTION("""COMPUTED_VALUE"""),"BigQuery")</f>
        <v>BigQuery</v>
      </c>
    </row>
    <row r="980">
      <c r="A980" s="4" t="str">
        <f>IFERROR(__xludf.DUMMYFUNCTION("""COMPUTED_VALUE"""),"DME2991")</f>
        <v>DME2991</v>
      </c>
      <c r="B980" s="4" t="str">
        <f>IFERROR(__xludf.DUMMYFUNCTION("""COMPUTED_VALUE"""),"Swapnil  Dassi")</f>
        <v>Swapnil  Dassi</v>
      </c>
      <c r="C980" s="4" t="str">
        <f>IFERROR(__xludf.DUMMYFUNCTION("""COMPUTED_VALUE"""),"swapnil.dassi@onixnet.com")</f>
        <v>swapnil.dassi@onixnet.com</v>
      </c>
      <c r="D980" s="4" t="str">
        <f>IFERROR(__xludf.DUMMYFUNCTION("""COMPUTED_VALUE"""),"Active")</f>
        <v>Active</v>
      </c>
      <c r="E980" s="4" t="str">
        <f>IFERROR(__xludf.DUMMYFUNCTION("""COMPUTED_VALUE"""),"Delivery Services")</f>
        <v>Delivery Services</v>
      </c>
      <c r="F980" s="4" t="str">
        <f>IFERROR(__xludf.DUMMYFUNCTION("""COMPUTED_VALUE"""),"Mayur Kasar")</f>
        <v>Mayur Kasar</v>
      </c>
      <c r="G980" s="4" t="str">
        <f>IFERROR(__xludf.DUMMYFUNCTION("""COMPUTED_VALUE"""),"Cluster - Varun")</f>
        <v>Cluster - Varun</v>
      </c>
      <c r="H980" s="4" t="str">
        <f>IFERROR(__xludf.DUMMYFUNCTION("""COMPUTED_VALUE"""),"ONISDQXB9")</f>
        <v>ONISDQXB9</v>
      </c>
      <c r="I980" s="5">
        <f>IFERROR(__xludf.DUMMYFUNCTION("""COMPUTED_VALUE"""),24.0)</f>
        <v>24</v>
      </c>
      <c r="J980" s="4" t="str">
        <f>IFERROR(__xludf.DUMMYFUNCTION("""COMPUTED_VALUE"""),"Tier 3")</f>
        <v>Tier 3</v>
      </c>
      <c r="K980" s="4" t="str">
        <f>IFERROR(__xludf.DUMMYFUNCTION("""COMPUTED_VALUE"""),"Active")</f>
        <v>Active</v>
      </c>
      <c r="L980" s="4"/>
    </row>
    <row r="981">
      <c r="A981" s="4" t="str">
        <f>IFERROR(__xludf.DUMMYFUNCTION("""COMPUTED_VALUE"""),"ONIX805")</f>
        <v>ONIX805</v>
      </c>
      <c r="B981" s="4" t="str">
        <f>IFERROR(__xludf.DUMMYFUNCTION("""COMPUTED_VALUE"""),"Vandan Rajnikant Vaishya")</f>
        <v>Vandan Rajnikant Vaishya</v>
      </c>
      <c r="C981" s="4" t="str">
        <f>IFERROR(__xludf.DUMMYFUNCTION("""COMPUTED_VALUE"""),"vandan.vaishya@onixnet.us")</f>
        <v>vandan.vaishya@onixnet.us</v>
      </c>
      <c r="D981" s="4" t="str">
        <f>IFERROR(__xludf.DUMMYFUNCTION("""COMPUTED_VALUE"""),"Active")</f>
        <v>Active</v>
      </c>
      <c r="E981" s="4" t="str">
        <f>IFERROR(__xludf.DUMMYFUNCTION("""COMPUTED_VALUE"""),"Delivery")</f>
        <v>Delivery</v>
      </c>
      <c r="F981" s="4" t="str">
        <f>IFERROR(__xludf.DUMMYFUNCTION("""COMPUTED_VALUE"""),"Venkat Srinivasan")</f>
        <v>Venkat Srinivasan</v>
      </c>
      <c r="G981" s="4" t="str">
        <f>IFERROR(__xludf.DUMMYFUNCTION("""COMPUTED_VALUE"""),"Portfolio - Rajesh")</f>
        <v>Portfolio - Rajesh</v>
      </c>
      <c r="H981" s="4" t="str">
        <f>IFERROR(__xludf.DUMMYFUNCTION("""COMPUTED_VALUE"""),"ONIVVZDX1")</f>
        <v>ONIVVZDX1</v>
      </c>
      <c r="I981" s="5">
        <f>IFERROR(__xludf.DUMMYFUNCTION("""COMPUTED_VALUE"""),47.0)</f>
        <v>47</v>
      </c>
      <c r="J981" s="4" t="str">
        <f>IFERROR(__xludf.DUMMYFUNCTION("""COMPUTED_VALUE"""),"Tier 2")</f>
        <v>Tier 2</v>
      </c>
      <c r="K981" s="4" t="str">
        <f>IFERROR(__xludf.DUMMYFUNCTION("""COMPUTED_VALUE"""),"Active")</f>
        <v>Active</v>
      </c>
      <c r="L981" s="4" t="str">
        <f>IFERROR(__xludf.DUMMYFUNCTION("""COMPUTED_VALUE"""),"Gemini Enterprise Agent Platform")</f>
        <v>Gemini Enterprise Agent Platform</v>
      </c>
    </row>
    <row r="982">
      <c r="A982" s="4" t="str">
        <f>IFERROR(__xludf.DUMMYFUNCTION("""COMPUTED_VALUE"""),"ONIX799")</f>
        <v>ONIX799</v>
      </c>
      <c r="B982" s="4" t="str">
        <f>IFERROR(__xludf.DUMMYFUNCTION("""COMPUTED_VALUE"""),"Ganesh Ramamoorthy")</f>
        <v>Ganesh Ramamoorthy</v>
      </c>
      <c r="C982" s="4" t="str">
        <f>IFERROR(__xludf.DUMMYFUNCTION("""COMPUTED_VALUE"""),"ganesh.ramamoorthy@onixnet.com")</f>
        <v>ganesh.ramamoorthy@onixnet.com</v>
      </c>
      <c r="D982" s="4" t="str">
        <f>IFERROR(__xludf.DUMMYFUNCTION("""COMPUTED_VALUE"""),"Active")</f>
        <v>Active</v>
      </c>
      <c r="E982" s="4" t="str">
        <f>IFERROR(__xludf.DUMMYFUNCTION("""COMPUTED_VALUE"""),"Sales Services")</f>
        <v>Sales Services</v>
      </c>
      <c r="F982" s="4" t="str">
        <f>IFERROR(__xludf.DUMMYFUNCTION("""COMPUTED_VALUE"""),"Ankur Kashyap")</f>
        <v>Ankur Kashyap</v>
      </c>
      <c r="G982" s="4" t="str">
        <f>IFERROR(__xludf.DUMMYFUNCTION("""COMPUTED_VALUE"""),"Portfolio - Ankur (Sales)")</f>
        <v>Portfolio - Ankur (Sales)</v>
      </c>
      <c r="H982" s="4" t="str">
        <f>IFERROR(__xludf.DUMMYFUNCTION("""COMPUTED_VALUE"""),"ONIGRBRE5")</f>
        <v>ONIGRBRE5</v>
      </c>
      <c r="I982" s="5">
        <f>IFERROR(__xludf.DUMMYFUNCTION("""COMPUTED_VALUE"""),0.0)</f>
        <v>0</v>
      </c>
      <c r="J982" s="4" t="str">
        <f>IFERROR(__xludf.DUMMYFUNCTION("""COMPUTED_VALUE"""),"Tier 4")</f>
        <v>Tier 4</v>
      </c>
      <c r="K982" s="4" t="str">
        <f>IFERROR(__xludf.DUMMYFUNCTION("""COMPUTED_VALUE"""),"ID Created DRP score 0")</f>
        <v>ID Created DRP score 0</v>
      </c>
      <c r="L982" s="4"/>
    </row>
    <row r="983">
      <c r="A983" s="4" t="str">
        <f>IFERROR(__xludf.DUMMYFUNCTION("""COMPUTED_VALUE"""),"ONIX798")</f>
        <v>ONIX798</v>
      </c>
      <c r="B983" s="4" t="str">
        <f>IFERROR(__xludf.DUMMYFUNCTION("""COMPUTED_VALUE"""),"Kathleen Hansen")</f>
        <v>Kathleen Hansen</v>
      </c>
      <c r="C983" s="4" t="str">
        <f>IFERROR(__xludf.DUMMYFUNCTION("""COMPUTED_VALUE"""),"kateh@onixnet.com")</f>
        <v>kateh@onixnet.com</v>
      </c>
      <c r="D983" s="4" t="str">
        <f>IFERROR(__xludf.DUMMYFUNCTION("""COMPUTED_VALUE"""),"Active")</f>
        <v>Active</v>
      </c>
      <c r="E983" s="4" t="str">
        <f>IFERROR(__xludf.DUMMYFUNCTION("""COMPUTED_VALUE"""),"Sales Services")</f>
        <v>Sales Services</v>
      </c>
      <c r="F983" s="4" t="str">
        <f>IFERROR(__xludf.DUMMYFUNCTION("""COMPUTED_VALUE"""),"Scott Fleming")</f>
        <v>Scott Fleming</v>
      </c>
      <c r="G983" s="4" t="str">
        <f>IFERROR(__xludf.DUMMYFUNCTION("""COMPUTED_VALUE"""),"Portfolio - Ankur (Sales)")</f>
        <v>Portfolio - Ankur (Sales)</v>
      </c>
      <c r="H983" s="4"/>
      <c r="I983" s="5"/>
      <c r="J983" s="4"/>
      <c r="K983" s="4" t="str">
        <f>IFERROR(__xludf.DUMMYFUNCTION("""COMPUTED_VALUE"""),"ID Not Created")</f>
        <v>ID Not Created</v>
      </c>
      <c r="L983" s="4"/>
    </row>
    <row r="984">
      <c r="A984" s="4" t="str">
        <f>IFERROR(__xludf.DUMMYFUNCTION("""COMPUTED_VALUE"""),"DME2995")</f>
        <v>DME2995</v>
      </c>
      <c r="B984" s="4" t="str">
        <f>IFERROR(__xludf.DUMMYFUNCTION("""COMPUTED_VALUE"""),"Pratik Nandkumar Gurukar")</f>
        <v>Pratik Nandkumar Gurukar</v>
      </c>
      <c r="C984" s="4" t="str">
        <f>IFERROR(__xludf.DUMMYFUNCTION("""COMPUTED_VALUE"""),"pratik.gurukar@onixnet.com")</f>
        <v>pratik.gurukar@onixnet.com</v>
      </c>
      <c r="D984" s="4" t="str">
        <f>IFERROR(__xludf.DUMMYFUNCTION("""COMPUTED_VALUE"""),"Active")</f>
        <v>Active</v>
      </c>
      <c r="E984" s="4" t="str">
        <f>IFERROR(__xludf.DUMMYFUNCTION("""COMPUTED_VALUE"""),"Product Engineering")</f>
        <v>Product Engineering</v>
      </c>
      <c r="F984" s="4" t="str">
        <f>IFERROR(__xludf.DUMMYFUNCTION("""COMPUTED_VALUE"""),"Shantanu Charpe")</f>
        <v>Shantanu Charpe</v>
      </c>
      <c r="G984" s="4" t="str">
        <f>IFERROR(__xludf.DUMMYFUNCTION("""COMPUTED_VALUE"""),"Cluster - Mayur")</f>
        <v>Cluster - Mayur</v>
      </c>
      <c r="H984" s="4" t="str">
        <f>IFERROR(__xludf.DUMMYFUNCTION("""COMPUTED_VALUE"""),"ONIPGTHT3")</f>
        <v>ONIPGTHT3</v>
      </c>
      <c r="I984" s="5">
        <f>IFERROR(__xludf.DUMMYFUNCTION("""COMPUTED_VALUE"""),5.0)</f>
        <v>5</v>
      </c>
      <c r="J984" s="4" t="str">
        <f>IFERROR(__xludf.DUMMYFUNCTION("""COMPUTED_VALUE"""),"Tier 4")</f>
        <v>Tier 4</v>
      </c>
      <c r="K984" s="4" t="str">
        <f>IFERROR(__xludf.DUMMYFUNCTION("""COMPUTED_VALUE"""),"Active")</f>
        <v>Active</v>
      </c>
      <c r="L984" s="4" t="str">
        <f>IFERROR(__xludf.DUMMYFUNCTION("""COMPUTED_VALUE"""),"Gemini Enterprise")</f>
        <v>Gemini Enterprise</v>
      </c>
    </row>
    <row r="985">
      <c r="A985" s="4" t="str">
        <f>IFERROR(__xludf.DUMMYFUNCTION("""COMPUTED_VALUE"""),"DME2993")</f>
        <v>DME2993</v>
      </c>
      <c r="B985" s="4" t="str">
        <f>IFERROR(__xludf.DUMMYFUNCTION("""COMPUTED_VALUE"""),"Karan Kumar")</f>
        <v>Karan Kumar</v>
      </c>
      <c r="C985" s="4" t="str">
        <f>IFERROR(__xludf.DUMMYFUNCTION("""COMPUTED_VALUE"""),"karan.kumar@onixnet.com")</f>
        <v>karan.kumar@onixnet.com</v>
      </c>
      <c r="D985" s="4" t="str">
        <f>IFERROR(__xludf.DUMMYFUNCTION("""COMPUTED_VALUE"""),"Active")</f>
        <v>Active</v>
      </c>
      <c r="E985" s="4" t="str">
        <f>IFERROR(__xludf.DUMMYFUNCTION("""COMPUTED_VALUE"""),"Delivery Services")</f>
        <v>Delivery Services</v>
      </c>
      <c r="F985" s="4" t="str">
        <f>IFERROR(__xludf.DUMMYFUNCTION("""COMPUTED_VALUE"""),"Mayur Kasar")</f>
        <v>Mayur Kasar</v>
      </c>
      <c r="G985" s="4" t="str">
        <f>IFERROR(__xludf.DUMMYFUNCTION("""COMPUTED_VALUE"""),"Cluster - Varun")</f>
        <v>Cluster - Varun</v>
      </c>
      <c r="H985" s="4" t="str">
        <f>IFERROR(__xludf.DUMMYFUNCTION("""COMPUTED_VALUE"""),"ONIKKSHX7")</f>
        <v>ONIKKSHX7</v>
      </c>
      <c r="I985" s="5">
        <f>IFERROR(__xludf.DUMMYFUNCTION("""COMPUTED_VALUE"""),5.0)</f>
        <v>5</v>
      </c>
      <c r="J985" s="4" t="str">
        <f>IFERROR(__xludf.DUMMYFUNCTION("""COMPUTED_VALUE"""),"Tier 4")</f>
        <v>Tier 4</v>
      </c>
      <c r="K985" s="4" t="str">
        <f>IFERROR(__xludf.DUMMYFUNCTION("""COMPUTED_VALUE"""),"Active")</f>
        <v>Active</v>
      </c>
      <c r="L985" s="4"/>
    </row>
    <row r="986">
      <c r="A986" s="4" t="str">
        <f>IFERROR(__xludf.DUMMYFUNCTION("""COMPUTED_VALUE"""),"DME2992")</f>
        <v>DME2992</v>
      </c>
      <c r="B986" s="4" t="str">
        <f>IFERROR(__xludf.DUMMYFUNCTION("""COMPUTED_VALUE"""),"ASHWINI GANDHI")</f>
        <v>ASHWINI GANDHI</v>
      </c>
      <c r="C986" s="4" t="str">
        <f>IFERROR(__xludf.DUMMYFUNCTION("""COMPUTED_VALUE"""),"ashwini.gandhi@onixnet.com")</f>
        <v>ashwini.gandhi@onixnet.com</v>
      </c>
      <c r="D986" s="4" t="str">
        <f>IFERROR(__xludf.DUMMYFUNCTION("""COMPUTED_VALUE"""),"Active")</f>
        <v>Active</v>
      </c>
      <c r="E986" s="4" t="str">
        <f>IFERROR(__xludf.DUMMYFUNCTION("""COMPUTED_VALUE"""),"Delivery Services")</f>
        <v>Delivery Services</v>
      </c>
      <c r="F986" s="4" t="str">
        <f>IFERROR(__xludf.DUMMYFUNCTION("""COMPUTED_VALUE"""),"Jitender Singh")</f>
        <v>Jitender Singh</v>
      </c>
      <c r="G986" s="4" t="str">
        <f>IFERROR(__xludf.DUMMYFUNCTION("""COMPUTED_VALUE"""),"Cluster - Gaurav")</f>
        <v>Cluster - Gaurav</v>
      </c>
      <c r="H986" s="4" t="str">
        <f>IFERROR(__xludf.DUMMYFUNCTION("""COMPUTED_VALUE"""),"ONIAGIYG7")</f>
        <v>ONIAGIYG7</v>
      </c>
      <c r="I986" s="5">
        <f>IFERROR(__xludf.DUMMYFUNCTION("""COMPUTED_VALUE"""),0.0)</f>
        <v>0</v>
      </c>
      <c r="J986" s="4" t="str">
        <f>IFERROR(__xludf.DUMMYFUNCTION("""COMPUTED_VALUE"""),"Tier 4")</f>
        <v>Tier 4</v>
      </c>
      <c r="K986" s="4" t="str">
        <f>IFERROR(__xludf.DUMMYFUNCTION("""COMPUTED_VALUE"""),"ID Created DRP score 0")</f>
        <v>ID Created DRP score 0</v>
      </c>
      <c r="L986" s="4"/>
    </row>
    <row r="987">
      <c r="A987" s="4" t="str">
        <f>IFERROR(__xludf.DUMMYFUNCTION("""COMPUTED_VALUE"""),"ONIX762")</f>
        <v>ONIX762</v>
      </c>
      <c r="B987" s="4" t="str">
        <f>IFERROR(__xludf.DUMMYFUNCTION("""COMPUTED_VALUE"""),"Carol Vaughan")</f>
        <v>Carol Vaughan</v>
      </c>
      <c r="C987" s="4" t="str">
        <f>IFERROR(__xludf.DUMMYFUNCTION("""COMPUTED_VALUE"""),"carol.vaughan@onixnet.com")</f>
        <v>carol.vaughan@onixnet.com</v>
      </c>
      <c r="D987" s="4" t="str">
        <f>IFERROR(__xludf.DUMMYFUNCTION("""COMPUTED_VALUE"""),"Active")</f>
        <v>Active</v>
      </c>
      <c r="E987" s="4" t="str">
        <f>IFERROR(__xludf.DUMMYFUNCTION("""COMPUTED_VALUE"""),"Service Management")</f>
        <v>Service Management</v>
      </c>
      <c r="F987" s="4" t="str">
        <f>IFERROR(__xludf.DUMMYFUNCTION("""COMPUTED_VALUE"""),"Courtney Cline")</f>
        <v>Courtney Cline</v>
      </c>
      <c r="G987" s="4" t="str">
        <f>IFERROR(__xludf.DUMMYFUNCTION("""COMPUTED_VALUE"""),"Portfolio - Courtney (US East)")</f>
        <v>Portfolio - Courtney (US East)</v>
      </c>
      <c r="H987" s="4" t="str">
        <f>IFERROR(__xludf.DUMMYFUNCTION("""COMPUTED_VALUE"""),"ONICVBDS7")</f>
        <v>ONICVBDS7</v>
      </c>
      <c r="I987" s="5">
        <f>IFERROR(__xludf.DUMMYFUNCTION("""COMPUTED_VALUE"""),10.0)</f>
        <v>10</v>
      </c>
      <c r="J987" s="4" t="str">
        <f>IFERROR(__xludf.DUMMYFUNCTION("""COMPUTED_VALUE"""),"Tier 4")</f>
        <v>Tier 4</v>
      </c>
      <c r="K987" s="4" t="str">
        <f>IFERROR(__xludf.DUMMYFUNCTION("""COMPUTED_VALUE"""),"Active")</f>
        <v>Active</v>
      </c>
      <c r="L987" s="4" t="str">
        <f>IFERROR(__xludf.DUMMYFUNCTION("""COMPUTED_VALUE"""),"Cloud Run")</f>
        <v>Cloud Run</v>
      </c>
    </row>
    <row r="988">
      <c r="A988" s="4" t="str">
        <f>IFERROR(__xludf.DUMMYFUNCTION("""COMPUTED_VALUE"""),"ONIX804")</f>
        <v>ONIX804</v>
      </c>
      <c r="B988" s="4" t="str">
        <f>IFERROR(__xludf.DUMMYFUNCTION("""COMPUTED_VALUE"""),"Marilou Guillemette")</f>
        <v>Marilou Guillemette</v>
      </c>
      <c r="C988" s="4" t="str">
        <f>IFERROR(__xludf.DUMMYFUNCTION("""COMPUTED_VALUE"""),"marilou.guillemette@onixnet.com")</f>
        <v>marilou.guillemette@onixnet.com</v>
      </c>
      <c r="D988" s="4" t="str">
        <f>IFERROR(__xludf.DUMMYFUNCTION("""COMPUTED_VALUE"""),"Active")</f>
        <v>Active</v>
      </c>
      <c r="E988" s="4" t="str">
        <f>IFERROR(__xludf.DUMMYFUNCTION("""COMPUTED_VALUE"""),"Delivery Management")</f>
        <v>Delivery Management</v>
      </c>
      <c r="F988" s="4" t="str">
        <f>IFERROR(__xludf.DUMMYFUNCTION("""COMPUTED_VALUE"""),"Kyle Clark")</f>
        <v>Kyle Clark</v>
      </c>
      <c r="G988" s="4" t="str">
        <f>IFERROR(__xludf.DUMMYFUNCTION("""COMPUTED_VALUE"""),"Portfolio - Thomas (AI)")</f>
        <v>Portfolio - Thomas (AI)</v>
      </c>
      <c r="H988" s="4" t="str">
        <f>IFERROR(__xludf.DUMMYFUNCTION("""COMPUTED_VALUE"""),"ONIMGVSI9")</f>
        <v>ONIMGVSI9</v>
      </c>
      <c r="I988" s="5">
        <f>IFERROR(__xludf.DUMMYFUNCTION("""COMPUTED_VALUE"""),34.0)</f>
        <v>34</v>
      </c>
      <c r="J988" s="4" t="str">
        <f>IFERROR(__xludf.DUMMYFUNCTION("""COMPUTED_VALUE"""),"Tier 3")</f>
        <v>Tier 3</v>
      </c>
      <c r="K988" s="4" t="str">
        <f>IFERROR(__xludf.DUMMYFUNCTION("""COMPUTED_VALUE"""),"Active")</f>
        <v>Active</v>
      </c>
      <c r="L988" s="4" t="str">
        <f>IFERROR(__xludf.DUMMYFUNCTION("""COMPUTED_VALUE"""),"Gemini Enterprise Agent Platform")</f>
        <v>Gemini Enterprise Agent Platform</v>
      </c>
    </row>
    <row r="989">
      <c r="A989" s="4" t="str">
        <f>IFERROR(__xludf.DUMMYFUNCTION("""COMPUTED_VALUE"""),"ONIX809")</f>
        <v>ONIX809</v>
      </c>
      <c r="B989" s="4" t="str">
        <f>IFERROR(__xludf.DUMMYFUNCTION("""COMPUTED_VALUE"""),"Kristen Gabriella Dmello")</f>
        <v>Kristen Gabriella Dmello</v>
      </c>
      <c r="C989" s="4" t="str">
        <f>IFERROR(__xludf.DUMMYFUNCTION("""COMPUTED_VALUE"""),"kristen.dmello@onixnet.com")</f>
        <v>kristen.dmello@onixnet.com</v>
      </c>
      <c r="D989" s="4" t="str">
        <f>IFERROR(__xludf.DUMMYFUNCTION("""COMPUTED_VALUE"""),"Active")</f>
        <v>Active</v>
      </c>
      <c r="E989" s="4" t="str">
        <f>IFERROR(__xludf.DUMMYFUNCTION("""COMPUTED_VALUE"""),"Sales Services")</f>
        <v>Sales Services</v>
      </c>
      <c r="F989" s="4" t="str">
        <f>IFERROR(__xludf.DUMMYFUNCTION("""COMPUTED_VALUE"""),"Thomas Kraus")</f>
        <v>Thomas Kraus</v>
      </c>
      <c r="G989" s="4" t="str">
        <f>IFERROR(__xludf.DUMMYFUNCTION("""COMPUTED_VALUE"""),"Portfolio - Ankur (Sales)")</f>
        <v>Portfolio - Ankur (Sales)</v>
      </c>
      <c r="H989" s="4" t="str">
        <f>IFERROR(__xludf.DUMMYFUNCTION("""COMPUTED_VALUE"""),"ONIKDZLM9")</f>
        <v>ONIKDZLM9</v>
      </c>
      <c r="I989" s="5">
        <f>IFERROR(__xludf.DUMMYFUNCTION("""COMPUTED_VALUE"""),0.0)</f>
        <v>0</v>
      </c>
      <c r="J989" s="4" t="str">
        <f>IFERROR(__xludf.DUMMYFUNCTION("""COMPUTED_VALUE"""),"Tier 4")</f>
        <v>Tier 4</v>
      </c>
      <c r="K989" s="4" t="str">
        <f>IFERROR(__xludf.DUMMYFUNCTION("""COMPUTED_VALUE"""),"ID Created DRP score 0")</f>
        <v>ID Created DRP score 0</v>
      </c>
      <c r="L989" s="4"/>
    </row>
    <row r="990">
      <c r="A990" s="4" t="str">
        <f>IFERROR(__xludf.DUMMYFUNCTION("""COMPUTED_VALUE"""),"DME2997")</f>
        <v>DME2997</v>
      </c>
      <c r="B990" s="4" t="str">
        <f>IFERROR(__xludf.DUMMYFUNCTION("""COMPUTED_VALUE"""),"Rajinder Thakur")</f>
        <v>Rajinder Thakur</v>
      </c>
      <c r="C990" s="4" t="str">
        <f>IFERROR(__xludf.DUMMYFUNCTION("""COMPUTED_VALUE"""),"rajinder.Thakur@onixnet.com")</f>
        <v>rajinder.Thakur@onixnet.com</v>
      </c>
      <c r="D990" s="4" t="str">
        <f>IFERROR(__xludf.DUMMYFUNCTION("""COMPUTED_VALUE"""),"Active")</f>
        <v>Active</v>
      </c>
      <c r="E990" s="4" t="str">
        <f>IFERROR(__xludf.DUMMYFUNCTION("""COMPUTED_VALUE"""),"Delivery Services")</f>
        <v>Delivery Services</v>
      </c>
      <c r="F990" s="4" t="str">
        <f>IFERROR(__xludf.DUMMYFUNCTION("""COMPUTED_VALUE"""),"Varun Katyal")</f>
        <v>Varun Katyal</v>
      </c>
      <c r="G990" s="4" t="str">
        <f>IFERROR(__xludf.DUMMYFUNCTION("""COMPUTED_VALUE"""),"Cluster - Varun")</f>
        <v>Cluster - Varun</v>
      </c>
      <c r="H990" s="4" t="str">
        <f>IFERROR(__xludf.DUMMYFUNCTION("""COMPUTED_VALUE"""),"ONIRTTLT0")</f>
        <v>ONIRTTLT0</v>
      </c>
      <c r="I990" s="5">
        <f>IFERROR(__xludf.DUMMYFUNCTION("""COMPUTED_VALUE"""),34.0)</f>
        <v>34</v>
      </c>
      <c r="J990" s="4" t="str">
        <f>IFERROR(__xludf.DUMMYFUNCTION("""COMPUTED_VALUE"""),"Tier 3")</f>
        <v>Tier 3</v>
      </c>
      <c r="K990" s="4" t="str">
        <f>IFERROR(__xludf.DUMMYFUNCTION("""COMPUTED_VALUE"""),"Active")</f>
        <v>Active</v>
      </c>
      <c r="L990" s="4" t="str">
        <f>IFERROR(__xludf.DUMMYFUNCTION("""COMPUTED_VALUE"""),"Google Kubernetes Engine")</f>
        <v>Google Kubernetes Engine</v>
      </c>
    </row>
    <row r="991">
      <c r="A991" s="4" t="str">
        <f>IFERROR(__xludf.DUMMYFUNCTION("""COMPUTED_VALUE"""),"DME3002")</f>
        <v>DME3002</v>
      </c>
      <c r="B991" s="4" t="str">
        <f>IFERROR(__xludf.DUMMYFUNCTION("""COMPUTED_VALUE"""),"Girash Kumar Karnapuram")</f>
        <v>Girash Kumar Karnapuram</v>
      </c>
      <c r="C991" s="4" t="str">
        <f>IFERROR(__xludf.DUMMYFUNCTION("""COMPUTED_VALUE"""),"girish.kumar@onixnet.com")</f>
        <v>girish.kumar@onixnet.com</v>
      </c>
      <c r="D991" s="4" t="str">
        <f>IFERROR(__xludf.DUMMYFUNCTION("""COMPUTED_VALUE"""),"Active")</f>
        <v>Active</v>
      </c>
      <c r="E991" s="4" t="str">
        <f>IFERROR(__xludf.DUMMYFUNCTION("""COMPUTED_VALUE"""),"Delivery Services")</f>
        <v>Delivery Services</v>
      </c>
      <c r="F991" s="4" t="str">
        <f>IFERROR(__xludf.DUMMYFUNCTION("""COMPUTED_VALUE"""),"Ankur Kashyap")</f>
        <v>Ankur Kashyap</v>
      </c>
      <c r="G991" s="4" t="str">
        <f>IFERROR(__xludf.DUMMYFUNCTION("""COMPUTED_VALUE"""),"Portfolio - Ankur (Sales)")</f>
        <v>Portfolio - Ankur (Sales)</v>
      </c>
      <c r="H991" s="4"/>
      <c r="I991" s="5"/>
      <c r="J991" s="4"/>
      <c r="K991" s="4" t="str">
        <f>IFERROR(__xludf.DUMMYFUNCTION("""COMPUTED_VALUE"""),"ID Not Created")</f>
        <v>ID Not Created</v>
      </c>
      <c r="L991" s="4"/>
    </row>
    <row r="992">
      <c r="A992" s="4" t="str">
        <f>IFERROR(__xludf.DUMMYFUNCTION("""COMPUTED_VALUE"""),"DME3000")</f>
        <v>DME3000</v>
      </c>
      <c r="B992" s="4" t="str">
        <f>IFERROR(__xludf.DUMMYFUNCTION("""COMPUTED_VALUE"""),"Vishal Sonu Jeshnani")</f>
        <v>Vishal Sonu Jeshnani</v>
      </c>
      <c r="C992" s="4" t="str">
        <f>IFERROR(__xludf.DUMMYFUNCTION("""COMPUTED_VALUE"""),"vishal.jeshnani@onixnet.com")</f>
        <v>vishal.jeshnani@onixnet.com</v>
      </c>
      <c r="D992" s="4" t="str">
        <f>IFERROR(__xludf.DUMMYFUNCTION("""COMPUTED_VALUE"""),"Active")</f>
        <v>Active</v>
      </c>
      <c r="E992" s="4" t="str">
        <f>IFERROR(__xludf.DUMMYFUNCTION("""COMPUTED_VALUE"""),"Delivery Services")</f>
        <v>Delivery Services</v>
      </c>
      <c r="F992" s="4" t="str">
        <f>IFERROR(__xludf.DUMMYFUNCTION("""COMPUTED_VALUE"""),"Jitender Singh")</f>
        <v>Jitender Singh</v>
      </c>
      <c r="G992" s="4" t="str">
        <f>IFERROR(__xludf.DUMMYFUNCTION("""COMPUTED_VALUE"""),"Cluster - Gaurav")</f>
        <v>Cluster - Gaurav</v>
      </c>
      <c r="H992" s="4" t="str">
        <f>IFERROR(__xludf.DUMMYFUNCTION("""COMPUTED_VALUE"""),"ONIVJOQY9")</f>
        <v>ONIVJOQY9</v>
      </c>
      <c r="I992" s="5">
        <f>IFERROR(__xludf.DUMMYFUNCTION("""COMPUTED_VALUE"""),10.0)</f>
        <v>10</v>
      </c>
      <c r="J992" s="4" t="str">
        <f>IFERROR(__xludf.DUMMYFUNCTION("""COMPUTED_VALUE"""),"Tier 4")</f>
        <v>Tier 4</v>
      </c>
      <c r="K992" s="4" t="str">
        <f>IFERROR(__xludf.DUMMYFUNCTION("""COMPUTED_VALUE"""),"Active")</f>
        <v>Active</v>
      </c>
      <c r="L992" s="4" t="str">
        <f>IFERROR(__xludf.DUMMYFUNCTION("""COMPUTED_VALUE"""),"Google Kubernetes Engine")</f>
        <v>Google Kubernetes Engine</v>
      </c>
    </row>
    <row r="993">
      <c r="A993" s="4" t="str">
        <f>IFERROR(__xludf.DUMMYFUNCTION("""COMPUTED_VALUE"""),"DME2998")</f>
        <v>DME2998</v>
      </c>
      <c r="B993" s="4" t="str">
        <f>IFERROR(__xludf.DUMMYFUNCTION("""COMPUTED_VALUE"""),"Dheeraj Sharma")</f>
        <v>Dheeraj Sharma</v>
      </c>
      <c r="C993" s="4" t="str">
        <f>IFERROR(__xludf.DUMMYFUNCTION("""COMPUTED_VALUE"""),"dheeraj.sharma@onixnet.com")</f>
        <v>dheeraj.sharma@onixnet.com</v>
      </c>
      <c r="D993" s="4" t="str">
        <f>IFERROR(__xludf.DUMMYFUNCTION("""COMPUTED_VALUE"""),"Active")</f>
        <v>Active</v>
      </c>
      <c r="E993" s="4" t="str">
        <f>IFERROR(__xludf.DUMMYFUNCTION("""COMPUTED_VALUE"""),"Professional Services")</f>
        <v>Professional Services</v>
      </c>
      <c r="F993" s="4" t="str">
        <f>IFERROR(__xludf.DUMMYFUNCTION("""COMPUTED_VALUE"""),"Ritu Garg")</f>
        <v>Ritu Garg</v>
      </c>
      <c r="G993" s="4" t="str">
        <f>IFERROR(__xludf.DUMMYFUNCTION("""COMPUTED_VALUE"""),"Cluster - Kalpa")</f>
        <v>Cluster - Kalpa</v>
      </c>
      <c r="H993" s="4"/>
      <c r="I993" s="5"/>
      <c r="J993" s="4"/>
      <c r="K993" s="4" t="str">
        <f>IFERROR(__xludf.DUMMYFUNCTION("""COMPUTED_VALUE"""),"ID Not Created")</f>
        <v>ID Not Created</v>
      </c>
      <c r="L993" s="4"/>
    </row>
    <row r="994">
      <c r="A994" s="4" t="str">
        <f>IFERROR(__xludf.DUMMYFUNCTION("""COMPUTED_VALUE"""),"DME3001")</f>
        <v>DME3001</v>
      </c>
      <c r="B994" s="4" t="str">
        <f>IFERROR(__xludf.DUMMYFUNCTION("""COMPUTED_VALUE"""),"Amit Bhagwan Dhanokar")</f>
        <v>Amit Bhagwan Dhanokar</v>
      </c>
      <c r="C994" s="4" t="str">
        <f>IFERROR(__xludf.DUMMYFUNCTION("""COMPUTED_VALUE"""),"amit.dhanokar@onixnet.com")</f>
        <v>amit.dhanokar@onixnet.com</v>
      </c>
      <c r="D994" s="4" t="str">
        <f>IFERROR(__xludf.DUMMYFUNCTION("""COMPUTED_VALUE"""),"Active")</f>
        <v>Active</v>
      </c>
      <c r="E994" s="4" t="str">
        <f>IFERROR(__xludf.DUMMYFUNCTION("""COMPUTED_VALUE"""),"Delivery Services")</f>
        <v>Delivery Services</v>
      </c>
      <c r="F994" s="4" t="str">
        <f>IFERROR(__xludf.DUMMYFUNCTION("""COMPUTED_VALUE"""),"Aarti Borhade")</f>
        <v>Aarti Borhade</v>
      </c>
      <c r="G994" s="4" t="str">
        <f>IFERROR(__xludf.DUMMYFUNCTION("""COMPUTED_VALUE"""),"Cluster - Sagar")</f>
        <v>Cluster - Sagar</v>
      </c>
      <c r="H994" s="4" t="str">
        <f>IFERROR(__xludf.DUMMYFUNCTION("""COMPUTED_VALUE"""),"ONIADOSZ1")</f>
        <v>ONIADOSZ1</v>
      </c>
      <c r="I994" s="5">
        <f>IFERROR(__xludf.DUMMYFUNCTION("""COMPUTED_VALUE"""),5.0)</f>
        <v>5</v>
      </c>
      <c r="J994" s="4" t="str">
        <f>IFERROR(__xludf.DUMMYFUNCTION("""COMPUTED_VALUE"""),"Tier 4")</f>
        <v>Tier 4</v>
      </c>
      <c r="K994" s="4" t="str">
        <f>IFERROR(__xludf.DUMMYFUNCTION("""COMPUTED_VALUE"""),"Active")</f>
        <v>Active</v>
      </c>
      <c r="L994" s="4" t="str">
        <f>IFERROR(__xludf.DUMMYFUNCTION("""COMPUTED_VALUE"""),"Gemini Enterprise Agent Platform")</f>
        <v>Gemini Enterprise Agent Platform</v>
      </c>
    </row>
    <row r="995">
      <c r="A995" s="4" t="str">
        <f>IFERROR(__xludf.DUMMYFUNCTION("""COMPUTED_VALUE"""),"DME3004")</f>
        <v>DME3004</v>
      </c>
      <c r="B995" s="4" t="str">
        <f>IFERROR(__xludf.DUMMYFUNCTION("""COMPUTED_VALUE"""),"Rushikesh Rajendra Salke")</f>
        <v>Rushikesh Rajendra Salke</v>
      </c>
      <c r="C995" s="4" t="str">
        <f>IFERROR(__xludf.DUMMYFUNCTION("""COMPUTED_VALUE"""),"rushikesh.salke@onixnet.com")</f>
        <v>rushikesh.salke@onixnet.com</v>
      </c>
      <c r="D995" s="4" t="str">
        <f>IFERROR(__xludf.DUMMYFUNCTION("""COMPUTED_VALUE"""),"Active")</f>
        <v>Active</v>
      </c>
      <c r="E995" s="4" t="str">
        <f>IFERROR(__xludf.DUMMYFUNCTION("""COMPUTED_VALUE"""),"Delivery Services")</f>
        <v>Delivery Services</v>
      </c>
      <c r="F995" s="4" t="str">
        <f>IFERROR(__xludf.DUMMYFUNCTION("""COMPUTED_VALUE"""),"Ravindra Pujari")</f>
        <v>Ravindra Pujari</v>
      </c>
      <c r="G995" s="4" t="str">
        <f>IFERROR(__xludf.DUMMYFUNCTION("""COMPUTED_VALUE"""),"Cluster - Sachin")</f>
        <v>Cluster - Sachin</v>
      </c>
      <c r="H995" s="4" t="str">
        <f>IFERROR(__xludf.DUMMYFUNCTION("""COMPUTED_VALUE"""),"ONIRSZDT4")</f>
        <v>ONIRSZDT4</v>
      </c>
      <c r="I995" s="5">
        <f>IFERROR(__xludf.DUMMYFUNCTION("""COMPUTED_VALUE"""),7.0)</f>
        <v>7</v>
      </c>
      <c r="J995" s="4" t="str">
        <f>IFERROR(__xludf.DUMMYFUNCTION("""COMPUTED_VALUE"""),"Tier 4")</f>
        <v>Tier 4</v>
      </c>
      <c r="K995" s="4" t="str">
        <f>IFERROR(__xludf.DUMMYFUNCTION("""COMPUTED_VALUE"""),"Active")</f>
        <v>Active</v>
      </c>
      <c r="L995" s="4" t="str">
        <f>IFERROR(__xludf.DUMMYFUNCTION("""COMPUTED_VALUE"""),"BigQuery")</f>
        <v>BigQuery</v>
      </c>
    </row>
    <row r="996">
      <c r="A996" s="4" t="str">
        <f>IFERROR(__xludf.DUMMYFUNCTION("""COMPUTED_VALUE"""),"DME3005")</f>
        <v>DME3005</v>
      </c>
      <c r="B996" s="4" t="str">
        <f>IFERROR(__xludf.DUMMYFUNCTION("""COMPUTED_VALUE"""),"Ashok Kumar Sadupati")</f>
        <v>Ashok Kumar Sadupati</v>
      </c>
      <c r="C996" s="4" t="str">
        <f>IFERROR(__xludf.DUMMYFUNCTION("""COMPUTED_VALUE"""),"ashok.sadupati@onixnet.com")</f>
        <v>ashok.sadupati@onixnet.com</v>
      </c>
      <c r="D996" s="4" t="str">
        <f>IFERROR(__xludf.DUMMYFUNCTION("""COMPUTED_VALUE"""),"Active")</f>
        <v>Active</v>
      </c>
      <c r="E996" s="4" t="str">
        <f>IFERROR(__xludf.DUMMYFUNCTION("""COMPUTED_VALUE"""),"Delivery Services")</f>
        <v>Delivery Services</v>
      </c>
      <c r="F996" s="4" t="str">
        <f>IFERROR(__xludf.DUMMYFUNCTION("""COMPUTED_VALUE"""),"Dinesh Bhamare")</f>
        <v>Dinesh Bhamare</v>
      </c>
      <c r="G996" s="4" t="str">
        <f>IFERROR(__xludf.DUMMYFUNCTION("""COMPUTED_VALUE"""),"Cluster - Shreepad")</f>
        <v>Cluster - Shreepad</v>
      </c>
      <c r="H996" s="4" t="str">
        <f>IFERROR(__xludf.DUMMYFUNCTION("""COMPUTED_VALUE"""),"ONIASJMC3")</f>
        <v>ONIASJMC3</v>
      </c>
      <c r="I996" s="5">
        <f>IFERROR(__xludf.DUMMYFUNCTION("""COMPUTED_VALUE"""),5.0)</f>
        <v>5</v>
      </c>
      <c r="J996" s="4" t="str">
        <f>IFERROR(__xludf.DUMMYFUNCTION("""COMPUTED_VALUE"""),"Tier 4")</f>
        <v>Tier 4</v>
      </c>
      <c r="K996" s="4" t="str">
        <f>IFERROR(__xludf.DUMMYFUNCTION("""COMPUTED_VALUE"""),"Active")</f>
        <v>Active</v>
      </c>
      <c r="L996" s="4" t="str">
        <f>IFERROR(__xludf.DUMMYFUNCTION("""COMPUTED_VALUE"""),"Gemini Enterprise Agent Platform")</f>
        <v>Gemini Enterprise Agent Platform</v>
      </c>
    </row>
    <row r="997">
      <c r="A997" s="4" t="str">
        <f>IFERROR(__xludf.DUMMYFUNCTION("""COMPUTED_VALUE"""),"DME3006")</f>
        <v>DME3006</v>
      </c>
      <c r="B997" s="4" t="str">
        <f>IFERROR(__xludf.DUMMYFUNCTION("""COMPUTED_VALUE"""),"Arjun Ruparel")</f>
        <v>Arjun Ruparel</v>
      </c>
      <c r="C997" s="4" t="str">
        <f>IFERROR(__xludf.DUMMYFUNCTION("""COMPUTED_VALUE"""),"arjun.ruparel@onixnet.com")</f>
        <v>arjun.ruparel@onixnet.com</v>
      </c>
      <c r="D997" s="4" t="str">
        <f>IFERROR(__xludf.DUMMYFUNCTION("""COMPUTED_VALUE"""),"Active")</f>
        <v>Active</v>
      </c>
      <c r="E997" s="4" t="str">
        <f>IFERROR(__xludf.DUMMYFUNCTION("""COMPUTED_VALUE"""),"Delivery Services")</f>
        <v>Delivery Services</v>
      </c>
      <c r="F997" s="4" t="str">
        <f>IFERROR(__xludf.DUMMYFUNCTION("""COMPUTED_VALUE"""),"Mayur Kasar")</f>
        <v>Mayur Kasar</v>
      </c>
      <c r="G997" s="4" t="str">
        <f>IFERROR(__xludf.DUMMYFUNCTION("""COMPUTED_VALUE"""),"Cluster - Varun")</f>
        <v>Cluster - Varun</v>
      </c>
      <c r="H997" s="4" t="str">
        <f>IFERROR(__xludf.DUMMYFUNCTION("""COMPUTED_VALUE"""),"ONIARVHP1")</f>
        <v>ONIARVHP1</v>
      </c>
      <c r="I997" s="5">
        <f>IFERROR(__xludf.DUMMYFUNCTION("""COMPUTED_VALUE"""),90.0)</f>
        <v>90</v>
      </c>
      <c r="J997" s="4" t="str">
        <f>IFERROR(__xludf.DUMMYFUNCTION("""COMPUTED_VALUE"""),"Tier 1")</f>
        <v>Tier 1</v>
      </c>
      <c r="K997" s="4" t="str">
        <f>IFERROR(__xludf.DUMMYFUNCTION("""COMPUTED_VALUE"""),"Active")</f>
        <v>Active</v>
      </c>
      <c r="L997" s="4" t="str">
        <f>IFERROR(__xludf.DUMMYFUNCTION("""COMPUTED_VALUE"""),"Gemini Enterprise")</f>
        <v>Gemini Enterprise</v>
      </c>
    </row>
    <row r="998">
      <c r="A998" s="4" t="str">
        <f>IFERROR(__xludf.DUMMYFUNCTION("""COMPUTED_VALUE"""),"DME3007")</f>
        <v>DME3007</v>
      </c>
      <c r="B998" s="4" t="str">
        <f>IFERROR(__xludf.DUMMYFUNCTION("""COMPUTED_VALUE"""),"Jhalak Kiran Parikh")</f>
        <v>Jhalak Kiran Parikh</v>
      </c>
      <c r="C998" s="4" t="str">
        <f>IFERROR(__xludf.DUMMYFUNCTION("""COMPUTED_VALUE"""),"jhalak.parikh@onixnet.com")</f>
        <v>jhalak.parikh@onixnet.com</v>
      </c>
      <c r="D998" s="4" t="str">
        <f>IFERROR(__xludf.DUMMYFUNCTION("""COMPUTED_VALUE"""),"Active")</f>
        <v>Active</v>
      </c>
      <c r="E998" s="4" t="str">
        <f>IFERROR(__xludf.DUMMYFUNCTION("""COMPUTED_VALUE"""),"Delivery Services")</f>
        <v>Delivery Services</v>
      </c>
      <c r="F998" s="4" t="str">
        <f>IFERROR(__xludf.DUMMYFUNCTION("""COMPUTED_VALUE"""),"Sheela Sawant")</f>
        <v>Sheela Sawant</v>
      </c>
      <c r="G998" s="4" t="str">
        <f>IFERROR(__xludf.DUMMYFUNCTION("""COMPUTED_VALUE"""),"Cluster - Sagar")</f>
        <v>Cluster - Sagar</v>
      </c>
      <c r="H998" s="4"/>
      <c r="I998" s="5"/>
      <c r="J998" s="4"/>
      <c r="K998" s="4" t="str">
        <f>IFERROR(__xludf.DUMMYFUNCTION("""COMPUTED_VALUE"""),"ID Not Created")</f>
        <v>ID Not Created</v>
      </c>
      <c r="L998" s="4"/>
    </row>
    <row r="999">
      <c r="A999" s="4" t="str">
        <f>IFERROR(__xludf.DUMMYFUNCTION("""COMPUTED_VALUE"""),"DMC1055")</f>
        <v>DMC1055</v>
      </c>
      <c r="B999" s="4" t="str">
        <f>IFERROR(__xludf.DUMMYFUNCTION("""COMPUTED_VALUE"""),"Meenakshi Verma Tripathi")</f>
        <v>Meenakshi Verma Tripathi</v>
      </c>
      <c r="C999" s="4" t="str">
        <f>IFERROR(__xludf.DUMMYFUNCTION("""COMPUTED_VALUE"""),"meenakshi.tripathi@onixnet.com")</f>
        <v>meenakshi.tripathi@onixnet.com</v>
      </c>
      <c r="D999" s="4" t="str">
        <f>IFERROR(__xludf.DUMMYFUNCTION("""COMPUTED_VALUE"""),"Active")</f>
        <v>Active</v>
      </c>
      <c r="E999" s="4" t="str">
        <f>IFERROR(__xludf.DUMMYFUNCTION("""COMPUTED_VALUE"""),"Delivery Services")</f>
        <v>Delivery Services</v>
      </c>
      <c r="F999" s="4" t="str">
        <f>IFERROR(__xludf.DUMMYFUNCTION("""COMPUTED_VALUE"""),"Mayur Kasar")</f>
        <v>Mayur Kasar</v>
      </c>
      <c r="G999" s="4" t="str">
        <f>IFERROR(__xludf.DUMMYFUNCTION("""COMPUTED_VALUE"""),"Cluster - Varun")</f>
        <v>Cluster - Varun</v>
      </c>
      <c r="H999" s="4" t="str">
        <f>IFERROR(__xludf.DUMMYFUNCTION("""COMPUTED_VALUE"""),"ONIMTKTH1")</f>
        <v>ONIMTKTH1</v>
      </c>
      <c r="I999" s="5">
        <f>IFERROR(__xludf.DUMMYFUNCTION("""COMPUTED_VALUE"""),15.0)</f>
        <v>15</v>
      </c>
      <c r="J999" s="4" t="str">
        <f>IFERROR(__xludf.DUMMYFUNCTION("""COMPUTED_VALUE"""),"Tier 4")</f>
        <v>Tier 4</v>
      </c>
      <c r="K999" s="4" t="str">
        <f>IFERROR(__xludf.DUMMYFUNCTION("""COMPUTED_VALUE"""),"Active")</f>
        <v>Active</v>
      </c>
      <c r="L999" s="4"/>
    </row>
    <row r="1000">
      <c r="A1000" s="4" t="str">
        <f>IFERROR(__xludf.DUMMYFUNCTION("""COMPUTED_VALUE"""),"ONIX814")</f>
        <v>ONIX814</v>
      </c>
      <c r="B1000" s="4" t="str">
        <f>IFERROR(__xludf.DUMMYFUNCTION("""COMPUTED_VALUE"""),"Pratik Rajendra Karhekar")</f>
        <v>Pratik Rajendra Karhekar</v>
      </c>
      <c r="C1000" s="4" t="str">
        <f>IFERROR(__xludf.DUMMYFUNCTION("""COMPUTED_VALUE"""),"pratik.karhekar@onixnet.com")</f>
        <v>pratik.karhekar@onixnet.com</v>
      </c>
      <c r="D1000" s="4" t="str">
        <f>IFERROR(__xludf.DUMMYFUNCTION("""COMPUTED_VALUE"""),"Active")</f>
        <v>Active</v>
      </c>
      <c r="E1000" s="4" t="str">
        <f>IFERROR(__xludf.DUMMYFUNCTION("""COMPUTED_VALUE"""),"Services")</f>
        <v>Services</v>
      </c>
      <c r="F1000" s="4" t="str">
        <f>IFERROR(__xludf.DUMMYFUNCTION("""COMPUTED_VALUE"""),"Venkat Srinivasan")</f>
        <v>Venkat Srinivasan</v>
      </c>
      <c r="G1000" s="4" t="str">
        <f>IFERROR(__xludf.DUMMYFUNCTION("""COMPUTED_VALUE"""),"Portfolio - Rajesh")</f>
        <v>Portfolio - Rajesh</v>
      </c>
      <c r="H1000" s="4" t="str">
        <f>IFERROR(__xludf.DUMMYFUNCTION("""COMPUTED_VALUE"""),"ONIPKGYV8")</f>
        <v>ONIPKGYV8</v>
      </c>
      <c r="I1000" s="5">
        <f>IFERROR(__xludf.DUMMYFUNCTION("""COMPUTED_VALUE"""),15.0)</f>
        <v>15</v>
      </c>
      <c r="J1000" s="4" t="str">
        <f>IFERROR(__xludf.DUMMYFUNCTION("""COMPUTED_VALUE"""),"Tier 4")</f>
        <v>Tier 4</v>
      </c>
      <c r="K1000" s="4" t="str">
        <f>IFERROR(__xludf.DUMMYFUNCTION("""COMPUTED_VALUE"""),"Active")</f>
        <v>Active</v>
      </c>
      <c r="L1000" s="4" t="str">
        <f>IFERROR(__xludf.DUMMYFUNCTION("""COMPUTED_VALUE"""),"BigQuery")</f>
        <v>BigQuery</v>
      </c>
    </row>
    <row r="1001">
      <c r="A1001" s="4" t="str">
        <f>IFERROR(__xludf.DUMMYFUNCTION("""COMPUTED_VALUE"""),"ONIX816")</f>
        <v>ONIX816</v>
      </c>
      <c r="B1001" s="4" t="str">
        <f>IFERROR(__xludf.DUMMYFUNCTION("""COMPUTED_VALUE"""),"Aniket Chandrakant Chougule")</f>
        <v>Aniket Chandrakant Chougule</v>
      </c>
      <c r="C1001" s="4" t="str">
        <f>IFERROR(__xludf.DUMMYFUNCTION("""COMPUTED_VALUE"""),"aniket.chougule@onixnet.com")</f>
        <v>aniket.chougule@onixnet.com</v>
      </c>
      <c r="D1001" s="4" t="str">
        <f>IFERROR(__xludf.DUMMYFUNCTION("""COMPUTED_VALUE"""),"Active")</f>
        <v>Active</v>
      </c>
      <c r="E1001" s="4" t="str">
        <f>IFERROR(__xludf.DUMMYFUNCTION("""COMPUTED_VALUE"""),"Services")</f>
        <v>Services</v>
      </c>
      <c r="F1001" s="4" t="str">
        <f>IFERROR(__xludf.DUMMYFUNCTION("""COMPUTED_VALUE"""),"Venkat Srinivasan")</f>
        <v>Venkat Srinivasan</v>
      </c>
      <c r="G1001" s="4" t="str">
        <f>IFERROR(__xludf.DUMMYFUNCTION("""COMPUTED_VALUE"""),"Portfolio - Rajesh")</f>
        <v>Portfolio - Rajesh</v>
      </c>
      <c r="H1001" s="4" t="str">
        <f>IFERROR(__xludf.DUMMYFUNCTION("""COMPUTED_VALUE"""),"ONIACMGV7")</f>
        <v>ONIACMGV7</v>
      </c>
      <c r="I1001" s="5">
        <f>IFERROR(__xludf.DUMMYFUNCTION("""COMPUTED_VALUE"""),48.0)</f>
        <v>48</v>
      </c>
      <c r="J1001" s="4" t="str">
        <f>IFERROR(__xludf.DUMMYFUNCTION("""COMPUTED_VALUE"""),"Tier 2")</f>
        <v>Tier 2</v>
      </c>
      <c r="K1001" s="4" t="str">
        <f>IFERROR(__xludf.DUMMYFUNCTION("""COMPUTED_VALUE"""),"Active")</f>
        <v>Active</v>
      </c>
      <c r="L1001" s="4" t="str">
        <f>IFERROR(__xludf.DUMMYFUNCTION("""COMPUTED_VALUE"""),"BigQuery")</f>
        <v>BigQuery</v>
      </c>
    </row>
    <row r="1002">
      <c r="A1002" s="4" t="str">
        <f>IFERROR(__xludf.DUMMYFUNCTION("""COMPUTED_VALUE"""),"ONIX815")</f>
        <v>ONIX815</v>
      </c>
      <c r="B1002" s="4" t="str">
        <f>IFERROR(__xludf.DUMMYFUNCTION("""COMPUTED_VALUE"""),"Prathmesh Vivek Pethkar")</f>
        <v>Prathmesh Vivek Pethkar</v>
      </c>
      <c r="C1002" s="4" t="str">
        <f>IFERROR(__xludf.DUMMYFUNCTION("""COMPUTED_VALUE"""),"prathmesh.pethkar@onixnet.com")</f>
        <v>prathmesh.pethkar@onixnet.com</v>
      </c>
      <c r="D1002" s="4" t="str">
        <f>IFERROR(__xludf.DUMMYFUNCTION("""COMPUTED_VALUE"""),"Active")</f>
        <v>Active</v>
      </c>
      <c r="E1002" s="4" t="str">
        <f>IFERROR(__xludf.DUMMYFUNCTION("""COMPUTED_VALUE"""),"Services")</f>
        <v>Services</v>
      </c>
      <c r="F1002" s="4" t="str">
        <f>IFERROR(__xludf.DUMMYFUNCTION("""COMPUTED_VALUE"""),"Venkat Srinivasan")</f>
        <v>Venkat Srinivasan</v>
      </c>
      <c r="G1002" s="4" t="str">
        <f>IFERROR(__xludf.DUMMYFUNCTION("""COMPUTED_VALUE"""),"Portfolio - Rajesh")</f>
        <v>Portfolio - Rajesh</v>
      </c>
      <c r="H1002" s="4" t="str">
        <f>IFERROR(__xludf.DUMMYFUNCTION("""COMPUTED_VALUE"""),"ONIPPGJB4")</f>
        <v>ONIPPGJB4</v>
      </c>
      <c r="I1002" s="5">
        <f>IFERROR(__xludf.DUMMYFUNCTION("""COMPUTED_VALUE"""),29.0)</f>
        <v>29</v>
      </c>
      <c r="J1002" s="4" t="str">
        <f>IFERROR(__xludf.DUMMYFUNCTION("""COMPUTED_VALUE"""),"Tier 3")</f>
        <v>Tier 3</v>
      </c>
      <c r="K1002" s="4" t="str">
        <f>IFERROR(__xludf.DUMMYFUNCTION("""COMPUTED_VALUE"""),"Active")</f>
        <v>Active</v>
      </c>
      <c r="L1002" s="4" t="str">
        <f>IFERROR(__xludf.DUMMYFUNCTION("""COMPUTED_VALUE"""),"BigQuery")</f>
        <v>BigQuery</v>
      </c>
    </row>
    <row r="1003">
      <c r="A1003" s="4" t="str">
        <f>IFERROR(__xludf.DUMMYFUNCTION("""COMPUTED_VALUE"""),"DME3008")</f>
        <v>DME3008</v>
      </c>
      <c r="B1003" s="4" t="str">
        <f>IFERROR(__xludf.DUMMYFUNCTION("""COMPUTED_VALUE"""),"Mohan Girish Sonar")</f>
        <v>Mohan Girish Sonar</v>
      </c>
      <c r="C1003" s="4" t="str">
        <f>IFERROR(__xludf.DUMMYFUNCTION("""COMPUTED_VALUE"""),"mohan.sonar@onixnet.com")</f>
        <v>mohan.sonar@onixnet.com</v>
      </c>
      <c r="D1003" s="4" t="str">
        <f>IFERROR(__xludf.DUMMYFUNCTION("""COMPUTED_VALUE"""),"Active")</f>
        <v>Active</v>
      </c>
      <c r="E1003" s="4" t="str">
        <f>IFERROR(__xludf.DUMMYFUNCTION("""COMPUTED_VALUE"""),"Product Engineering")</f>
        <v>Product Engineering</v>
      </c>
      <c r="F1003" s="4" t="str">
        <f>IFERROR(__xludf.DUMMYFUNCTION("""COMPUTED_VALUE"""),"Venkat Shivkumar")</f>
        <v>Venkat Shivkumar</v>
      </c>
      <c r="G1003" s="4" t="str">
        <f>IFERROR(__xludf.DUMMYFUNCTION("""COMPUTED_VALUE"""),"Cluster - Mayur")</f>
        <v>Cluster - Mayur</v>
      </c>
      <c r="H1003" s="4" t="str">
        <f>IFERROR(__xludf.DUMMYFUNCTION("""COMPUTED_VALUE"""),"ONIMSWRH5")</f>
        <v>ONIMSWRH5</v>
      </c>
      <c r="I1003" s="5">
        <f>IFERROR(__xludf.DUMMYFUNCTION("""COMPUTED_VALUE"""),0.0)</f>
        <v>0</v>
      </c>
      <c r="J1003" s="4" t="str">
        <f>IFERROR(__xludf.DUMMYFUNCTION("""COMPUTED_VALUE"""),"Tier 4")</f>
        <v>Tier 4</v>
      </c>
      <c r="K1003" s="4" t="str">
        <f>IFERROR(__xludf.DUMMYFUNCTION("""COMPUTED_VALUE"""),"ID Created DRP score 0")</f>
        <v>ID Created DRP score 0</v>
      </c>
      <c r="L1003" s="4"/>
    </row>
    <row r="1004">
      <c r="A1004" s="4" t="str">
        <f>IFERROR(__xludf.DUMMYFUNCTION("""COMPUTED_VALUE"""),"DME3012")</f>
        <v>DME3012</v>
      </c>
      <c r="B1004" s="4" t="str">
        <f>IFERROR(__xludf.DUMMYFUNCTION("""COMPUTED_VALUE"""),"Shubham Shivaji Chaudhari")</f>
        <v>Shubham Shivaji Chaudhari</v>
      </c>
      <c r="C1004" s="4" t="str">
        <f>IFERROR(__xludf.DUMMYFUNCTION("""COMPUTED_VALUE"""),"shubham.chaudhari@onixnet.com")</f>
        <v>shubham.chaudhari@onixnet.com</v>
      </c>
      <c r="D1004" s="4" t="str">
        <f>IFERROR(__xludf.DUMMYFUNCTION("""COMPUTED_VALUE"""),"Active")</f>
        <v>Active</v>
      </c>
      <c r="E1004" s="4" t="str">
        <f>IFERROR(__xludf.DUMMYFUNCTION("""COMPUTED_VALUE"""),"Delivery Services")</f>
        <v>Delivery Services</v>
      </c>
      <c r="F1004" s="4" t="str">
        <f>IFERROR(__xludf.DUMMYFUNCTION("""COMPUTED_VALUE"""),"Ravindra Pujari")</f>
        <v>Ravindra Pujari</v>
      </c>
      <c r="G1004" s="4" t="str">
        <f>IFERROR(__xludf.DUMMYFUNCTION("""COMPUTED_VALUE"""),"Cluster - Sachin")</f>
        <v>Cluster - Sachin</v>
      </c>
      <c r="H1004" s="4" t="str">
        <f>IFERROR(__xludf.DUMMYFUNCTION("""COMPUTED_VALUE"""),"ONISCTXG7")</f>
        <v>ONISCTXG7</v>
      </c>
      <c r="I1004" s="5">
        <f>IFERROR(__xludf.DUMMYFUNCTION("""COMPUTED_VALUE"""),10.0)</f>
        <v>10</v>
      </c>
      <c r="J1004" s="4" t="str">
        <f>IFERROR(__xludf.DUMMYFUNCTION("""COMPUTED_VALUE"""),"Tier 4")</f>
        <v>Tier 4</v>
      </c>
      <c r="K1004" s="4" t="str">
        <f>IFERROR(__xludf.DUMMYFUNCTION("""COMPUTED_VALUE"""),"Active")</f>
        <v>Active</v>
      </c>
      <c r="L1004" s="4" t="str">
        <f>IFERROR(__xludf.DUMMYFUNCTION("""COMPUTED_VALUE"""),"Gemini Enterprise Agent Platform")</f>
        <v>Gemini Enterprise Agent Platform</v>
      </c>
    </row>
    <row r="1005">
      <c r="A1005" s="4" t="str">
        <f>IFERROR(__xludf.DUMMYFUNCTION("""COMPUTED_VALUE"""),"DME3010")</f>
        <v>DME3010</v>
      </c>
      <c r="B1005" s="4" t="str">
        <f>IFERROR(__xludf.DUMMYFUNCTION("""COMPUTED_VALUE"""),"Shubham Gokul Gadilkar")</f>
        <v>Shubham Gokul Gadilkar</v>
      </c>
      <c r="C1005" s="4" t="str">
        <f>IFERROR(__xludf.DUMMYFUNCTION("""COMPUTED_VALUE"""),"shubham.gadilkar@onixnet.com")</f>
        <v>shubham.gadilkar@onixnet.com</v>
      </c>
      <c r="D1005" s="4" t="str">
        <f>IFERROR(__xludf.DUMMYFUNCTION("""COMPUTED_VALUE"""),"Active")</f>
        <v>Active</v>
      </c>
      <c r="E1005" s="4" t="str">
        <f>IFERROR(__xludf.DUMMYFUNCTION("""COMPUTED_VALUE"""),"Product Engineering")</f>
        <v>Product Engineering</v>
      </c>
      <c r="F1005" s="4" t="str">
        <f>IFERROR(__xludf.DUMMYFUNCTION("""COMPUTED_VALUE"""),"Saurabh Singh")</f>
        <v>Saurabh Singh</v>
      </c>
      <c r="G1005" s="4" t="str">
        <f>IFERROR(__xludf.DUMMYFUNCTION("""COMPUTED_VALUE"""),"Cluster - Mayur")</f>
        <v>Cluster - Mayur</v>
      </c>
      <c r="H1005" s="4"/>
      <c r="I1005" s="5"/>
      <c r="J1005" s="4"/>
      <c r="K1005" s="4" t="str">
        <f>IFERROR(__xludf.DUMMYFUNCTION("""COMPUTED_VALUE"""),"ID Not Created")</f>
        <v>ID Not Created</v>
      </c>
      <c r="L1005" s="4"/>
    </row>
    <row r="1006">
      <c r="A1006" s="4" t="str">
        <f>IFERROR(__xludf.DUMMYFUNCTION("""COMPUTED_VALUE"""),"DME3011")</f>
        <v>DME3011</v>
      </c>
      <c r="B1006" s="4" t="str">
        <f>IFERROR(__xludf.DUMMYFUNCTION("""COMPUTED_VALUE"""),"Shubham Dilip Kashettiwar")</f>
        <v>Shubham Dilip Kashettiwar</v>
      </c>
      <c r="C1006" s="4" t="str">
        <f>IFERROR(__xludf.DUMMYFUNCTION("""COMPUTED_VALUE"""),"shubham.kashettiwar@onixnet.com")</f>
        <v>shubham.kashettiwar@onixnet.com</v>
      </c>
      <c r="D1006" s="4" t="str">
        <f>IFERROR(__xludf.DUMMYFUNCTION("""COMPUTED_VALUE"""),"Active")</f>
        <v>Active</v>
      </c>
      <c r="E1006" s="4" t="str">
        <f>IFERROR(__xludf.DUMMYFUNCTION("""COMPUTED_VALUE"""),"Product Engineering")</f>
        <v>Product Engineering</v>
      </c>
      <c r="F1006" s="4" t="str">
        <f>IFERROR(__xludf.DUMMYFUNCTION("""COMPUTED_VALUE"""),"Saurabh Singh")</f>
        <v>Saurabh Singh</v>
      </c>
      <c r="G1006" s="4" t="str">
        <f>IFERROR(__xludf.DUMMYFUNCTION("""COMPUTED_VALUE"""),"Cluster - Mayur")</f>
        <v>Cluster - Mayur</v>
      </c>
      <c r="H1006" s="4" t="str">
        <f>IFERROR(__xludf.DUMMYFUNCTION("""COMPUTED_VALUE"""),"ONISKWTG7")</f>
        <v>ONISKWTG7</v>
      </c>
      <c r="I1006" s="5">
        <f>IFERROR(__xludf.DUMMYFUNCTION("""COMPUTED_VALUE"""),0.0)</f>
        <v>0</v>
      </c>
      <c r="J1006" s="4" t="str">
        <f>IFERROR(__xludf.DUMMYFUNCTION("""COMPUTED_VALUE"""),"Tier 4")</f>
        <v>Tier 4</v>
      </c>
      <c r="K1006" s="4" t="str">
        <f>IFERROR(__xludf.DUMMYFUNCTION("""COMPUTED_VALUE"""),"ID Created DRP score 0")</f>
        <v>ID Created DRP score 0</v>
      </c>
      <c r="L1006" s="4"/>
    </row>
    <row r="1007">
      <c r="A1007" s="4" t="str">
        <f>IFERROR(__xludf.DUMMYFUNCTION("""COMPUTED_VALUE"""),"DME3013")</f>
        <v>DME3013</v>
      </c>
      <c r="B1007" s="4" t="str">
        <f>IFERROR(__xludf.DUMMYFUNCTION("""COMPUTED_VALUE"""),"Vijender Bhardwaj")</f>
        <v>Vijender Bhardwaj</v>
      </c>
      <c r="C1007" s="4" t="str">
        <f>IFERROR(__xludf.DUMMYFUNCTION("""COMPUTED_VALUE"""),"vijender.bhardwaj@onixnet.com")</f>
        <v>vijender.bhardwaj@onixnet.com</v>
      </c>
      <c r="D1007" s="4" t="str">
        <f>IFERROR(__xludf.DUMMYFUNCTION("""COMPUTED_VALUE"""),"Active")</f>
        <v>Active</v>
      </c>
      <c r="E1007" s="4" t="str">
        <f>IFERROR(__xludf.DUMMYFUNCTION("""COMPUTED_VALUE"""),"Delivery Services")</f>
        <v>Delivery Services</v>
      </c>
      <c r="F1007" s="4" t="str">
        <f>IFERROR(__xludf.DUMMYFUNCTION("""COMPUTED_VALUE"""),"Varun Katyal")</f>
        <v>Varun Katyal</v>
      </c>
      <c r="G1007" s="4" t="str">
        <f>IFERROR(__xludf.DUMMYFUNCTION("""COMPUTED_VALUE"""),"Cluster - Varun")</f>
        <v>Cluster - Varun</v>
      </c>
      <c r="H1007" s="4" t="str">
        <f>IFERROR(__xludf.DUMMYFUNCTION("""COMPUTED_VALUE"""),"ONIVBDJA9")</f>
        <v>ONIVBDJA9</v>
      </c>
      <c r="I1007" s="5">
        <f>IFERROR(__xludf.DUMMYFUNCTION("""COMPUTED_VALUE"""),29.0)</f>
        <v>29</v>
      </c>
      <c r="J1007" s="4" t="str">
        <f>IFERROR(__xludf.DUMMYFUNCTION("""COMPUTED_VALUE"""),"Tier 3")</f>
        <v>Tier 3</v>
      </c>
      <c r="K1007" s="4" t="str">
        <f>IFERROR(__xludf.DUMMYFUNCTION("""COMPUTED_VALUE"""),"Active")</f>
        <v>Active</v>
      </c>
      <c r="L1007" s="4" t="str">
        <f>IFERROR(__xludf.DUMMYFUNCTION("""COMPUTED_VALUE"""),"Google Kubernetes Engine")</f>
        <v>Google Kubernetes Engine</v>
      </c>
    </row>
    <row r="1008">
      <c r="A1008" s="4" t="str">
        <f>IFERROR(__xludf.DUMMYFUNCTION("""COMPUTED_VALUE"""),"DME3016")</f>
        <v>DME3016</v>
      </c>
      <c r="B1008" s="4" t="str">
        <f>IFERROR(__xludf.DUMMYFUNCTION("""COMPUTED_VALUE"""),"Pramod Manik Mhalaskar")</f>
        <v>Pramod Manik Mhalaskar</v>
      </c>
      <c r="C1008" s="4" t="str">
        <f>IFERROR(__xludf.DUMMYFUNCTION("""COMPUTED_VALUE"""),"pramod.mhalaskar@onixnet.com")</f>
        <v>pramod.mhalaskar@onixnet.com</v>
      </c>
      <c r="D1008" s="4" t="str">
        <f>IFERROR(__xludf.DUMMYFUNCTION("""COMPUTED_VALUE"""),"Active")</f>
        <v>Active</v>
      </c>
      <c r="E1008" s="4" t="str">
        <f>IFERROR(__xludf.DUMMYFUNCTION("""COMPUTED_VALUE"""),"Delivery Services")</f>
        <v>Delivery Services</v>
      </c>
      <c r="F1008" s="4" t="str">
        <f>IFERROR(__xludf.DUMMYFUNCTION("""COMPUTED_VALUE"""),"Sneha Bhatambrekar")</f>
        <v>Sneha Bhatambrekar</v>
      </c>
      <c r="G1008" s="4" t="str">
        <f>IFERROR(__xludf.DUMMYFUNCTION("""COMPUTED_VALUE"""),"Cluster - Sandeep")</f>
        <v>Cluster - Sandeep</v>
      </c>
      <c r="H1008" s="4" t="str">
        <f>IFERROR(__xludf.DUMMYFUNCTION("""COMPUTED_VALUE"""),"ONIPMUJK2")</f>
        <v>ONIPMUJK2</v>
      </c>
      <c r="I1008" s="5">
        <f>IFERROR(__xludf.DUMMYFUNCTION("""COMPUTED_VALUE"""),29.0)</f>
        <v>29</v>
      </c>
      <c r="J1008" s="4" t="str">
        <f>IFERROR(__xludf.DUMMYFUNCTION("""COMPUTED_VALUE"""),"Tier 3")</f>
        <v>Tier 3</v>
      </c>
      <c r="K1008" s="4" t="str">
        <f>IFERROR(__xludf.DUMMYFUNCTION("""COMPUTED_VALUE"""),"Active")</f>
        <v>Active</v>
      </c>
      <c r="L1008" s="4" t="str">
        <f>IFERROR(__xludf.DUMMYFUNCTION("""COMPUTED_VALUE"""),"BigQuery")</f>
        <v>BigQuery</v>
      </c>
    </row>
    <row r="1009">
      <c r="A1009" s="4" t="str">
        <f>IFERROR(__xludf.DUMMYFUNCTION("""COMPUTED_VALUE"""),"DME3015")</f>
        <v>DME3015</v>
      </c>
      <c r="B1009" s="4" t="str">
        <f>IFERROR(__xludf.DUMMYFUNCTION("""COMPUTED_VALUE"""),"Monika Pharnawis")</f>
        <v>Monika Pharnawis</v>
      </c>
      <c r="C1009" s="4" t="str">
        <f>IFERROR(__xludf.DUMMYFUNCTION("""COMPUTED_VALUE"""),"monika.pharnawis@onixnet.com")</f>
        <v>monika.pharnawis@onixnet.com</v>
      </c>
      <c r="D1009" s="4" t="str">
        <f>IFERROR(__xludf.DUMMYFUNCTION("""COMPUTED_VALUE"""),"Active")</f>
        <v>Active</v>
      </c>
      <c r="E1009" s="4" t="str">
        <f>IFERROR(__xludf.DUMMYFUNCTION("""COMPUTED_VALUE"""),"Delivery Services")</f>
        <v>Delivery Services</v>
      </c>
      <c r="F1009" s="4" t="str">
        <f>IFERROR(__xludf.DUMMYFUNCTION("""COMPUTED_VALUE"""),"Pritesh Chaudhari")</f>
        <v>Pritesh Chaudhari</v>
      </c>
      <c r="G1009" s="4" t="str">
        <f>IFERROR(__xludf.DUMMYFUNCTION("""COMPUTED_VALUE"""),"Cluster - Sagar")</f>
        <v>Cluster - Sagar</v>
      </c>
      <c r="H1009" s="4" t="str">
        <f>IFERROR(__xludf.DUMMYFUNCTION("""COMPUTED_VALUE"""),"ONIMPCTT0")</f>
        <v>ONIMPCTT0</v>
      </c>
      <c r="I1009" s="5">
        <f>IFERROR(__xludf.DUMMYFUNCTION("""COMPUTED_VALUE"""),5.0)</f>
        <v>5</v>
      </c>
      <c r="J1009" s="4" t="str">
        <f>IFERROR(__xludf.DUMMYFUNCTION("""COMPUTED_VALUE"""),"Tier 4")</f>
        <v>Tier 4</v>
      </c>
      <c r="K1009" s="4" t="str">
        <f>IFERROR(__xludf.DUMMYFUNCTION("""COMPUTED_VALUE"""),"Active")</f>
        <v>Active</v>
      </c>
      <c r="L1009" s="4" t="str">
        <f>IFERROR(__xludf.DUMMYFUNCTION("""COMPUTED_VALUE"""),"Gemini Enterprise Agent Platform")</f>
        <v>Gemini Enterprise Agent Platform</v>
      </c>
    </row>
    <row r="1010">
      <c r="A1010" s="4" t="str">
        <f>IFERROR(__xludf.DUMMYFUNCTION("""COMPUTED_VALUE"""),"DME3014")</f>
        <v>DME3014</v>
      </c>
      <c r="B1010" s="4" t="str">
        <f>IFERROR(__xludf.DUMMYFUNCTION("""COMPUTED_VALUE"""),"Shreyas Uday Patil")</f>
        <v>Shreyas Uday Patil</v>
      </c>
      <c r="C1010" s="4" t="str">
        <f>IFERROR(__xludf.DUMMYFUNCTION("""COMPUTED_VALUE"""),"shreyas.patil@onixnet.com")</f>
        <v>shreyas.patil@onixnet.com</v>
      </c>
      <c r="D1010" s="4" t="str">
        <f>IFERROR(__xludf.DUMMYFUNCTION("""COMPUTED_VALUE"""),"Active")</f>
        <v>Active</v>
      </c>
      <c r="E1010" s="4" t="str">
        <f>IFERROR(__xludf.DUMMYFUNCTION("""COMPUTED_VALUE"""),"Delivery Services")</f>
        <v>Delivery Services</v>
      </c>
      <c r="F1010" s="4" t="str">
        <f>IFERROR(__xludf.DUMMYFUNCTION("""COMPUTED_VALUE"""),"Rahul Shelake")</f>
        <v>Rahul Shelake</v>
      </c>
      <c r="G1010" s="4" t="str">
        <f>IFERROR(__xludf.DUMMYFUNCTION("""COMPUTED_VALUE"""),"Cluster - Sagar")</f>
        <v>Cluster - Sagar</v>
      </c>
      <c r="H1010" s="4" t="str">
        <f>IFERROR(__xludf.DUMMYFUNCTION("""COMPUTED_VALUE"""),"ONISPCNX2")</f>
        <v>ONISPCNX2</v>
      </c>
      <c r="I1010" s="5">
        <f>IFERROR(__xludf.DUMMYFUNCTION("""COMPUTED_VALUE"""),19.0)</f>
        <v>19</v>
      </c>
      <c r="J1010" s="4" t="str">
        <f>IFERROR(__xludf.DUMMYFUNCTION("""COMPUTED_VALUE"""),"Tier 4")</f>
        <v>Tier 4</v>
      </c>
      <c r="K1010" s="4" t="str">
        <f>IFERROR(__xludf.DUMMYFUNCTION("""COMPUTED_VALUE"""),"Active")</f>
        <v>Active</v>
      </c>
      <c r="L1010" s="4" t="str">
        <f>IFERROR(__xludf.DUMMYFUNCTION("""COMPUTED_VALUE"""),"Google Kubernetes Engine")</f>
        <v>Google Kubernetes Engine</v>
      </c>
    </row>
    <row r="1011">
      <c r="A1011" s="4" t="str">
        <f>IFERROR(__xludf.DUMMYFUNCTION("""COMPUTED_VALUE"""),"ONIX817")</f>
        <v>ONIX817</v>
      </c>
      <c r="B1011" s="4" t="str">
        <f>IFERROR(__xludf.DUMMYFUNCTION("""COMPUTED_VALUE"""),"Sergio Gardea")</f>
        <v>Sergio Gardea</v>
      </c>
      <c r="C1011" s="4" t="str">
        <f>IFERROR(__xludf.DUMMYFUNCTION("""COMPUTED_VALUE"""),"sergio.gardea@onixnet.com")</f>
        <v>sergio.gardea@onixnet.com</v>
      </c>
      <c r="D1011" s="4" t="str">
        <f>IFERROR(__xludf.DUMMYFUNCTION("""COMPUTED_VALUE"""),"Active")</f>
        <v>Active</v>
      </c>
      <c r="E1011" s="4" t="str">
        <f>IFERROR(__xludf.DUMMYFUNCTION("""COMPUTED_VALUE"""),"Maps")</f>
        <v>Maps</v>
      </c>
      <c r="F1011" s="4" t="str">
        <f>IFERROR(__xludf.DUMMYFUNCTION("""COMPUTED_VALUE"""),"Scott Fleming")</f>
        <v>Scott Fleming</v>
      </c>
      <c r="G1011" s="4" t="str">
        <f>IFERROR(__xludf.DUMMYFUNCTION("""COMPUTED_VALUE"""),"Portfolio - Scott")</f>
        <v>Portfolio - Scott</v>
      </c>
      <c r="H1011" s="4" t="str">
        <f>IFERROR(__xludf.DUMMYFUNCTION("""COMPUTED_VALUE"""),"ONISGHEO4")</f>
        <v>ONISGHEO4</v>
      </c>
      <c r="I1011" s="5">
        <f>IFERROR(__xludf.DUMMYFUNCTION("""COMPUTED_VALUE"""),6.0)</f>
        <v>6</v>
      </c>
      <c r="J1011" s="4" t="str">
        <f>IFERROR(__xludf.DUMMYFUNCTION("""COMPUTED_VALUE"""),"Tier 4")</f>
        <v>Tier 4</v>
      </c>
      <c r="K1011" s="4" t="str">
        <f>IFERROR(__xludf.DUMMYFUNCTION("""COMPUTED_VALUE"""),"Active")</f>
        <v>Active</v>
      </c>
      <c r="L1011" s="4" t="str">
        <f>IFERROR(__xludf.DUMMYFUNCTION("""COMPUTED_VALUE"""),"BigQuery")</f>
        <v>BigQuery</v>
      </c>
    </row>
    <row r="1012">
      <c r="A1012" s="4" t="str">
        <f>IFERROR(__xludf.DUMMYFUNCTION("""COMPUTED_VALUE"""),"DME3017")</f>
        <v>DME3017</v>
      </c>
      <c r="B1012" s="4" t="str">
        <f>IFERROR(__xludf.DUMMYFUNCTION("""COMPUTED_VALUE"""),"Amish Ojha")</f>
        <v>Amish Ojha</v>
      </c>
      <c r="C1012" s="4" t="str">
        <f>IFERROR(__xludf.DUMMYFUNCTION("""COMPUTED_VALUE"""),"amish.ojha@onixnet.com")</f>
        <v>amish.ojha@onixnet.com</v>
      </c>
      <c r="D1012" s="4" t="str">
        <f>IFERROR(__xludf.DUMMYFUNCTION("""COMPUTED_VALUE"""),"Active")</f>
        <v>Active</v>
      </c>
      <c r="E1012" s="4" t="str">
        <f>IFERROR(__xludf.DUMMYFUNCTION("""COMPUTED_VALUE"""),"Delivery Services")</f>
        <v>Delivery Services</v>
      </c>
      <c r="F1012" s="4" t="str">
        <f>IFERROR(__xludf.DUMMYFUNCTION("""COMPUTED_VALUE"""),"Varunesh Khandelwal")</f>
        <v>Varunesh Khandelwal</v>
      </c>
      <c r="G1012" s="4" t="str">
        <f>IFERROR(__xludf.DUMMYFUNCTION("""COMPUTED_VALUE"""),"Cluster - Gaurav")</f>
        <v>Cluster - Gaurav</v>
      </c>
      <c r="H1012" s="4"/>
      <c r="I1012" s="5"/>
      <c r="J1012" s="4"/>
      <c r="K1012" s="4" t="str">
        <f>IFERROR(__xludf.DUMMYFUNCTION("""COMPUTED_VALUE"""),"ID Not Created")</f>
        <v>ID Not Created</v>
      </c>
      <c r="L1012" s="4"/>
    </row>
    <row r="1013">
      <c r="A1013" s="4" t="str">
        <f>IFERROR(__xludf.DUMMYFUNCTION("""COMPUTED_VALUE"""),"DME3019")</f>
        <v>DME3019</v>
      </c>
      <c r="B1013" s="4" t="str">
        <f>IFERROR(__xludf.DUMMYFUNCTION("""COMPUTED_VALUE"""),"Pranav Arun Gavhane")</f>
        <v>Pranav Arun Gavhane</v>
      </c>
      <c r="C1013" s="4" t="str">
        <f>IFERROR(__xludf.DUMMYFUNCTION("""COMPUTED_VALUE"""),"pranav.gavhane@onixnet.com")</f>
        <v>pranav.gavhane@onixnet.com</v>
      </c>
      <c r="D1013" s="4" t="str">
        <f>IFERROR(__xludf.DUMMYFUNCTION("""COMPUTED_VALUE"""),"Active")</f>
        <v>Active</v>
      </c>
      <c r="E1013" s="4" t="str">
        <f>IFERROR(__xludf.DUMMYFUNCTION("""COMPUTED_VALUE"""),"Delivery Services")</f>
        <v>Delivery Services</v>
      </c>
      <c r="F1013" s="4" t="str">
        <f>IFERROR(__xludf.DUMMYFUNCTION("""COMPUTED_VALUE"""),"Amit Parekh")</f>
        <v>Amit Parekh</v>
      </c>
      <c r="G1013" s="4" t="str">
        <f>IFERROR(__xludf.DUMMYFUNCTION("""COMPUTED_VALUE"""),"Cluster - Sandeep")</f>
        <v>Cluster - Sandeep</v>
      </c>
      <c r="H1013" s="4" t="str">
        <f>IFERROR(__xludf.DUMMYFUNCTION("""COMPUTED_VALUE"""),"ONIPGWNR0")</f>
        <v>ONIPGWNR0</v>
      </c>
      <c r="I1013" s="5">
        <f>IFERROR(__xludf.DUMMYFUNCTION("""COMPUTED_VALUE"""),15.0)</f>
        <v>15</v>
      </c>
      <c r="J1013" s="4" t="str">
        <f>IFERROR(__xludf.DUMMYFUNCTION("""COMPUTED_VALUE"""),"Tier 4")</f>
        <v>Tier 4</v>
      </c>
      <c r="K1013" s="4" t="str">
        <f>IFERROR(__xludf.DUMMYFUNCTION("""COMPUTED_VALUE"""),"Active")</f>
        <v>Active</v>
      </c>
      <c r="L1013" s="4" t="str">
        <f>IFERROR(__xludf.DUMMYFUNCTION("""COMPUTED_VALUE"""),"AI Applications")</f>
        <v>AI Applications</v>
      </c>
    </row>
    <row r="1014">
      <c r="A1014" s="4" t="str">
        <f>IFERROR(__xludf.DUMMYFUNCTION("""COMPUTED_VALUE"""),"DME3018")</f>
        <v>DME3018</v>
      </c>
      <c r="B1014" s="4" t="str">
        <f>IFERROR(__xludf.DUMMYFUNCTION("""COMPUTED_VALUE"""),"Bhavani Loya")</f>
        <v>Bhavani Loya</v>
      </c>
      <c r="C1014" s="4" t="str">
        <f>IFERROR(__xludf.DUMMYFUNCTION("""COMPUTED_VALUE"""),"bhavani.loya@onixnet.com")</f>
        <v>bhavani.loya@onixnet.com</v>
      </c>
      <c r="D1014" s="4" t="str">
        <f>IFERROR(__xludf.DUMMYFUNCTION("""COMPUTED_VALUE"""),"Active")</f>
        <v>Active</v>
      </c>
      <c r="E1014" s="4" t="str">
        <f>IFERROR(__xludf.DUMMYFUNCTION("""COMPUTED_VALUE"""),"Delivery Services")</f>
        <v>Delivery Services</v>
      </c>
      <c r="F1014" s="4" t="str">
        <f>IFERROR(__xludf.DUMMYFUNCTION("""COMPUTED_VALUE"""),"Dinesh Bhamare")</f>
        <v>Dinesh Bhamare</v>
      </c>
      <c r="G1014" s="4" t="str">
        <f>IFERROR(__xludf.DUMMYFUNCTION("""COMPUTED_VALUE"""),"Cluster - Shreepad")</f>
        <v>Cluster - Shreepad</v>
      </c>
      <c r="H1014" s="4" t="str">
        <f>IFERROR(__xludf.DUMMYFUNCTION("""COMPUTED_VALUE"""),"ONIBLBIP2")</f>
        <v>ONIBLBIP2</v>
      </c>
      <c r="I1014" s="5">
        <f>IFERROR(__xludf.DUMMYFUNCTION("""COMPUTED_VALUE"""),19.0)</f>
        <v>19</v>
      </c>
      <c r="J1014" s="4" t="str">
        <f>IFERROR(__xludf.DUMMYFUNCTION("""COMPUTED_VALUE"""),"Tier 4")</f>
        <v>Tier 4</v>
      </c>
      <c r="K1014" s="4" t="str">
        <f>IFERROR(__xludf.DUMMYFUNCTION("""COMPUTED_VALUE"""),"Active")</f>
        <v>Active</v>
      </c>
      <c r="L1014" s="4" t="str">
        <f>IFERROR(__xludf.DUMMYFUNCTION("""COMPUTED_VALUE"""),"BigQuery")</f>
        <v>BigQuery</v>
      </c>
    </row>
    <row r="1015">
      <c r="A1015" s="4" t="str">
        <f>IFERROR(__xludf.DUMMYFUNCTION("""COMPUTED_VALUE"""),"DME3020")</f>
        <v>DME3020</v>
      </c>
      <c r="B1015" s="4" t="str">
        <f>IFERROR(__xludf.DUMMYFUNCTION("""COMPUTED_VALUE"""),"Kristaparapu Veera Venkata Mahesh")</f>
        <v>Kristaparapu Veera Venkata Mahesh</v>
      </c>
      <c r="C1015" s="4" t="str">
        <f>IFERROR(__xludf.DUMMYFUNCTION("""COMPUTED_VALUE"""),"mahesh.kristaparapu@onixnet.com")</f>
        <v>mahesh.kristaparapu@onixnet.com</v>
      </c>
      <c r="D1015" s="4" t="str">
        <f>IFERROR(__xludf.DUMMYFUNCTION("""COMPUTED_VALUE"""),"Active")</f>
        <v>Active</v>
      </c>
      <c r="E1015" s="4" t="str">
        <f>IFERROR(__xludf.DUMMYFUNCTION("""COMPUTED_VALUE"""),"Delivery Services")</f>
        <v>Delivery Services</v>
      </c>
      <c r="F1015" s="4" t="str">
        <f>IFERROR(__xludf.DUMMYFUNCTION("""COMPUTED_VALUE"""),"Sheela Sawant")</f>
        <v>Sheela Sawant</v>
      </c>
      <c r="G1015" s="4" t="str">
        <f>IFERROR(__xludf.DUMMYFUNCTION("""COMPUTED_VALUE"""),"Cluster - Shreepad")</f>
        <v>Cluster - Shreepad</v>
      </c>
      <c r="H1015" s="4" t="str">
        <f>IFERROR(__xludf.DUMMYFUNCTION("""COMPUTED_VALUE"""),"ONIVKBGC7")</f>
        <v>ONIVKBGC7</v>
      </c>
      <c r="I1015" s="5">
        <f>IFERROR(__xludf.DUMMYFUNCTION("""COMPUTED_VALUE"""),5.0)</f>
        <v>5</v>
      </c>
      <c r="J1015" s="4" t="str">
        <f>IFERROR(__xludf.DUMMYFUNCTION("""COMPUTED_VALUE"""),"Tier 4")</f>
        <v>Tier 4</v>
      </c>
      <c r="K1015" s="4" t="str">
        <f>IFERROR(__xludf.DUMMYFUNCTION("""COMPUTED_VALUE"""),"Active")</f>
        <v>Active</v>
      </c>
      <c r="L1015" s="4" t="str">
        <f>IFERROR(__xludf.DUMMYFUNCTION("""COMPUTED_VALUE"""),"Gemini Enterprise Agent Platform")</f>
        <v>Gemini Enterprise Agent Platform</v>
      </c>
    </row>
    <row r="1016">
      <c r="A1016" s="4" t="str">
        <f>IFERROR(__xludf.DUMMYFUNCTION("""COMPUTED_VALUE"""),"DME3022")</f>
        <v>DME3022</v>
      </c>
      <c r="B1016" s="4" t="str">
        <f>IFERROR(__xludf.DUMMYFUNCTION("""COMPUTED_VALUE"""),"Kajal Ajit Gawade")</f>
        <v>Kajal Ajit Gawade</v>
      </c>
      <c r="C1016" s="4" t="str">
        <f>IFERROR(__xludf.DUMMYFUNCTION("""COMPUTED_VALUE"""),"kajal.Gawade@onixnet.com")</f>
        <v>kajal.Gawade@onixnet.com</v>
      </c>
      <c r="D1016" s="4" t="str">
        <f>IFERROR(__xludf.DUMMYFUNCTION("""COMPUTED_VALUE"""),"Active")</f>
        <v>Active</v>
      </c>
      <c r="E1016" s="4" t="str">
        <f>IFERROR(__xludf.DUMMYFUNCTION("""COMPUTED_VALUE"""),"Delivery Services")</f>
        <v>Delivery Services</v>
      </c>
      <c r="F1016" s="4" t="str">
        <f>IFERROR(__xludf.DUMMYFUNCTION("""COMPUTED_VALUE"""),"Jitender Singh")</f>
        <v>Jitender Singh</v>
      </c>
      <c r="G1016" s="4" t="str">
        <f>IFERROR(__xludf.DUMMYFUNCTION("""COMPUTED_VALUE"""),"Cluster - Gaurav")</f>
        <v>Cluster - Gaurav</v>
      </c>
      <c r="H1016" s="4" t="str">
        <f>IFERROR(__xludf.DUMMYFUNCTION("""COMPUTED_VALUE"""),"ONIKGHIE8")</f>
        <v>ONIKGHIE8</v>
      </c>
      <c r="I1016" s="5">
        <f>IFERROR(__xludf.DUMMYFUNCTION("""COMPUTED_VALUE"""),9.0)</f>
        <v>9</v>
      </c>
      <c r="J1016" s="4" t="str">
        <f>IFERROR(__xludf.DUMMYFUNCTION("""COMPUTED_VALUE"""),"Tier 4")</f>
        <v>Tier 4</v>
      </c>
      <c r="K1016" s="4" t="str">
        <f>IFERROR(__xludf.DUMMYFUNCTION("""COMPUTED_VALUE"""),"Active")</f>
        <v>Active</v>
      </c>
      <c r="L1016" s="4" t="str">
        <f>IFERROR(__xludf.DUMMYFUNCTION("""COMPUTED_VALUE"""),"BigQuery")</f>
        <v>BigQuery</v>
      </c>
    </row>
    <row r="1017">
      <c r="A1017" s="4" t="str">
        <f>IFERROR(__xludf.DUMMYFUNCTION("""COMPUTED_VALUE"""),"DME3021")</f>
        <v>DME3021</v>
      </c>
      <c r="B1017" s="4" t="str">
        <f>IFERROR(__xludf.DUMMYFUNCTION("""COMPUTED_VALUE"""),"Sailakshman Bonthu")</f>
        <v>Sailakshman Bonthu</v>
      </c>
      <c r="C1017" s="4" t="str">
        <f>IFERROR(__xludf.DUMMYFUNCTION("""COMPUTED_VALUE"""),"sailakshman.bonthu@onixnet.com")</f>
        <v>sailakshman.bonthu@onixnet.com</v>
      </c>
      <c r="D1017" s="4" t="str">
        <f>IFERROR(__xludf.DUMMYFUNCTION("""COMPUTED_VALUE"""),"Active")</f>
        <v>Active</v>
      </c>
      <c r="E1017" s="4" t="str">
        <f>IFERROR(__xludf.DUMMYFUNCTION("""COMPUTED_VALUE"""),"Delivery Services")</f>
        <v>Delivery Services</v>
      </c>
      <c r="F1017" s="4" t="str">
        <f>IFERROR(__xludf.DUMMYFUNCTION("""COMPUTED_VALUE"""),"Syam Prasad Gera")</f>
        <v>Syam Prasad Gera</v>
      </c>
      <c r="G1017" s="4" t="str">
        <f>IFERROR(__xludf.DUMMYFUNCTION("""COMPUTED_VALUE"""),"Cluster - Shreepad")</f>
        <v>Cluster - Shreepad</v>
      </c>
      <c r="H1017" s="4" t="str">
        <f>IFERROR(__xludf.DUMMYFUNCTION("""COMPUTED_VALUE"""),"ONISBCSA5")</f>
        <v>ONISBCSA5</v>
      </c>
      <c r="I1017" s="5">
        <f>IFERROR(__xludf.DUMMYFUNCTION("""COMPUTED_VALUE"""),9.0)</f>
        <v>9</v>
      </c>
      <c r="J1017" s="4" t="str">
        <f>IFERROR(__xludf.DUMMYFUNCTION("""COMPUTED_VALUE"""),"Tier 4")</f>
        <v>Tier 4</v>
      </c>
      <c r="K1017" s="4" t="str">
        <f>IFERROR(__xludf.DUMMYFUNCTION("""COMPUTED_VALUE"""),"Active")</f>
        <v>Active</v>
      </c>
      <c r="L1017" s="4" t="str">
        <f>IFERROR(__xludf.DUMMYFUNCTION("""COMPUTED_VALUE"""),"Gemini Enterprise Agent Platform")</f>
        <v>Gemini Enterprise Agent Platform</v>
      </c>
    </row>
    <row r="1018">
      <c r="A1018" s="4" t="str">
        <f>IFERROR(__xludf.DUMMYFUNCTION("""COMPUTED_VALUE"""),"DME3024")</f>
        <v>DME3024</v>
      </c>
      <c r="B1018" s="4" t="str">
        <f>IFERROR(__xludf.DUMMYFUNCTION("""COMPUTED_VALUE"""),"Nehal Kishanrao Kulkarni")</f>
        <v>Nehal Kishanrao Kulkarni</v>
      </c>
      <c r="C1018" s="4" t="str">
        <f>IFERROR(__xludf.DUMMYFUNCTION("""COMPUTED_VALUE"""),"nehal.kulkarni@onixnet.com")</f>
        <v>nehal.kulkarni@onixnet.com</v>
      </c>
      <c r="D1018" s="4" t="str">
        <f>IFERROR(__xludf.DUMMYFUNCTION("""COMPUTED_VALUE"""),"Active")</f>
        <v>Active</v>
      </c>
      <c r="E1018" s="4" t="str">
        <f>IFERROR(__xludf.DUMMYFUNCTION("""COMPUTED_VALUE"""),"Delivery Services")</f>
        <v>Delivery Services</v>
      </c>
      <c r="F1018" s="4" t="str">
        <f>IFERROR(__xludf.DUMMYFUNCTION("""COMPUTED_VALUE"""),"Jitender Singh")</f>
        <v>Jitender Singh</v>
      </c>
      <c r="G1018" s="4" t="str">
        <f>IFERROR(__xludf.DUMMYFUNCTION("""COMPUTED_VALUE"""),"Cluster - Gaurav")</f>
        <v>Cluster - Gaurav</v>
      </c>
      <c r="H1018" s="4" t="str">
        <f>IFERROR(__xludf.DUMMYFUNCTION("""COMPUTED_VALUE"""),"ONINKQKW9")</f>
        <v>ONINKQKW9</v>
      </c>
      <c r="I1018" s="5">
        <f>IFERROR(__xludf.DUMMYFUNCTION("""COMPUTED_VALUE"""),19.0)</f>
        <v>19</v>
      </c>
      <c r="J1018" s="4" t="str">
        <f>IFERROR(__xludf.DUMMYFUNCTION("""COMPUTED_VALUE"""),"Tier 4")</f>
        <v>Tier 4</v>
      </c>
      <c r="K1018" s="4" t="str">
        <f>IFERROR(__xludf.DUMMYFUNCTION("""COMPUTED_VALUE"""),"Active")</f>
        <v>Active</v>
      </c>
      <c r="L1018" s="4" t="str">
        <f>IFERROR(__xludf.DUMMYFUNCTION("""COMPUTED_VALUE"""),"Gemini Enterprise Agent Platform")</f>
        <v>Gemini Enterprise Agent Platform</v>
      </c>
    </row>
    <row r="1019">
      <c r="A1019" s="4" t="str">
        <f>IFERROR(__xludf.DUMMYFUNCTION("""COMPUTED_VALUE"""),"DME3025")</f>
        <v>DME3025</v>
      </c>
      <c r="B1019" s="4" t="str">
        <f>IFERROR(__xludf.DUMMYFUNCTION("""COMPUTED_VALUE"""),"Ankit Doval")</f>
        <v>Ankit Doval</v>
      </c>
      <c r="C1019" s="4" t="str">
        <f>IFERROR(__xludf.DUMMYFUNCTION("""COMPUTED_VALUE"""),"ankit.doval@onixnet.com")</f>
        <v>ankit.doval@onixnet.com</v>
      </c>
      <c r="D1019" s="4" t="str">
        <f>IFERROR(__xludf.DUMMYFUNCTION("""COMPUTED_VALUE"""),"Active")</f>
        <v>Active</v>
      </c>
      <c r="E1019" s="4" t="str">
        <f>IFERROR(__xludf.DUMMYFUNCTION("""COMPUTED_VALUE"""),"Delivery Services")</f>
        <v>Delivery Services</v>
      </c>
      <c r="F1019" s="4" t="str">
        <f>IFERROR(__xludf.DUMMYFUNCTION("""COMPUTED_VALUE"""),"Mayur Kasar")</f>
        <v>Mayur Kasar</v>
      </c>
      <c r="G1019" s="4" t="str">
        <f>IFERROR(__xludf.DUMMYFUNCTION("""COMPUTED_VALUE"""),"Cluster - Varun")</f>
        <v>Cluster - Varun</v>
      </c>
      <c r="H1019" s="4" t="str">
        <f>IFERROR(__xludf.DUMMYFUNCTION("""COMPUTED_VALUE"""),"ONIADODG9")</f>
        <v>ONIADODG9</v>
      </c>
      <c r="I1019" s="5">
        <f>IFERROR(__xludf.DUMMYFUNCTION("""COMPUTED_VALUE"""),14.0)</f>
        <v>14</v>
      </c>
      <c r="J1019" s="4" t="str">
        <f>IFERROR(__xludf.DUMMYFUNCTION("""COMPUTED_VALUE"""),"Tier 4")</f>
        <v>Tier 4</v>
      </c>
      <c r="K1019" s="4" t="str">
        <f>IFERROR(__xludf.DUMMYFUNCTION("""COMPUTED_VALUE"""),"Active")</f>
        <v>Active</v>
      </c>
      <c r="L1019" s="4"/>
    </row>
    <row r="1020">
      <c r="A1020" s="4" t="str">
        <f>IFERROR(__xludf.DUMMYFUNCTION("""COMPUTED_VALUE"""),"ONIX823")</f>
        <v>ONIX823</v>
      </c>
      <c r="B1020" s="4" t="str">
        <f>IFERROR(__xludf.DUMMYFUNCTION("""COMPUTED_VALUE"""),"Rameshwari Jadhav")</f>
        <v>Rameshwari Jadhav</v>
      </c>
      <c r="C1020" s="4" t="str">
        <f>IFERROR(__xludf.DUMMYFUNCTION("""COMPUTED_VALUE"""),"rameshwari.jadhav@onixnet.com")</f>
        <v>rameshwari.jadhav@onixnet.com</v>
      </c>
      <c r="D1020" s="4" t="str">
        <f>IFERROR(__xludf.DUMMYFUNCTION("""COMPUTED_VALUE"""),"Active")</f>
        <v>Active</v>
      </c>
      <c r="E1020" s="4" t="str">
        <f>IFERROR(__xludf.DUMMYFUNCTION("""COMPUTED_VALUE"""),"Delivery")</f>
        <v>Delivery</v>
      </c>
      <c r="F1020" s="4" t="str">
        <f>IFERROR(__xludf.DUMMYFUNCTION("""COMPUTED_VALUE"""),"Venkat Srinivasan")</f>
        <v>Venkat Srinivasan</v>
      </c>
      <c r="G1020" s="4" t="str">
        <f>IFERROR(__xludf.DUMMYFUNCTION("""COMPUTED_VALUE"""),"Portfolio - Rajesh")</f>
        <v>Portfolio - Rajesh</v>
      </c>
      <c r="H1020" s="4" t="str">
        <f>IFERROR(__xludf.DUMMYFUNCTION("""COMPUTED_VALUE"""),"DATRJ5A00")</f>
        <v>DATRJ5A00</v>
      </c>
      <c r="I1020" s="5">
        <f>IFERROR(__xludf.DUMMYFUNCTION("""COMPUTED_VALUE"""),15.0)</f>
        <v>15</v>
      </c>
      <c r="J1020" s="4" t="str">
        <f>IFERROR(__xludf.DUMMYFUNCTION("""COMPUTED_VALUE"""),"Tier 4")</f>
        <v>Tier 4</v>
      </c>
      <c r="K1020" s="4" t="str">
        <f>IFERROR(__xludf.DUMMYFUNCTION("""COMPUTED_VALUE"""),"Active")</f>
        <v>Active</v>
      </c>
      <c r="L1020" s="4" t="str">
        <f>IFERROR(__xludf.DUMMYFUNCTION("""COMPUTED_VALUE"""),"Gemini Enterprise")</f>
        <v>Gemini Enterprise</v>
      </c>
    </row>
    <row r="1021">
      <c r="A1021" s="4" t="str">
        <f>IFERROR(__xludf.DUMMYFUNCTION("""COMPUTED_VALUE"""),"DMC1061")</f>
        <v>DMC1061</v>
      </c>
      <c r="B1021" s="4" t="str">
        <f>IFERROR(__xludf.DUMMYFUNCTION("""COMPUTED_VALUE"""),"Rohit  Sharma")</f>
        <v>Rohit  Sharma</v>
      </c>
      <c r="C1021" s="4" t="str">
        <f>IFERROR(__xludf.DUMMYFUNCTION("""COMPUTED_VALUE"""),"rohit.sharma@onixnet.com")</f>
        <v>rohit.sharma@onixnet.com</v>
      </c>
      <c r="D1021" s="4" t="str">
        <f>IFERROR(__xludf.DUMMYFUNCTION("""COMPUTED_VALUE"""),"Active")</f>
        <v>Active</v>
      </c>
      <c r="E1021" s="4" t="str">
        <f>IFERROR(__xludf.DUMMYFUNCTION("""COMPUTED_VALUE"""),"Delivery Services")</f>
        <v>Delivery Services</v>
      </c>
      <c r="F1021" s="4" t="str">
        <f>IFERROR(__xludf.DUMMYFUNCTION("""COMPUTED_VALUE"""),"Mayur Tawhare")</f>
        <v>Mayur Tawhare</v>
      </c>
      <c r="G1021" s="4" t="str">
        <f>IFERROR(__xludf.DUMMYFUNCTION("""COMPUTED_VALUE"""),"Cluster - Varun")</f>
        <v>Cluster - Varun</v>
      </c>
      <c r="H1021" s="4" t="str">
        <f>IFERROR(__xludf.DUMMYFUNCTION("""COMPUTED_VALUE"""),"ONIRSREH4")</f>
        <v>ONIRSREH4</v>
      </c>
      <c r="I1021" s="5">
        <f>IFERROR(__xludf.DUMMYFUNCTION("""COMPUTED_VALUE"""),5.0)</f>
        <v>5</v>
      </c>
      <c r="J1021" s="4" t="str">
        <f>IFERROR(__xludf.DUMMYFUNCTION("""COMPUTED_VALUE"""),"Tier 4")</f>
        <v>Tier 4</v>
      </c>
      <c r="K1021" s="4" t="str">
        <f>IFERROR(__xludf.DUMMYFUNCTION("""COMPUTED_VALUE"""),"Active")</f>
        <v>Active</v>
      </c>
      <c r="L1021" s="4" t="str">
        <f>IFERROR(__xludf.DUMMYFUNCTION("""COMPUTED_VALUE"""),"Google Distributed Cloud")</f>
        <v>Google Distributed Cloud</v>
      </c>
    </row>
    <row r="1022">
      <c r="A1022" s="4" t="str">
        <f>IFERROR(__xludf.DUMMYFUNCTION("""COMPUTED_VALUE"""),"DME3029")</f>
        <v>DME3029</v>
      </c>
      <c r="B1022" s="4" t="str">
        <f>IFERROR(__xludf.DUMMYFUNCTION("""COMPUTED_VALUE"""),"Akash Dubey")</f>
        <v>Akash Dubey</v>
      </c>
      <c r="C1022" s="4" t="str">
        <f>IFERROR(__xludf.DUMMYFUNCTION("""COMPUTED_VALUE"""),"akash.dubey@onixnet.com")</f>
        <v>akash.dubey@onixnet.com</v>
      </c>
      <c r="D1022" s="4" t="str">
        <f>IFERROR(__xludf.DUMMYFUNCTION("""COMPUTED_VALUE"""),"Active")</f>
        <v>Active</v>
      </c>
      <c r="E1022" s="4" t="str">
        <f>IFERROR(__xludf.DUMMYFUNCTION("""COMPUTED_VALUE"""),"Delivery Services")</f>
        <v>Delivery Services</v>
      </c>
      <c r="F1022" s="4" t="str">
        <f>IFERROR(__xludf.DUMMYFUNCTION("""COMPUTED_VALUE"""),"Vishal Khare")</f>
        <v>Vishal Khare</v>
      </c>
      <c r="G1022" s="4" t="str">
        <f>IFERROR(__xludf.DUMMYFUNCTION("""COMPUTED_VALUE"""),"Cluster - Sagar")</f>
        <v>Cluster - Sagar</v>
      </c>
      <c r="H1022" s="4" t="str">
        <f>IFERROR(__xludf.DUMMYFUNCTION("""COMPUTED_VALUE"""),"ONIADXRE7")</f>
        <v>ONIADXRE7</v>
      </c>
      <c r="I1022" s="5">
        <f>IFERROR(__xludf.DUMMYFUNCTION("""COMPUTED_VALUE"""),30.0)</f>
        <v>30</v>
      </c>
      <c r="J1022" s="4" t="str">
        <f>IFERROR(__xludf.DUMMYFUNCTION("""COMPUTED_VALUE"""),"Tier 3")</f>
        <v>Tier 3</v>
      </c>
      <c r="K1022" s="4" t="str">
        <f>IFERROR(__xludf.DUMMYFUNCTION("""COMPUTED_VALUE"""),"Active")</f>
        <v>Active</v>
      </c>
      <c r="L1022" s="4" t="str">
        <f>IFERROR(__xludf.DUMMYFUNCTION("""COMPUTED_VALUE"""),"Gemini Enterprise Agent Platform")</f>
        <v>Gemini Enterprise Agent Platform</v>
      </c>
    </row>
    <row r="1023">
      <c r="A1023" s="4" t="str">
        <f>IFERROR(__xludf.DUMMYFUNCTION("""COMPUTED_VALUE"""),"DMC1062")</f>
        <v>DMC1062</v>
      </c>
      <c r="B1023" s="4" t="str">
        <f>IFERROR(__xludf.DUMMYFUNCTION("""COMPUTED_VALUE"""),"ADITYA HANS")</f>
        <v>ADITYA HANS</v>
      </c>
      <c r="C1023" s="4" t="str">
        <f>IFERROR(__xludf.DUMMYFUNCTION("""COMPUTED_VALUE"""),"aditya.hans@onixnet.com")</f>
        <v>aditya.hans@onixnet.com</v>
      </c>
      <c r="D1023" s="4" t="str">
        <f>IFERROR(__xludf.DUMMYFUNCTION("""COMPUTED_VALUE"""),"Active")</f>
        <v>Active</v>
      </c>
      <c r="E1023" s="4" t="str">
        <f>IFERROR(__xludf.DUMMYFUNCTION("""COMPUTED_VALUE"""),"Delivery Services")</f>
        <v>Delivery Services</v>
      </c>
      <c r="F1023" s="4" t="str">
        <f>IFERROR(__xludf.DUMMYFUNCTION("""COMPUTED_VALUE"""),"Mayur Tawhare")</f>
        <v>Mayur Tawhare</v>
      </c>
      <c r="G1023" s="4" t="str">
        <f>IFERROR(__xludf.DUMMYFUNCTION("""COMPUTED_VALUE"""),"Cluster - Varun")</f>
        <v>Cluster - Varun</v>
      </c>
      <c r="H1023" s="4" t="str">
        <f>IFERROR(__xludf.DUMMYFUNCTION("""COMPUTED_VALUE"""),"ONIAHKCD2")</f>
        <v>ONIAHKCD2</v>
      </c>
      <c r="I1023" s="5">
        <f>IFERROR(__xludf.DUMMYFUNCTION("""COMPUTED_VALUE"""),10.0)</f>
        <v>10</v>
      </c>
      <c r="J1023" s="4" t="str">
        <f>IFERROR(__xludf.DUMMYFUNCTION("""COMPUTED_VALUE"""),"Tier 4")</f>
        <v>Tier 4</v>
      </c>
      <c r="K1023" s="4" t="str">
        <f>IFERROR(__xludf.DUMMYFUNCTION("""COMPUTED_VALUE"""),"Active")</f>
        <v>Active</v>
      </c>
      <c r="L1023" s="4" t="str">
        <f>IFERROR(__xludf.DUMMYFUNCTION("""COMPUTED_VALUE"""),"AI Applications")</f>
        <v>AI Applications</v>
      </c>
    </row>
    <row r="1024">
      <c r="A1024" s="4" t="str">
        <f>IFERROR(__xludf.DUMMYFUNCTION("""COMPUTED_VALUE"""),"DMC1064")</f>
        <v>DMC1064</v>
      </c>
      <c r="B1024" s="4" t="str">
        <f>IFERROR(__xludf.DUMMYFUNCTION("""COMPUTED_VALUE"""),"Rohit Kumar Dubey")</f>
        <v>Rohit Kumar Dubey</v>
      </c>
      <c r="C1024" s="4" t="str">
        <f>IFERROR(__xludf.DUMMYFUNCTION("""COMPUTED_VALUE"""),"rohit.dubey@onixnet.com")</f>
        <v>rohit.dubey@onixnet.com</v>
      </c>
      <c r="D1024" s="4" t="str">
        <f>IFERROR(__xludf.DUMMYFUNCTION("""COMPUTED_VALUE"""),"Active")</f>
        <v>Active</v>
      </c>
      <c r="E1024" s="4" t="str">
        <f>IFERROR(__xludf.DUMMYFUNCTION("""COMPUTED_VALUE"""),"Delivery Services")</f>
        <v>Delivery Services</v>
      </c>
      <c r="F1024" s="4" t="str">
        <f>IFERROR(__xludf.DUMMYFUNCTION("""COMPUTED_VALUE"""),"Vijender Bhardwaj")</f>
        <v>Vijender Bhardwaj</v>
      </c>
      <c r="G1024" s="4" t="str">
        <f>IFERROR(__xludf.DUMMYFUNCTION("""COMPUTED_VALUE"""),"Cluster - Varun")</f>
        <v>Cluster - Varun</v>
      </c>
      <c r="H1024" s="4" t="str">
        <f>IFERROR(__xludf.DUMMYFUNCTION("""COMPUTED_VALUE"""),"ONIRDNOX3")</f>
        <v>ONIRDNOX3</v>
      </c>
      <c r="I1024" s="5">
        <f>IFERROR(__xludf.DUMMYFUNCTION("""COMPUTED_VALUE"""),25.0)</f>
        <v>25</v>
      </c>
      <c r="J1024" s="4" t="str">
        <f>IFERROR(__xludf.DUMMYFUNCTION("""COMPUTED_VALUE"""),"Tier 3")</f>
        <v>Tier 3</v>
      </c>
      <c r="K1024" s="4" t="str">
        <f>IFERROR(__xludf.DUMMYFUNCTION("""COMPUTED_VALUE"""),"Active")</f>
        <v>Active</v>
      </c>
      <c r="L1024" s="4" t="str">
        <f>IFERROR(__xludf.DUMMYFUNCTION("""COMPUTED_VALUE"""),"AI Applications")</f>
        <v>AI Applications</v>
      </c>
    </row>
    <row r="1025">
      <c r="A1025" s="4" t="str">
        <f>IFERROR(__xludf.DUMMYFUNCTION("""COMPUTED_VALUE"""),"DMC1065")</f>
        <v>DMC1065</v>
      </c>
      <c r="B1025" s="4" t="str">
        <f>IFERROR(__xludf.DUMMYFUNCTION("""COMPUTED_VALUE"""),"Nikhil Govind Malpure")</f>
        <v>Nikhil Govind Malpure</v>
      </c>
      <c r="C1025" s="4" t="str">
        <f>IFERROR(__xludf.DUMMYFUNCTION("""COMPUTED_VALUE"""),"nikhil.malpure@onixnet.com")</f>
        <v>nikhil.malpure@onixnet.com</v>
      </c>
      <c r="D1025" s="4" t="str">
        <f>IFERROR(__xludf.DUMMYFUNCTION("""COMPUTED_VALUE"""),"Active")</f>
        <v>Active</v>
      </c>
      <c r="E1025" s="4" t="str">
        <f>IFERROR(__xludf.DUMMYFUNCTION("""COMPUTED_VALUE"""),"Delivery Services")</f>
        <v>Delivery Services</v>
      </c>
      <c r="F1025" s="4" t="str">
        <f>IFERROR(__xludf.DUMMYFUNCTION("""COMPUTED_VALUE"""),"Mayur Tawhare")</f>
        <v>Mayur Tawhare</v>
      </c>
      <c r="G1025" s="4" t="str">
        <f>IFERROR(__xludf.DUMMYFUNCTION("""COMPUTED_VALUE"""),"Cluster - Varun")</f>
        <v>Cluster - Varun</v>
      </c>
      <c r="H1025" s="4" t="str">
        <f>IFERROR(__xludf.DUMMYFUNCTION("""COMPUTED_VALUE"""),"ONINMJGI5")</f>
        <v>ONINMJGI5</v>
      </c>
      <c r="I1025" s="5">
        <f>IFERROR(__xludf.DUMMYFUNCTION("""COMPUTED_VALUE"""),20.0)</f>
        <v>20</v>
      </c>
      <c r="J1025" s="4" t="str">
        <f>IFERROR(__xludf.DUMMYFUNCTION("""COMPUTED_VALUE"""),"Tier 3")</f>
        <v>Tier 3</v>
      </c>
      <c r="K1025" s="4" t="str">
        <f>IFERROR(__xludf.DUMMYFUNCTION("""COMPUTED_VALUE"""),"Active")</f>
        <v>Active</v>
      </c>
      <c r="L1025" s="4" t="str">
        <f>IFERROR(__xludf.DUMMYFUNCTION("""COMPUTED_VALUE"""),"AI Applications")</f>
        <v>AI Applications</v>
      </c>
    </row>
    <row r="1026">
      <c r="A1026" s="4" t="str">
        <f>IFERROR(__xludf.DUMMYFUNCTION("""COMPUTED_VALUE"""),"DMC1066")</f>
        <v>DMC1066</v>
      </c>
      <c r="B1026" s="4" t="str">
        <f>IFERROR(__xludf.DUMMYFUNCTION("""COMPUTED_VALUE"""),"Kalpana Soni")</f>
        <v>Kalpana Soni</v>
      </c>
      <c r="C1026" s="4" t="str">
        <f>IFERROR(__xludf.DUMMYFUNCTION("""COMPUTED_VALUE"""),"kalpana.soni@onixnet.com")</f>
        <v>kalpana.soni@onixnet.com</v>
      </c>
      <c r="D1026" s="4" t="str">
        <f>IFERROR(__xludf.DUMMYFUNCTION("""COMPUTED_VALUE"""),"Active")</f>
        <v>Active</v>
      </c>
      <c r="E1026" s="4" t="str">
        <f>IFERROR(__xludf.DUMMYFUNCTION("""COMPUTED_VALUE"""),"Delivery Services")</f>
        <v>Delivery Services</v>
      </c>
      <c r="F1026" s="4" t="str">
        <f>IFERROR(__xludf.DUMMYFUNCTION("""COMPUTED_VALUE"""),"Mayur Tawhare")</f>
        <v>Mayur Tawhare</v>
      </c>
      <c r="G1026" s="4" t="str">
        <f>IFERROR(__xludf.DUMMYFUNCTION("""COMPUTED_VALUE"""),"Cluster - Varun")</f>
        <v>Cluster - Varun</v>
      </c>
      <c r="H1026" s="4" t="str">
        <f>IFERROR(__xludf.DUMMYFUNCTION("""COMPUTED_VALUE"""),"ONIKSWUG3")</f>
        <v>ONIKSWUG3</v>
      </c>
      <c r="I1026" s="5">
        <f>IFERROR(__xludf.DUMMYFUNCTION("""COMPUTED_VALUE"""),25.0)</f>
        <v>25</v>
      </c>
      <c r="J1026" s="4" t="str">
        <f>IFERROR(__xludf.DUMMYFUNCTION("""COMPUTED_VALUE"""),"Tier 3")</f>
        <v>Tier 3</v>
      </c>
      <c r="K1026" s="4" t="str">
        <f>IFERROR(__xludf.DUMMYFUNCTION("""COMPUTED_VALUE"""),"Active")</f>
        <v>Active</v>
      </c>
      <c r="L1026" s="4" t="str">
        <f>IFERROR(__xludf.DUMMYFUNCTION("""COMPUTED_VALUE"""),"AI Applications")</f>
        <v>AI Applications</v>
      </c>
    </row>
    <row r="1027">
      <c r="A1027" s="4" t="str">
        <f>IFERROR(__xludf.DUMMYFUNCTION("""COMPUTED_VALUE"""),"DMC1068")</f>
        <v>DMC1068</v>
      </c>
      <c r="B1027" s="4" t="str">
        <f>IFERROR(__xludf.DUMMYFUNCTION("""COMPUTED_VALUE"""),"Aarushi Mathur")</f>
        <v>Aarushi Mathur</v>
      </c>
      <c r="C1027" s="4" t="str">
        <f>IFERROR(__xludf.DUMMYFUNCTION("""COMPUTED_VALUE"""),"aarushi.mathur@onixnet.com")</f>
        <v>aarushi.mathur@onixnet.com</v>
      </c>
      <c r="D1027" s="4" t="str">
        <f>IFERROR(__xludf.DUMMYFUNCTION("""COMPUTED_VALUE"""),"Active")</f>
        <v>Active</v>
      </c>
      <c r="E1027" s="4" t="str">
        <f>IFERROR(__xludf.DUMMYFUNCTION("""COMPUTED_VALUE"""),"Delivery Services")</f>
        <v>Delivery Services</v>
      </c>
      <c r="F1027" s="4" t="str">
        <f>IFERROR(__xludf.DUMMYFUNCTION("""COMPUTED_VALUE"""),"Kirankumar Shetty")</f>
        <v>Kirankumar Shetty</v>
      </c>
      <c r="G1027" s="4" t="str">
        <f>IFERROR(__xludf.DUMMYFUNCTION("""COMPUTED_VALUE"""),"Cluster - Varun")</f>
        <v>Cluster - Varun</v>
      </c>
      <c r="H1027" s="4" t="str">
        <f>IFERROR(__xludf.DUMMYFUNCTION("""COMPUTED_VALUE"""),"ONIAMJYY4")</f>
        <v>ONIAMJYY4</v>
      </c>
      <c r="I1027" s="5">
        <f>IFERROR(__xludf.DUMMYFUNCTION("""COMPUTED_VALUE"""),25.0)</f>
        <v>25</v>
      </c>
      <c r="J1027" s="4" t="str">
        <f>IFERROR(__xludf.DUMMYFUNCTION("""COMPUTED_VALUE"""),"Tier 3")</f>
        <v>Tier 3</v>
      </c>
      <c r="K1027" s="4" t="str">
        <f>IFERROR(__xludf.DUMMYFUNCTION("""COMPUTED_VALUE"""),"Active")</f>
        <v>Active</v>
      </c>
      <c r="L1027" s="4" t="str">
        <f>IFERROR(__xludf.DUMMYFUNCTION("""COMPUTED_VALUE"""),"AI Applications")</f>
        <v>AI Applications</v>
      </c>
    </row>
    <row r="1028">
      <c r="A1028" s="4" t="str">
        <f>IFERROR(__xludf.DUMMYFUNCTION("""COMPUTED_VALUE"""),"DMC1069")</f>
        <v>DMC1069</v>
      </c>
      <c r="B1028" s="4" t="str">
        <f>IFERROR(__xludf.DUMMYFUNCTION("""COMPUTED_VALUE"""),"Yashverdhan Purohit")</f>
        <v>Yashverdhan Purohit</v>
      </c>
      <c r="C1028" s="4" t="str">
        <f>IFERROR(__xludf.DUMMYFUNCTION("""COMPUTED_VALUE"""),"yashverdhan.purohit@onixnet.com")</f>
        <v>yashverdhan.purohit@onixnet.com</v>
      </c>
      <c r="D1028" s="4" t="str">
        <f>IFERROR(__xludf.DUMMYFUNCTION("""COMPUTED_VALUE"""),"Active")</f>
        <v>Active</v>
      </c>
      <c r="E1028" s="4" t="str">
        <f>IFERROR(__xludf.DUMMYFUNCTION("""COMPUTED_VALUE"""),"Delivery Services")</f>
        <v>Delivery Services</v>
      </c>
      <c r="F1028" s="4" t="str">
        <f>IFERROR(__xludf.DUMMYFUNCTION("""COMPUTED_VALUE"""),"Kirankumar Shetty")</f>
        <v>Kirankumar Shetty</v>
      </c>
      <c r="G1028" s="4" t="str">
        <f>IFERROR(__xludf.DUMMYFUNCTION("""COMPUTED_VALUE"""),"Cluster - Varun")</f>
        <v>Cluster - Varun</v>
      </c>
      <c r="H1028" s="4" t="str">
        <f>IFERROR(__xludf.DUMMYFUNCTION("""COMPUTED_VALUE"""),"ONIYPDKK3")</f>
        <v>ONIYPDKK3</v>
      </c>
      <c r="I1028" s="5">
        <f>IFERROR(__xludf.DUMMYFUNCTION("""COMPUTED_VALUE"""),20.0)</f>
        <v>20</v>
      </c>
      <c r="J1028" s="4" t="str">
        <f>IFERROR(__xludf.DUMMYFUNCTION("""COMPUTED_VALUE"""),"Tier 3")</f>
        <v>Tier 3</v>
      </c>
      <c r="K1028" s="4" t="str">
        <f>IFERROR(__xludf.DUMMYFUNCTION("""COMPUTED_VALUE"""),"Active")</f>
        <v>Active</v>
      </c>
      <c r="L1028" s="4" t="str">
        <f>IFERROR(__xludf.DUMMYFUNCTION("""COMPUTED_VALUE"""),"AI Applications")</f>
        <v>AI Applications</v>
      </c>
    </row>
    <row r="1029">
      <c r="A1029" s="4" t="str">
        <f>IFERROR(__xludf.DUMMYFUNCTION("""COMPUTED_VALUE"""),"DMC1070")</f>
        <v>DMC1070</v>
      </c>
      <c r="B1029" s="4" t="str">
        <f>IFERROR(__xludf.DUMMYFUNCTION("""COMPUTED_VALUE"""),"Yatin Parmar")</f>
        <v>Yatin Parmar</v>
      </c>
      <c r="C1029" s="4" t="str">
        <f>IFERROR(__xludf.DUMMYFUNCTION("""COMPUTED_VALUE"""),"yatin.parmar@onixnet.com")</f>
        <v>yatin.parmar@onixnet.com</v>
      </c>
      <c r="D1029" s="4" t="str">
        <f>IFERROR(__xludf.DUMMYFUNCTION("""COMPUTED_VALUE"""),"Active")</f>
        <v>Active</v>
      </c>
      <c r="E1029" s="4" t="str">
        <f>IFERROR(__xludf.DUMMYFUNCTION("""COMPUTED_VALUE"""),"Delivery Services")</f>
        <v>Delivery Services</v>
      </c>
      <c r="F1029" s="4" t="str">
        <f>IFERROR(__xludf.DUMMYFUNCTION("""COMPUTED_VALUE"""),"Kirankumar Shetty")</f>
        <v>Kirankumar Shetty</v>
      </c>
      <c r="G1029" s="4" t="str">
        <f>IFERROR(__xludf.DUMMYFUNCTION("""COMPUTED_VALUE"""),"Cluster - Varun")</f>
        <v>Cluster - Varun</v>
      </c>
      <c r="H1029" s="4" t="str">
        <f>IFERROR(__xludf.DUMMYFUNCTION("""COMPUTED_VALUE"""),"ONIYPXKN2")</f>
        <v>ONIYPXKN2</v>
      </c>
      <c r="I1029" s="5">
        <f>IFERROR(__xludf.DUMMYFUNCTION("""COMPUTED_VALUE"""),50.0)</f>
        <v>50</v>
      </c>
      <c r="J1029" s="4" t="str">
        <f>IFERROR(__xludf.DUMMYFUNCTION("""COMPUTED_VALUE"""),"Tier 1")</f>
        <v>Tier 1</v>
      </c>
      <c r="K1029" s="4" t="str">
        <f>IFERROR(__xludf.DUMMYFUNCTION("""COMPUTED_VALUE"""),"Active")</f>
        <v>Active</v>
      </c>
      <c r="L1029" s="4" t="str">
        <f>IFERROR(__xludf.DUMMYFUNCTION("""COMPUTED_VALUE"""),"AI Applications")</f>
        <v>AI Applications</v>
      </c>
    </row>
    <row r="1030">
      <c r="A1030" s="4" t="str">
        <f>IFERROR(__xludf.DUMMYFUNCTION("""COMPUTED_VALUE"""),"ONIX819")</f>
        <v>ONIX819</v>
      </c>
      <c r="B1030" s="4" t="str">
        <f>IFERROR(__xludf.DUMMYFUNCTION("""COMPUTED_VALUE"""),"Karthic Kumar Jeevahan")</f>
        <v>Karthic Kumar Jeevahan</v>
      </c>
      <c r="C1030" s="4" t="str">
        <f>IFERROR(__xludf.DUMMYFUNCTION("""COMPUTED_VALUE"""),"karthic.kumar@onixnet.com")</f>
        <v>karthic.kumar@onixnet.com</v>
      </c>
      <c r="D1030" s="4" t="str">
        <f>IFERROR(__xludf.DUMMYFUNCTION("""COMPUTED_VALUE"""),"Active")</f>
        <v>Active</v>
      </c>
      <c r="E1030" s="4" t="str">
        <f>IFERROR(__xludf.DUMMYFUNCTION("""COMPUTED_VALUE"""),"Sales Services")</f>
        <v>Sales Services</v>
      </c>
      <c r="F1030" s="4" t="str">
        <f>IFERROR(__xludf.DUMMYFUNCTION("""COMPUTED_VALUE"""),"Ganesh Ramamoorthy")</f>
        <v>Ganesh Ramamoorthy</v>
      </c>
      <c r="G1030" s="4" t="str">
        <f>IFERROR(__xludf.DUMMYFUNCTION("""COMPUTED_VALUE"""),"Portfolio - Ankur (Sales)")</f>
        <v>Portfolio - Ankur (Sales)</v>
      </c>
      <c r="H1030" s="4" t="str">
        <f>IFERROR(__xludf.DUMMYFUNCTION("""COMPUTED_VALUE"""),"ONIKJYVM9")</f>
        <v>ONIKJYVM9</v>
      </c>
      <c r="I1030" s="5">
        <f>IFERROR(__xludf.DUMMYFUNCTION("""COMPUTED_VALUE"""),8.0)</f>
        <v>8</v>
      </c>
      <c r="J1030" s="4" t="str">
        <f>IFERROR(__xludf.DUMMYFUNCTION("""COMPUTED_VALUE"""),"Tier 4")</f>
        <v>Tier 4</v>
      </c>
      <c r="K1030" s="4" t="str">
        <f>IFERROR(__xludf.DUMMYFUNCTION("""COMPUTED_VALUE"""),"Active")</f>
        <v>Active</v>
      </c>
      <c r="L1030" s="4" t="str">
        <f>IFERROR(__xludf.DUMMYFUNCTION("""COMPUTED_VALUE"""),"Gemini Enterprise")</f>
        <v>Gemini Enterprise</v>
      </c>
    </row>
    <row r="1031">
      <c r="A1031" s="4" t="str">
        <f>IFERROR(__xludf.DUMMYFUNCTION("""COMPUTED_VALUE"""),"ONIX822")</f>
        <v>ONIX822</v>
      </c>
      <c r="B1031" s="4" t="str">
        <f>IFERROR(__xludf.DUMMYFUNCTION("""COMPUTED_VALUE"""),"Luliia Al-Saadi")</f>
        <v>Luliia Al-Saadi</v>
      </c>
      <c r="C1031" s="4" t="str">
        <f>IFERROR(__xludf.DUMMYFUNCTION("""COMPUTED_VALUE"""),"iuliia.al-saadi@onixnet.com")</f>
        <v>iuliia.al-saadi@onixnet.com</v>
      </c>
      <c r="D1031" s="4" t="str">
        <f>IFERROR(__xludf.DUMMYFUNCTION("""COMPUTED_VALUE"""),"Active")</f>
        <v>Active</v>
      </c>
      <c r="E1031" s="4" t="str">
        <f>IFERROR(__xludf.DUMMYFUNCTION("""COMPUTED_VALUE"""),"Delivery Management")</f>
        <v>Delivery Management</v>
      </c>
      <c r="F1031" s="4" t="str">
        <f>IFERROR(__xludf.DUMMYFUNCTION("""COMPUTED_VALUE"""),"Kyle Clark")</f>
        <v>Kyle Clark</v>
      </c>
      <c r="G1031" s="4" t="str">
        <f>IFERROR(__xludf.DUMMYFUNCTION("""COMPUTED_VALUE"""),"Portfolio - Thomas (AI)")</f>
        <v>Portfolio - Thomas (AI)</v>
      </c>
      <c r="H1031" s="4" t="str">
        <f>IFERROR(__xludf.DUMMYFUNCTION("""COMPUTED_VALUE"""),"ONIIAIHM9")</f>
        <v>ONIIAIHM9</v>
      </c>
      <c r="I1031" s="5">
        <f>IFERROR(__xludf.DUMMYFUNCTION("""COMPUTED_VALUE"""),39.0)</f>
        <v>39</v>
      </c>
      <c r="J1031" s="4" t="str">
        <f>IFERROR(__xludf.DUMMYFUNCTION("""COMPUTED_VALUE"""),"Tier 2")</f>
        <v>Tier 2</v>
      </c>
      <c r="K1031" s="4" t="str">
        <f>IFERROR(__xludf.DUMMYFUNCTION("""COMPUTED_VALUE"""),"Active")</f>
        <v>Active</v>
      </c>
      <c r="L1031" s="4" t="str">
        <f>IFERROR(__xludf.DUMMYFUNCTION("""COMPUTED_VALUE"""),"Gemini Enterprise Agent Platform")</f>
        <v>Gemini Enterprise Agent Platform</v>
      </c>
    </row>
    <row r="1032">
      <c r="A1032" s="4" t="str">
        <f>IFERROR(__xludf.DUMMYFUNCTION("""COMPUTED_VALUE"""),"DME3033")</f>
        <v>DME3033</v>
      </c>
      <c r="B1032" s="4" t="str">
        <f>IFERROR(__xludf.DUMMYFUNCTION("""COMPUTED_VALUE"""),"Bhavya Chennu")</f>
        <v>Bhavya Chennu</v>
      </c>
      <c r="C1032" s="4" t="str">
        <f>IFERROR(__xludf.DUMMYFUNCTION("""COMPUTED_VALUE"""),"chennu.bhavya@onixnet.com")</f>
        <v>chennu.bhavya@onixnet.com</v>
      </c>
      <c r="D1032" s="4" t="str">
        <f>IFERROR(__xludf.DUMMYFUNCTION("""COMPUTED_VALUE"""),"Active")</f>
        <v>Active</v>
      </c>
      <c r="E1032" s="4" t="str">
        <f>IFERROR(__xludf.DUMMYFUNCTION("""COMPUTED_VALUE"""),"Delivery Services")</f>
        <v>Delivery Services</v>
      </c>
      <c r="F1032" s="4" t="str">
        <f>IFERROR(__xludf.DUMMYFUNCTION("""COMPUTED_VALUE"""),"Deshabhotla Sravan")</f>
        <v>Deshabhotla Sravan</v>
      </c>
      <c r="G1032" s="4" t="str">
        <f>IFERROR(__xludf.DUMMYFUNCTION("""COMPUTED_VALUE"""),"Cluster - Shreepad")</f>
        <v>Cluster - Shreepad</v>
      </c>
      <c r="H1032" s="4" t="str">
        <f>IFERROR(__xludf.DUMMYFUNCTION("""COMPUTED_VALUE"""),"ONIBCEYS4")</f>
        <v>ONIBCEYS4</v>
      </c>
      <c r="I1032" s="5">
        <f>IFERROR(__xludf.DUMMYFUNCTION("""COMPUTED_VALUE"""),5.0)</f>
        <v>5</v>
      </c>
      <c r="J1032" s="4" t="str">
        <f>IFERROR(__xludf.DUMMYFUNCTION("""COMPUTED_VALUE"""),"Tier 4")</f>
        <v>Tier 4</v>
      </c>
      <c r="K1032" s="4" t="str">
        <f>IFERROR(__xludf.DUMMYFUNCTION("""COMPUTED_VALUE"""),"Active")</f>
        <v>Active</v>
      </c>
      <c r="L1032" s="4" t="str">
        <f>IFERROR(__xludf.DUMMYFUNCTION("""COMPUTED_VALUE"""),"BigQuery")</f>
        <v>BigQuery</v>
      </c>
    </row>
    <row r="1033">
      <c r="A1033" s="4" t="str">
        <f>IFERROR(__xludf.DUMMYFUNCTION("""COMPUTED_VALUE"""),"DME3154")</f>
        <v>DME3154</v>
      </c>
      <c r="B1033" s="4" t="str">
        <f>IFERROR(__xludf.DUMMYFUNCTION("""COMPUTED_VALUE"""),"Dixit Lumaji Khewale")</f>
        <v>Dixit Lumaji Khewale</v>
      </c>
      <c r="C1033" s="4" t="str">
        <f>IFERROR(__xludf.DUMMYFUNCTION("""COMPUTED_VALUE"""),"dixit.khewale@onixnet.com")</f>
        <v>dixit.khewale@onixnet.com</v>
      </c>
      <c r="D1033" s="4" t="str">
        <f>IFERROR(__xludf.DUMMYFUNCTION("""COMPUTED_VALUE"""),"Active")</f>
        <v>Active</v>
      </c>
      <c r="E1033" s="4" t="str">
        <f>IFERROR(__xludf.DUMMYFUNCTION("""COMPUTED_VALUE"""),"Delivery Services")</f>
        <v>Delivery Services</v>
      </c>
      <c r="F1033" s="4" t="str">
        <f>IFERROR(__xludf.DUMMYFUNCTION("""COMPUTED_VALUE"""),"Sneha Bhatambrekar")</f>
        <v>Sneha Bhatambrekar</v>
      </c>
      <c r="G1033" s="4" t="str">
        <f>IFERROR(__xludf.DUMMYFUNCTION("""COMPUTED_VALUE"""),"Cluster - Sandeep")</f>
        <v>Cluster - Sandeep</v>
      </c>
      <c r="H1033" s="4" t="str">
        <f>IFERROR(__xludf.DUMMYFUNCTION("""COMPUTED_VALUE"""),"ONIDKPGZ7")</f>
        <v>ONIDKPGZ7</v>
      </c>
      <c r="I1033" s="5">
        <f>IFERROR(__xludf.DUMMYFUNCTION("""COMPUTED_VALUE"""),8.0)</f>
        <v>8</v>
      </c>
      <c r="J1033" s="4" t="str">
        <f>IFERROR(__xludf.DUMMYFUNCTION("""COMPUTED_VALUE"""),"Tier 4")</f>
        <v>Tier 4</v>
      </c>
      <c r="K1033" s="4" t="str">
        <f>IFERROR(__xludf.DUMMYFUNCTION("""COMPUTED_VALUE"""),"Active")</f>
        <v>Active</v>
      </c>
      <c r="L1033" s="4" t="str">
        <f>IFERROR(__xludf.DUMMYFUNCTION("""COMPUTED_VALUE"""),"BigQuery")</f>
        <v>BigQuery</v>
      </c>
    </row>
    <row r="1034">
      <c r="A1034" s="4" t="str">
        <f>IFERROR(__xludf.DUMMYFUNCTION("""COMPUTED_VALUE"""),"DME3035")</f>
        <v>DME3035</v>
      </c>
      <c r="B1034" s="4" t="str">
        <f>IFERROR(__xludf.DUMMYFUNCTION("""COMPUTED_VALUE"""),"Prathap Kumar Darla")</f>
        <v>Prathap Kumar Darla</v>
      </c>
      <c r="C1034" s="4" t="str">
        <f>IFERROR(__xludf.DUMMYFUNCTION("""COMPUTED_VALUE"""),"prathap.darla@onixnet.com")</f>
        <v>prathap.darla@onixnet.com</v>
      </c>
      <c r="D1034" s="4" t="str">
        <f>IFERROR(__xludf.DUMMYFUNCTION("""COMPUTED_VALUE"""),"Active")</f>
        <v>Active</v>
      </c>
      <c r="E1034" s="4" t="str">
        <f>IFERROR(__xludf.DUMMYFUNCTION("""COMPUTED_VALUE"""),"Product Engineering")</f>
        <v>Product Engineering</v>
      </c>
      <c r="F1034" s="4" t="str">
        <f>IFERROR(__xludf.DUMMYFUNCTION("""COMPUTED_VALUE"""),"Pradnya Kailas Kate")</f>
        <v>Pradnya Kailas Kate</v>
      </c>
      <c r="G1034" s="4" t="str">
        <f>IFERROR(__xludf.DUMMYFUNCTION("""COMPUTED_VALUE"""),"Cluster - Mayur")</f>
        <v>Cluster - Mayur</v>
      </c>
      <c r="H1034" s="4" t="str">
        <f>IFERROR(__xludf.DUMMYFUNCTION("""COMPUTED_VALUE"""),"ONIPDUIY8")</f>
        <v>ONIPDUIY8</v>
      </c>
      <c r="I1034" s="5">
        <f>IFERROR(__xludf.DUMMYFUNCTION("""COMPUTED_VALUE"""),5.0)</f>
        <v>5</v>
      </c>
      <c r="J1034" s="4" t="str">
        <f>IFERROR(__xludf.DUMMYFUNCTION("""COMPUTED_VALUE"""),"Tier 4")</f>
        <v>Tier 4</v>
      </c>
      <c r="K1034" s="4" t="str">
        <f>IFERROR(__xludf.DUMMYFUNCTION("""COMPUTED_VALUE"""),"Active")</f>
        <v>Active</v>
      </c>
      <c r="L1034" s="4" t="str">
        <f>IFERROR(__xludf.DUMMYFUNCTION("""COMPUTED_VALUE"""),"GECX - Agent Assist")</f>
        <v>GECX - Agent Assist</v>
      </c>
    </row>
    <row r="1035">
      <c r="A1035" s="4" t="str">
        <f>IFERROR(__xludf.DUMMYFUNCTION("""COMPUTED_VALUE"""),"DME3038")</f>
        <v>DME3038</v>
      </c>
      <c r="B1035" s="4" t="str">
        <f>IFERROR(__xludf.DUMMYFUNCTION("""COMPUTED_VALUE"""),"Rushikesh Sunil Mule")</f>
        <v>Rushikesh Sunil Mule</v>
      </c>
      <c r="C1035" s="4" t="str">
        <f>IFERROR(__xludf.DUMMYFUNCTION("""COMPUTED_VALUE"""),"rushikesh.mule@onixnet.com")</f>
        <v>rushikesh.mule@onixnet.com</v>
      </c>
      <c r="D1035" s="4" t="str">
        <f>IFERROR(__xludf.DUMMYFUNCTION("""COMPUTED_VALUE"""),"Active")</f>
        <v>Active</v>
      </c>
      <c r="E1035" s="4" t="str">
        <f>IFERROR(__xludf.DUMMYFUNCTION("""COMPUTED_VALUE"""),"Product Engineering")</f>
        <v>Product Engineering</v>
      </c>
      <c r="F1035" s="4" t="str">
        <f>IFERROR(__xludf.DUMMYFUNCTION("""COMPUTED_VALUE"""),"Pravin Abhang")</f>
        <v>Pravin Abhang</v>
      </c>
      <c r="G1035" s="4" t="str">
        <f>IFERROR(__xludf.DUMMYFUNCTION("""COMPUTED_VALUE"""),"Cluster - Mayur")</f>
        <v>Cluster - Mayur</v>
      </c>
      <c r="H1035" s="4" t="str">
        <f>IFERROR(__xludf.DUMMYFUNCTION("""COMPUTED_VALUE"""),"ONIRMMBZ2")</f>
        <v>ONIRMMBZ2</v>
      </c>
      <c r="I1035" s="5">
        <f>IFERROR(__xludf.DUMMYFUNCTION("""COMPUTED_VALUE"""),15.0)</f>
        <v>15</v>
      </c>
      <c r="J1035" s="4" t="str">
        <f>IFERROR(__xludf.DUMMYFUNCTION("""COMPUTED_VALUE"""),"Tier 4")</f>
        <v>Tier 4</v>
      </c>
      <c r="K1035" s="4" t="str">
        <f>IFERROR(__xludf.DUMMYFUNCTION("""COMPUTED_VALUE"""),"Active")</f>
        <v>Active</v>
      </c>
      <c r="L1035" s="4" t="str">
        <f>IFERROR(__xludf.DUMMYFUNCTION("""COMPUTED_VALUE"""),"AI Applications")</f>
        <v>AI Applications</v>
      </c>
    </row>
    <row r="1036">
      <c r="A1036" s="4" t="str">
        <f>IFERROR(__xludf.DUMMYFUNCTION("""COMPUTED_VALUE"""),"DME3039")</f>
        <v>DME3039</v>
      </c>
      <c r="B1036" s="4" t="str">
        <f>IFERROR(__xludf.DUMMYFUNCTION("""COMPUTED_VALUE"""),"Shubham Dileep Kambire")</f>
        <v>Shubham Dileep Kambire</v>
      </c>
      <c r="C1036" s="4" t="str">
        <f>IFERROR(__xludf.DUMMYFUNCTION("""COMPUTED_VALUE"""),"shubham.kambire@onixnet.com")</f>
        <v>shubham.kambire@onixnet.com</v>
      </c>
      <c r="D1036" s="4" t="str">
        <f>IFERROR(__xludf.DUMMYFUNCTION("""COMPUTED_VALUE"""),"Active")</f>
        <v>Active</v>
      </c>
      <c r="E1036" s="4" t="str">
        <f>IFERROR(__xludf.DUMMYFUNCTION("""COMPUTED_VALUE"""),"Delivery Services")</f>
        <v>Delivery Services</v>
      </c>
      <c r="F1036" s="4" t="str">
        <f>IFERROR(__xludf.DUMMYFUNCTION("""COMPUTED_VALUE"""),"Vishal Khare")</f>
        <v>Vishal Khare</v>
      </c>
      <c r="G1036" s="4" t="str">
        <f>IFERROR(__xludf.DUMMYFUNCTION("""COMPUTED_VALUE"""),"Cluster - Sagar")</f>
        <v>Cluster - Sagar</v>
      </c>
      <c r="H1036" s="4" t="str">
        <f>IFERROR(__xludf.DUMMYFUNCTION("""COMPUTED_VALUE"""),"ONISKGSG6")</f>
        <v>ONISKGSG6</v>
      </c>
      <c r="I1036" s="5">
        <f>IFERROR(__xludf.DUMMYFUNCTION("""COMPUTED_VALUE"""),19.0)</f>
        <v>19</v>
      </c>
      <c r="J1036" s="4" t="str">
        <f>IFERROR(__xludf.DUMMYFUNCTION("""COMPUTED_VALUE"""),"Tier 4")</f>
        <v>Tier 4</v>
      </c>
      <c r="K1036" s="4" t="str">
        <f>IFERROR(__xludf.DUMMYFUNCTION("""COMPUTED_VALUE"""),"Active")</f>
        <v>Active</v>
      </c>
      <c r="L1036" s="4" t="str">
        <f>IFERROR(__xludf.DUMMYFUNCTION("""COMPUTED_VALUE"""),"AI Applications")</f>
        <v>AI Applications</v>
      </c>
    </row>
    <row r="1037">
      <c r="A1037" s="4" t="str">
        <f>IFERROR(__xludf.DUMMYFUNCTION("""COMPUTED_VALUE"""),"DME3042")</f>
        <v>DME3042</v>
      </c>
      <c r="B1037" s="4" t="str">
        <f>IFERROR(__xludf.DUMMYFUNCTION("""COMPUTED_VALUE"""),"Viren Balaso Shaha")</f>
        <v>Viren Balaso Shaha</v>
      </c>
      <c r="C1037" s="4" t="str">
        <f>IFERROR(__xludf.DUMMYFUNCTION("""COMPUTED_VALUE"""),"viren.shaha@onixnet.com")</f>
        <v>viren.shaha@onixnet.com</v>
      </c>
      <c r="D1037" s="4" t="str">
        <f>IFERROR(__xludf.DUMMYFUNCTION("""COMPUTED_VALUE"""),"Active")</f>
        <v>Active</v>
      </c>
      <c r="E1037" s="4" t="str">
        <f>IFERROR(__xludf.DUMMYFUNCTION("""COMPUTED_VALUE"""),"Delivery Services")</f>
        <v>Delivery Services</v>
      </c>
      <c r="F1037" s="4" t="str">
        <f>IFERROR(__xludf.DUMMYFUNCTION("""COMPUTED_VALUE"""),"Vishal Khare")</f>
        <v>Vishal Khare</v>
      </c>
      <c r="G1037" s="4" t="str">
        <f>IFERROR(__xludf.DUMMYFUNCTION("""COMPUTED_VALUE"""),"Cluster - Sagar")</f>
        <v>Cluster - Sagar</v>
      </c>
      <c r="H1037" s="4" t="str">
        <f>IFERROR(__xludf.DUMMYFUNCTION("""COMPUTED_VALUE"""),"DATVSKJP2")</f>
        <v>DATVSKJP2</v>
      </c>
      <c r="I1037" s="5">
        <f>IFERROR(__xludf.DUMMYFUNCTION("""COMPUTED_VALUE"""),11.0)</f>
        <v>11</v>
      </c>
      <c r="J1037" s="4" t="str">
        <f>IFERROR(__xludf.DUMMYFUNCTION("""COMPUTED_VALUE"""),"Tier 4")</f>
        <v>Tier 4</v>
      </c>
      <c r="K1037" s="4" t="str">
        <f>IFERROR(__xludf.DUMMYFUNCTION("""COMPUTED_VALUE"""),"Active")</f>
        <v>Active</v>
      </c>
      <c r="L1037" s="4" t="str">
        <f>IFERROR(__xludf.DUMMYFUNCTION("""COMPUTED_VALUE"""),"BigQuery")</f>
        <v>BigQuery</v>
      </c>
    </row>
    <row r="1038">
      <c r="A1038" s="4" t="str">
        <f>IFERROR(__xludf.DUMMYFUNCTION("""COMPUTED_VALUE"""),"DME3044")</f>
        <v>DME3044</v>
      </c>
      <c r="B1038" s="4" t="str">
        <f>IFERROR(__xludf.DUMMYFUNCTION("""COMPUTED_VALUE"""),"Akshay Suryabhan Shinde")</f>
        <v>Akshay Suryabhan Shinde</v>
      </c>
      <c r="C1038" s="4" t="str">
        <f>IFERROR(__xludf.DUMMYFUNCTION("""COMPUTED_VALUE"""),"akshay.shinde@onixnet.com")</f>
        <v>akshay.shinde@onixnet.com</v>
      </c>
      <c r="D1038" s="4" t="str">
        <f>IFERROR(__xludf.DUMMYFUNCTION("""COMPUTED_VALUE"""),"Active")</f>
        <v>Active</v>
      </c>
      <c r="E1038" s="4" t="str">
        <f>IFERROR(__xludf.DUMMYFUNCTION("""COMPUTED_VALUE"""),"Delivery Services")</f>
        <v>Delivery Services</v>
      </c>
      <c r="F1038" s="4" t="str">
        <f>IFERROR(__xludf.DUMMYFUNCTION("""COMPUTED_VALUE"""),"Jitender Singh")</f>
        <v>Jitender Singh</v>
      </c>
      <c r="G1038" s="4" t="str">
        <f>IFERROR(__xludf.DUMMYFUNCTION("""COMPUTED_VALUE"""),"Cluster - Gaurav")</f>
        <v>Cluster - Gaurav</v>
      </c>
      <c r="H1038" s="4" t="str">
        <f>IFERROR(__xludf.DUMMYFUNCTION("""COMPUTED_VALUE"""),"ONIASHAH7")</f>
        <v>ONIASHAH7</v>
      </c>
      <c r="I1038" s="5">
        <f>IFERROR(__xludf.DUMMYFUNCTION("""COMPUTED_VALUE"""),5.0)</f>
        <v>5</v>
      </c>
      <c r="J1038" s="4" t="str">
        <f>IFERROR(__xludf.DUMMYFUNCTION("""COMPUTED_VALUE"""),"Tier 4")</f>
        <v>Tier 4</v>
      </c>
      <c r="K1038" s="4" t="str">
        <f>IFERROR(__xludf.DUMMYFUNCTION("""COMPUTED_VALUE"""),"Active")</f>
        <v>Active</v>
      </c>
      <c r="L1038" s="4" t="str">
        <f>IFERROR(__xludf.DUMMYFUNCTION("""COMPUTED_VALUE"""),"Gemini Enterprise Agent Platform")</f>
        <v>Gemini Enterprise Agent Platform</v>
      </c>
    </row>
    <row r="1039">
      <c r="A1039" s="4" t="str">
        <f>IFERROR(__xludf.DUMMYFUNCTION("""COMPUTED_VALUE"""),"DME3045")</f>
        <v>DME3045</v>
      </c>
      <c r="B1039" s="4" t="str">
        <f>IFERROR(__xludf.DUMMYFUNCTION("""COMPUTED_VALUE"""),"Ramesh Perumal")</f>
        <v>Ramesh Perumal</v>
      </c>
      <c r="C1039" s="4" t="str">
        <f>IFERROR(__xludf.DUMMYFUNCTION("""COMPUTED_VALUE"""),"ramesh.perumal@onixnet.com")</f>
        <v>ramesh.perumal@onixnet.com</v>
      </c>
      <c r="D1039" s="4" t="str">
        <f>IFERROR(__xludf.DUMMYFUNCTION("""COMPUTED_VALUE"""),"Active")</f>
        <v>Active</v>
      </c>
      <c r="E1039" s="4" t="str">
        <f>IFERROR(__xludf.DUMMYFUNCTION("""COMPUTED_VALUE"""),"Delivery Services")</f>
        <v>Delivery Services</v>
      </c>
      <c r="F1039" s="4" t="str">
        <f>IFERROR(__xludf.DUMMYFUNCTION("""COMPUTED_VALUE"""),"Mayur Kasar")</f>
        <v>Mayur Kasar</v>
      </c>
      <c r="G1039" s="4" t="str">
        <f>IFERROR(__xludf.DUMMYFUNCTION("""COMPUTED_VALUE"""),"Cluster - Varun")</f>
        <v>Cluster - Varun</v>
      </c>
      <c r="H1039" s="4" t="str">
        <f>IFERROR(__xludf.DUMMYFUNCTION("""COMPUTED_VALUE"""),"ONIRPQGK2")</f>
        <v>ONIRPQGK2</v>
      </c>
      <c r="I1039" s="5">
        <f>IFERROR(__xludf.DUMMYFUNCTION("""COMPUTED_VALUE"""),39.0)</f>
        <v>39</v>
      </c>
      <c r="J1039" s="4" t="str">
        <f>IFERROR(__xludf.DUMMYFUNCTION("""COMPUTED_VALUE"""),"Tier 2")</f>
        <v>Tier 2</v>
      </c>
      <c r="K1039" s="4" t="str">
        <f>IFERROR(__xludf.DUMMYFUNCTION("""COMPUTED_VALUE"""),"Active")</f>
        <v>Active</v>
      </c>
      <c r="L1039" s="4" t="str">
        <f>IFERROR(__xludf.DUMMYFUNCTION("""COMPUTED_VALUE"""),"Gemini Enterprise")</f>
        <v>Gemini Enterprise</v>
      </c>
    </row>
    <row r="1040">
      <c r="A1040" s="4" t="str">
        <f>IFERROR(__xludf.DUMMYFUNCTION("""COMPUTED_VALUE"""),"DME3053")</f>
        <v>DME3053</v>
      </c>
      <c r="B1040" s="4" t="str">
        <f>IFERROR(__xludf.DUMMYFUNCTION("""COMPUTED_VALUE"""),"Sayali Ajit Yerunkar")</f>
        <v>Sayali Ajit Yerunkar</v>
      </c>
      <c r="C1040" s="4" t="str">
        <f>IFERROR(__xludf.DUMMYFUNCTION("""COMPUTED_VALUE"""),"sayali.yerunkar@onixnet.com")</f>
        <v>sayali.yerunkar@onixnet.com</v>
      </c>
      <c r="D1040" s="4" t="str">
        <f>IFERROR(__xludf.DUMMYFUNCTION("""COMPUTED_VALUE"""),"Active")</f>
        <v>Active</v>
      </c>
      <c r="E1040" s="4" t="str">
        <f>IFERROR(__xludf.DUMMYFUNCTION("""COMPUTED_VALUE"""),"Product Engineering")</f>
        <v>Product Engineering</v>
      </c>
      <c r="F1040" s="4" t="str">
        <f>IFERROR(__xludf.DUMMYFUNCTION("""COMPUTED_VALUE"""),"Gayathri Keerthivasagam")</f>
        <v>Gayathri Keerthivasagam</v>
      </c>
      <c r="G1040" s="4" t="str">
        <f>IFERROR(__xludf.DUMMYFUNCTION("""COMPUTED_VALUE"""),"Cluster - Mayur")</f>
        <v>Cluster - Mayur</v>
      </c>
      <c r="H1040" s="4" t="str">
        <f>IFERROR(__xludf.DUMMYFUNCTION("""COMPUTED_VALUE"""),"ONISYURZ1")</f>
        <v>ONISYURZ1</v>
      </c>
      <c r="I1040" s="5">
        <f>IFERROR(__xludf.DUMMYFUNCTION("""COMPUTED_VALUE"""),15.0)</f>
        <v>15</v>
      </c>
      <c r="J1040" s="4" t="str">
        <f>IFERROR(__xludf.DUMMYFUNCTION("""COMPUTED_VALUE"""),"Tier 4")</f>
        <v>Tier 4</v>
      </c>
      <c r="K1040" s="4" t="str">
        <f>IFERROR(__xludf.DUMMYFUNCTION("""COMPUTED_VALUE"""),"Active")</f>
        <v>Active</v>
      </c>
      <c r="L1040" s="4" t="str">
        <f>IFERROR(__xludf.DUMMYFUNCTION("""COMPUTED_VALUE"""),"AI Applications")</f>
        <v>AI Applications</v>
      </c>
    </row>
    <row r="1041">
      <c r="A1041" s="4" t="str">
        <f>IFERROR(__xludf.DUMMYFUNCTION("""COMPUTED_VALUE"""),"DME3055")</f>
        <v>DME3055</v>
      </c>
      <c r="B1041" s="4" t="str">
        <f>IFERROR(__xludf.DUMMYFUNCTION("""COMPUTED_VALUE"""),"Vibhav Singh")</f>
        <v>Vibhav Singh</v>
      </c>
      <c r="C1041" s="4" t="str">
        <f>IFERROR(__xludf.DUMMYFUNCTION("""COMPUTED_VALUE"""),"vibhav.singh@onixnet.com")</f>
        <v>vibhav.singh@onixnet.com</v>
      </c>
      <c r="D1041" s="4" t="str">
        <f>IFERROR(__xludf.DUMMYFUNCTION("""COMPUTED_VALUE"""),"Active")</f>
        <v>Active</v>
      </c>
      <c r="E1041" s="4" t="str">
        <f>IFERROR(__xludf.DUMMYFUNCTION("""COMPUTED_VALUE"""),"Eagle Assessment")</f>
        <v>Eagle Assessment</v>
      </c>
      <c r="F1041" s="4" t="str">
        <f>IFERROR(__xludf.DUMMYFUNCTION("""COMPUTED_VALUE"""),"Swapnil Salunke")</f>
        <v>Swapnil Salunke</v>
      </c>
      <c r="G1041" s="4" t="str">
        <f>IFERROR(__xludf.DUMMYFUNCTION("""COMPUTED_VALUE"""),"Cluster - Kalpa")</f>
        <v>Cluster - Kalpa</v>
      </c>
      <c r="H1041" s="4" t="str">
        <f>IFERROR(__xludf.DUMMYFUNCTION("""COMPUTED_VALUE"""),"ONIVSNNV1")</f>
        <v>ONIVSNNV1</v>
      </c>
      <c r="I1041" s="5">
        <f>IFERROR(__xludf.DUMMYFUNCTION("""COMPUTED_VALUE"""),10.0)</f>
        <v>10</v>
      </c>
      <c r="J1041" s="4" t="str">
        <f>IFERROR(__xludf.DUMMYFUNCTION("""COMPUTED_VALUE"""),"Tier 4")</f>
        <v>Tier 4</v>
      </c>
      <c r="K1041" s="4" t="str">
        <f>IFERROR(__xludf.DUMMYFUNCTION("""COMPUTED_VALUE"""),"Active")</f>
        <v>Active</v>
      </c>
      <c r="L1041" s="4" t="str">
        <f>IFERROR(__xludf.DUMMYFUNCTION("""COMPUTED_VALUE"""),"AI Applications")</f>
        <v>AI Applications</v>
      </c>
    </row>
    <row r="1042">
      <c r="A1042" s="4" t="str">
        <f>IFERROR(__xludf.DUMMYFUNCTION("""COMPUTED_VALUE"""),"DME3054")</f>
        <v>DME3054</v>
      </c>
      <c r="B1042" s="4" t="str">
        <f>IFERROR(__xludf.DUMMYFUNCTION("""COMPUTED_VALUE"""),"Pawan Sanjay Bonde")</f>
        <v>Pawan Sanjay Bonde</v>
      </c>
      <c r="C1042" s="4" t="str">
        <f>IFERROR(__xludf.DUMMYFUNCTION("""COMPUTED_VALUE"""),"pawan.bonde@onixnet.com")</f>
        <v>pawan.bonde@onixnet.com</v>
      </c>
      <c r="D1042" s="4" t="str">
        <f>IFERROR(__xludf.DUMMYFUNCTION("""COMPUTED_VALUE"""),"Active")</f>
        <v>Active</v>
      </c>
      <c r="E1042" s="4" t="str">
        <f>IFERROR(__xludf.DUMMYFUNCTION("""COMPUTED_VALUE"""),"Product Engineering")</f>
        <v>Product Engineering</v>
      </c>
      <c r="F1042" s="4" t="str">
        <f>IFERROR(__xludf.DUMMYFUNCTION("""COMPUTED_VALUE"""),"Saurabh Singh")</f>
        <v>Saurabh Singh</v>
      </c>
      <c r="G1042" s="4" t="str">
        <f>IFERROR(__xludf.DUMMYFUNCTION("""COMPUTED_VALUE"""),"Cluster - Mayur")</f>
        <v>Cluster - Mayur</v>
      </c>
      <c r="H1042" s="4" t="str">
        <f>IFERROR(__xludf.DUMMYFUNCTION("""COMPUTED_VALUE"""),"ONIPBQYE8")</f>
        <v>ONIPBQYE8</v>
      </c>
      <c r="I1042" s="5">
        <f>IFERROR(__xludf.DUMMYFUNCTION("""COMPUTED_VALUE"""),15.0)</f>
        <v>15</v>
      </c>
      <c r="J1042" s="4" t="str">
        <f>IFERROR(__xludf.DUMMYFUNCTION("""COMPUTED_VALUE"""),"Tier 4")</f>
        <v>Tier 4</v>
      </c>
      <c r="K1042" s="4" t="str">
        <f>IFERROR(__xludf.DUMMYFUNCTION("""COMPUTED_VALUE"""),"Active")</f>
        <v>Active</v>
      </c>
      <c r="L1042" s="4" t="str">
        <f>IFERROR(__xludf.DUMMYFUNCTION("""COMPUTED_VALUE"""),"Gemini Enterprise Agent Platform")</f>
        <v>Gemini Enterprise Agent Platform</v>
      </c>
    </row>
    <row r="1043">
      <c r="A1043" s="4" t="str">
        <f>IFERROR(__xludf.DUMMYFUNCTION("""COMPUTED_VALUE"""),"DME3048")</f>
        <v>DME3048</v>
      </c>
      <c r="B1043" s="4" t="str">
        <f>IFERROR(__xludf.DUMMYFUNCTION("""COMPUTED_VALUE"""),"Aastha Jaiswal")</f>
        <v>Aastha Jaiswal</v>
      </c>
      <c r="C1043" s="4" t="str">
        <f>IFERROR(__xludf.DUMMYFUNCTION("""COMPUTED_VALUE"""),"aastha.Jaiswal@onixnet.com")</f>
        <v>aastha.Jaiswal@onixnet.com</v>
      </c>
      <c r="D1043" s="4" t="str">
        <f>IFERROR(__xludf.DUMMYFUNCTION("""COMPUTED_VALUE"""),"Active")</f>
        <v>Active</v>
      </c>
      <c r="E1043" s="4" t="str">
        <f>IFERROR(__xludf.DUMMYFUNCTION("""COMPUTED_VALUE"""),"Product Engineering")</f>
        <v>Product Engineering</v>
      </c>
      <c r="F1043" s="4" t="str">
        <f>IFERROR(__xludf.DUMMYFUNCTION("""COMPUTED_VALUE"""),"Nishant Tiwary")</f>
        <v>Nishant Tiwary</v>
      </c>
      <c r="G1043" s="4" t="str">
        <f>IFERROR(__xludf.DUMMYFUNCTION("""COMPUTED_VALUE"""),"Cluster - Mayur")</f>
        <v>Cluster - Mayur</v>
      </c>
      <c r="H1043" s="4" t="str">
        <f>IFERROR(__xludf.DUMMYFUNCTION("""COMPUTED_VALUE"""),"ONIAJGTV8")</f>
        <v>ONIAJGTV8</v>
      </c>
      <c r="I1043" s="5">
        <f>IFERROR(__xludf.DUMMYFUNCTION("""COMPUTED_VALUE"""),25.0)</f>
        <v>25</v>
      </c>
      <c r="J1043" s="4" t="str">
        <f>IFERROR(__xludf.DUMMYFUNCTION("""COMPUTED_VALUE"""),"Tier 3")</f>
        <v>Tier 3</v>
      </c>
      <c r="K1043" s="4" t="str">
        <f>IFERROR(__xludf.DUMMYFUNCTION("""COMPUTED_VALUE"""),"Active")</f>
        <v>Active</v>
      </c>
      <c r="L1043" s="4" t="str">
        <f>IFERROR(__xludf.DUMMYFUNCTION("""COMPUTED_VALUE"""),"Gemini Enterprise Agent Platform")</f>
        <v>Gemini Enterprise Agent Platform</v>
      </c>
    </row>
    <row r="1044">
      <c r="A1044" s="4" t="str">
        <f>IFERROR(__xludf.DUMMYFUNCTION("""COMPUTED_VALUE"""),"DME3052")</f>
        <v>DME3052</v>
      </c>
      <c r="B1044" s="4" t="str">
        <f>IFERROR(__xludf.DUMMYFUNCTION("""COMPUTED_VALUE"""),"Shreyas Sanjay Nanaware")</f>
        <v>Shreyas Sanjay Nanaware</v>
      </c>
      <c r="C1044" s="4" t="str">
        <f>IFERROR(__xludf.DUMMYFUNCTION("""COMPUTED_VALUE"""),"shreyas.nanaware@onixnet.com")</f>
        <v>shreyas.nanaware@onixnet.com</v>
      </c>
      <c r="D1044" s="4" t="str">
        <f>IFERROR(__xludf.DUMMYFUNCTION("""COMPUTED_VALUE"""),"Active")</f>
        <v>Active</v>
      </c>
      <c r="E1044" s="4" t="str">
        <f>IFERROR(__xludf.DUMMYFUNCTION("""COMPUTED_VALUE"""),"Product Engineering")</f>
        <v>Product Engineering</v>
      </c>
      <c r="F1044" s="4" t="str">
        <f>IFERROR(__xludf.DUMMYFUNCTION("""COMPUTED_VALUE"""),"Gayathri Keerthivasagam")</f>
        <v>Gayathri Keerthivasagam</v>
      </c>
      <c r="G1044" s="4" t="str">
        <f>IFERROR(__xludf.DUMMYFUNCTION("""COMPUTED_VALUE"""),"Cluster - Mayur")</f>
        <v>Cluster - Mayur</v>
      </c>
      <c r="H1044" s="4" t="str">
        <f>IFERROR(__xludf.DUMMYFUNCTION("""COMPUTED_VALUE"""),"ONISNKGO2")</f>
        <v>ONISNKGO2</v>
      </c>
      <c r="I1044" s="5">
        <f>IFERROR(__xludf.DUMMYFUNCTION("""COMPUTED_VALUE"""),15.0)</f>
        <v>15</v>
      </c>
      <c r="J1044" s="4" t="str">
        <f>IFERROR(__xludf.DUMMYFUNCTION("""COMPUTED_VALUE"""),"Tier 4")</f>
        <v>Tier 4</v>
      </c>
      <c r="K1044" s="4" t="str">
        <f>IFERROR(__xludf.DUMMYFUNCTION("""COMPUTED_VALUE"""),"Active")</f>
        <v>Active</v>
      </c>
      <c r="L1044" s="4" t="str">
        <f>IFERROR(__xludf.DUMMYFUNCTION("""COMPUTED_VALUE"""),"AI Applications")</f>
        <v>AI Applications</v>
      </c>
    </row>
    <row r="1045">
      <c r="A1045" s="4" t="str">
        <f>IFERROR(__xludf.DUMMYFUNCTION("""COMPUTED_VALUE"""),"DME3051")</f>
        <v>DME3051</v>
      </c>
      <c r="B1045" s="4" t="str">
        <f>IFERROR(__xludf.DUMMYFUNCTION("""COMPUTED_VALUE"""),"Shrived Ramakant Kurapati")</f>
        <v>Shrived Ramakant Kurapati</v>
      </c>
      <c r="C1045" s="4" t="str">
        <f>IFERROR(__xludf.DUMMYFUNCTION("""COMPUTED_VALUE"""),"shrived.kurapati@onixnet.com")</f>
        <v>shrived.kurapati@onixnet.com</v>
      </c>
      <c r="D1045" s="4" t="str">
        <f>IFERROR(__xludf.DUMMYFUNCTION("""COMPUTED_VALUE"""),"Active")</f>
        <v>Active</v>
      </c>
      <c r="E1045" s="4" t="str">
        <f>IFERROR(__xludf.DUMMYFUNCTION("""COMPUTED_VALUE"""),"Product Engineering")</f>
        <v>Product Engineering</v>
      </c>
      <c r="F1045" s="4" t="str">
        <f>IFERROR(__xludf.DUMMYFUNCTION("""COMPUTED_VALUE"""),"Sachin Sakle")</f>
        <v>Sachin Sakle</v>
      </c>
      <c r="G1045" s="4" t="str">
        <f>IFERROR(__xludf.DUMMYFUNCTION("""COMPUTED_VALUE"""),"Cluster - Mayur")</f>
        <v>Cluster - Mayur</v>
      </c>
      <c r="H1045" s="4" t="str">
        <f>IFERROR(__xludf.DUMMYFUNCTION("""COMPUTED_VALUE"""),"ONISKGVE4")</f>
        <v>ONISKGVE4</v>
      </c>
      <c r="I1045" s="5">
        <f>IFERROR(__xludf.DUMMYFUNCTION("""COMPUTED_VALUE"""),20.0)</f>
        <v>20</v>
      </c>
      <c r="J1045" s="4" t="str">
        <f>IFERROR(__xludf.DUMMYFUNCTION("""COMPUTED_VALUE"""),"Tier 3")</f>
        <v>Tier 3</v>
      </c>
      <c r="K1045" s="4" t="str">
        <f>IFERROR(__xludf.DUMMYFUNCTION("""COMPUTED_VALUE"""),"Active")</f>
        <v>Active</v>
      </c>
      <c r="L1045" s="4" t="str">
        <f>IFERROR(__xludf.DUMMYFUNCTION("""COMPUTED_VALUE"""),"AI Applications")</f>
        <v>AI Applications</v>
      </c>
    </row>
    <row r="1046">
      <c r="A1046" s="4" t="str">
        <f>IFERROR(__xludf.DUMMYFUNCTION("""COMPUTED_VALUE"""),"DME3050")</f>
        <v>DME3050</v>
      </c>
      <c r="B1046" s="4" t="str">
        <f>IFERROR(__xludf.DUMMYFUNCTION("""COMPUTED_VALUE"""),"Tejas Ramrao Malave")</f>
        <v>Tejas Ramrao Malave</v>
      </c>
      <c r="C1046" s="4" t="str">
        <f>IFERROR(__xludf.DUMMYFUNCTION("""COMPUTED_VALUE"""),"tejas.malave@onixnet.com")</f>
        <v>tejas.malave@onixnet.com</v>
      </c>
      <c r="D1046" s="4" t="str">
        <f>IFERROR(__xludf.DUMMYFUNCTION("""COMPUTED_VALUE"""),"Active")</f>
        <v>Active</v>
      </c>
      <c r="E1046" s="4" t="str">
        <f>IFERROR(__xludf.DUMMYFUNCTION("""COMPUTED_VALUE"""),"Product Engineering")</f>
        <v>Product Engineering</v>
      </c>
      <c r="F1046" s="4" t="str">
        <f>IFERROR(__xludf.DUMMYFUNCTION("""COMPUTED_VALUE"""),"Nishant Tiwary")</f>
        <v>Nishant Tiwary</v>
      </c>
      <c r="G1046" s="4" t="str">
        <f>IFERROR(__xludf.DUMMYFUNCTION("""COMPUTED_VALUE"""),"Cluster - Mayur")</f>
        <v>Cluster - Mayur</v>
      </c>
      <c r="H1046" s="4" t="str">
        <f>IFERROR(__xludf.DUMMYFUNCTION("""COMPUTED_VALUE"""),"ONITMTIK5")</f>
        <v>ONITMTIK5</v>
      </c>
      <c r="I1046" s="5">
        <f>IFERROR(__xludf.DUMMYFUNCTION("""COMPUTED_VALUE"""),15.0)</f>
        <v>15</v>
      </c>
      <c r="J1046" s="4" t="str">
        <f>IFERROR(__xludf.DUMMYFUNCTION("""COMPUTED_VALUE"""),"Tier 4")</f>
        <v>Tier 4</v>
      </c>
      <c r="K1046" s="4" t="str">
        <f>IFERROR(__xludf.DUMMYFUNCTION("""COMPUTED_VALUE"""),"Active")</f>
        <v>Active</v>
      </c>
      <c r="L1046" s="4" t="str">
        <f>IFERROR(__xludf.DUMMYFUNCTION("""COMPUTED_VALUE"""),"Gemini Enterprise Agent Platform")</f>
        <v>Gemini Enterprise Agent Platform</v>
      </c>
    </row>
    <row r="1047">
      <c r="A1047" s="4" t="str">
        <f>IFERROR(__xludf.DUMMYFUNCTION("""COMPUTED_VALUE"""),"DME3049")</f>
        <v>DME3049</v>
      </c>
      <c r="B1047" s="4" t="str">
        <f>IFERROR(__xludf.DUMMYFUNCTION("""COMPUTED_VALUE"""),"Ritesh Vinayak Taru")</f>
        <v>Ritesh Vinayak Taru</v>
      </c>
      <c r="C1047" s="4" t="str">
        <f>IFERROR(__xludf.DUMMYFUNCTION("""COMPUTED_VALUE"""),"ritesh.taru@onixnet.com")</f>
        <v>ritesh.taru@onixnet.com</v>
      </c>
      <c r="D1047" s="4" t="str">
        <f>IFERROR(__xludf.DUMMYFUNCTION("""COMPUTED_VALUE"""),"Active")</f>
        <v>Active</v>
      </c>
      <c r="E1047" s="4" t="str">
        <f>IFERROR(__xludf.DUMMYFUNCTION("""COMPUTED_VALUE"""),"Product Engineering")</f>
        <v>Product Engineering</v>
      </c>
      <c r="F1047" s="4" t="str">
        <f>IFERROR(__xludf.DUMMYFUNCTION("""COMPUTED_VALUE"""),"Sachin Sakle")</f>
        <v>Sachin Sakle</v>
      </c>
      <c r="G1047" s="4" t="str">
        <f>IFERROR(__xludf.DUMMYFUNCTION("""COMPUTED_VALUE"""),"Cluster - Mayur")</f>
        <v>Cluster - Mayur</v>
      </c>
      <c r="H1047" s="4"/>
      <c r="I1047" s="5"/>
      <c r="J1047" s="4"/>
      <c r="K1047" s="4" t="str">
        <f>IFERROR(__xludf.DUMMYFUNCTION("""COMPUTED_VALUE"""),"ID Not Created")</f>
        <v>ID Not Created</v>
      </c>
      <c r="L1047" s="4"/>
    </row>
    <row r="1048">
      <c r="A1048" s="4" t="str">
        <f>IFERROR(__xludf.DUMMYFUNCTION("""COMPUTED_VALUE"""),"DME3047")</f>
        <v>DME3047</v>
      </c>
      <c r="B1048" s="4" t="str">
        <f>IFERROR(__xludf.DUMMYFUNCTION("""COMPUTED_VALUE"""),"Mariya Mushtaq")</f>
        <v>Mariya Mushtaq</v>
      </c>
      <c r="C1048" s="4" t="str">
        <f>IFERROR(__xludf.DUMMYFUNCTION("""COMPUTED_VALUE"""),"mariya.mushtaq@onixnet.com")</f>
        <v>mariya.mushtaq@onixnet.com</v>
      </c>
      <c r="D1048" s="4" t="str">
        <f>IFERROR(__xludf.DUMMYFUNCTION("""COMPUTED_VALUE"""),"Active")</f>
        <v>Active</v>
      </c>
      <c r="E1048" s="4" t="str">
        <f>IFERROR(__xludf.DUMMYFUNCTION("""COMPUTED_VALUE"""),"Delivery Services")</f>
        <v>Delivery Services</v>
      </c>
      <c r="F1048" s="4" t="str">
        <f>IFERROR(__xludf.DUMMYFUNCTION("""COMPUTED_VALUE"""),"Mayur Kasar")</f>
        <v>Mayur Kasar</v>
      </c>
      <c r="G1048" s="4" t="str">
        <f>IFERROR(__xludf.DUMMYFUNCTION("""COMPUTED_VALUE"""),"Cluster - Varun")</f>
        <v>Cluster - Varun</v>
      </c>
      <c r="H1048" s="4" t="str">
        <f>IFERROR(__xludf.DUMMYFUNCTION("""COMPUTED_VALUE"""),"ONIMMAVQ9")</f>
        <v>ONIMMAVQ9</v>
      </c>
      <c r="I1048" s="5">
        <f>IFERROR(__xludf.DUMMYFUNCTION("""COMPUTED_VALUE"""),90.0)</f>
        <v>90</v>
      </c>
      <c r="J1048" s="4" t="str">
        <f>IFERROR(__xludf.DUMMYFUNCTION("""COMPUTED_VALUE"""),"Tier 1")</f>
        <v>Tier 1</v>
      </c>
      <c r="K1048" s="4" t="str">
        <f>IFERROR(__xludf.DUMMYFUNCTION("""COMPUTED_VALUE"""),"Active")</f>
        <v>Active</v>
      </c>
      <c r="L1048" s="4" t="str">
        <f>IFERROR(__xludf.DUMMYFUNCTION("""COMPUTED_VALUE"""),"Gemini Enterprise")</f>
        <v>Gemini Enterprise</v>
      </c>
    </row>
    <row r="1049">
      <c r="A1049" s="4" t="str">
        <f>IFERROR(__xludf.DUMMYFUNCTION("""COMPUTED_VALUE"""),"DME3056")</f>
        <v>DME3056</v>
      </c>
      <c r="B1049" s="4" t="str">
        <f>IFERROR(__xludf.DUMMYFUNCTION("""COMPUTED_VALUE"""),"Sneham Shrikant Vaidya")</f>
        <v>Sneham Shrikant Vaidya</v>
      </c>
      <c r="C1049" s="4" t="str">
        <f>IFERROR(__xludf.DUMMYFUNCTION("""COMPUTED_VALUE"""),"sneham.vaidya@onixnet.com")</f>
        <v>sneham.vaidya@onixnet.com</v>
      </c>
      <c r="D1049" s="4" t="str">
        <f>IFERROR(__xludf.DUMMYFUNCTION("""COMPUTED_VALUE"""),"Active")</f>
        <v>Active</v>
      </c>
      <c r="E1049" s="4" t="str">
        <f>IFERROR(__xludf.DUMMYFUNCTION("""COMPUTED_VALUE"""),"Delivery Services")</f>
        <v>Delivery Services</v>
      </c>
      <c r="F1049" s="4" t="str">
        <f>IFERROR(__xludf.DUMMYFUNCTION("""COMPUTED_VALUE"""),"Vipul Nilapwar")</f>
        <v>Vipul Nilapwar</v>
      </c>
      <c r="G1049" s="4" t="str">
        <f>IFERROR(__xludf.DUMMYFUNCTION("""COMPUTED_VALUE"""),"Cluster - Sachin")</f>
        <v>Cluster - Sachin</v>
      </c>
      <c r="H1049" s="4" t="str">
        <f>IFERROR(__xludf.DUMMYFUNCTION("""COMPUTED_VALUE"""),"ONISVRJZ1")</f>
        <v>ONISVRJZ1</v>
      </c>
      <c r="I1049" s="5">
        <f>IFERROR(__xludf.DUMMYFUNCTION("""COMPUTED_VALUE"""),12.0)</f>
        <v>12</v>
      </c>
      <c r="J1049" s="4" t="str">
        <f>IFERROR(__xludf.DUMMYFUNCTION("""COMPUTED_VALUE"""),"Tier 4")</f>
        <v>Tier 4</v>
      </c>
      <c r="K1049" s="4" t="str">
        <f>IFERROR(__xludf.DUMMYFUNCTION("""COMPUTED_VALUE"""),"Active")</f>
        <v>Active</v>
      </c>
      <c r="L1049" s="4" t="str">
        <f>IFERROR(__xludf.DUMMYFUNCTION("""COMPUTED_VALUE"""),"AI Applications")</f>
        <v>AI Applications</v>
      </c>
    </row>
    <row r="1050">
      <c r="A1050" s="4" t="str">
        <f>IFERROR(__xludf.DUMMYFUNCTION("""COMPUTED_VALUE"""),"ONIX826")</f>
        <v>ONIX826</v>
      </c>
      <c r="B1050" s="4" t="str">
        <f>IFERROR(__xludf.DUMMYFUNCTION("""COMPUTED_VALUE"""),"Prerna Khaitan")</f>
        <v>Prerna Khaitan</v>
      </c>
      <c r="C1050" s="4" t="str">
        <f>IFERROR(__xludf.DUMMYFUNCTION("""COMPUTED_VALUE"""),"prerna.khaitan@onixnet.com")</f>
        <v>prerna.khaitan@onixnet.com</v>
      </c>
      <c r="D1050" s="4" t="str">
        <f>IFERROR(__xludf.DUMMYFUNCTION("""COMPUTED_VALUE"""),"Active")</f>
        <v>Active</v>
      </c>
      <c r="E1050" s="4" t="str">
        <f>IFERROR(__xludf.DUMMYFUNCTION("""COMPUTED_VALUE"""),"Sales BD")</f>
        <v>Sales BD</v>
      </c>
      <c r="F1050" s="4" t="str">
        <f>IFERROR(__xludf.DUMMYFUNCTION("""COMPUTED_VALUE"""),"Vishal Chandra")</f>
        <v>Vishal Chandra</v>
      </c>
      <c r="G1050" s="4" t="str">
        <f>IFERROR(__xludf.DUMMYFUNCTION("""COMPUTED_VALUE"""),"Portfolio - Ankur (Sales)")</f>
        <v>Portfolio - Ankur (Sales)</v>
      </c>
      <c r="H1050" s="4" t="str">
        <f>IFERROR(__xludf.DUMMYFUNCTION("""COMPUTED_VALUE"""),"ONIPKCAD4")</f>
        <v>ONIPKCAD4</v>
      </c>
      <c r="I1050" s="5">
        <f>IFERROR(__xludf.DUMMYFUNCTION("""COMPUTED_VALUE"""),9.0)</f>
        <v>9</v>
      </c>
      <c r="J1050" s="4" t="str">
        <f>IFERROR(__xludf.DUMMYFUNCTION("""COMPUTED_VALUE"""),"Tier 4")</f>
        <v>Tier 4</v>
      </c>
      <c r="K1050" s="4" t="str">
        <f>IFERROR(__xludf.DUMMYFUNCTION("""COMPUTED_VALUE"""),"Active")</f>
        <v>Active</v>
      </c>
      <c r="L1050" s="4" t="str">
        <f>IFERROR(__xludf.DUMMYFUNCTION("""COMPUTED_VALUE"""),"GECX - Agent Assist")</f>
        <v>GECX - Agent Assist</v>
      </c>
    </row>
    <row r="1051">
      <c r="A1051" s="4" t="str">
        <f>IFERROR(__xludf.DUMMYFUNCTION("""COMPUTED_VALUE"""),"DME3059")</f>
        <v>DME3059</v>
      </c>
      <c r="B1051" s="4" t="str">
        <f>IFERROR(__xludf.DUMMYFUNCTION("""COMPUTED_VALUE"""),"MAHESH Shashikant LAHOTI")</f>
        <v>MAHESH Shashikant LAHOTI</v>
      </c>
      <c r="C1051" s="4" t="str">
        <f>IFERROR(__xludf.DUMMYFUNCTION("""COMPUTED_VALUE"""),"mahesh.lahoti@onixnet.com")</f>
        <v>mahesh.lahoti@onixnet.com</v>
      </c>
      <c r="D1051" s="4" t="str">
        <f>IFERROR(__xludf.DUMMYFUNCTION("""COMPUTED_VALUE"""),"Active")</f>
        <v>Active</v>
      </c>
      <c r="E1051" s="4" t="str">
        <f>IFERROR(__xludf.DUMMYFUNCTION("""COMPUTED_VALUE"""),"Solutions and Pre-Sales")</f>
        <v>Solutions and Pre-Sales</v>
      </c>
      <c r="F1051" s="4" t="str">
        <f>IFERROR(__xludf.DUMMYFUNCTION("""COMPUTED_VALUE"""),"Priya Ranjan")</f>
        <v>Priya Ranjan</v>
      </c>
      <c r="G1051" s="4" t="str">
        <f>IFERROR(__xludf.DUMMYFUNCTION("""COMPUTED_VALUE"""),"Portfolio - Gaurav A (Presales)")</f>
        <v>Portfolio - Gaurav A (Presales)</v>
      </c>
      <c r="H1051" s="4" t="str">
        <f>IFERROR(__xludf.DUMMYFUNCTION("""COMPUTED_VALUE"""),"ONIMLPHL8")</f>
        <v>ONIMLPHL8</v>
      </c>
      <c r="I1051" s="5">
        <f>IFERROR(__xludf.DUMMYFUNCTION("""COMPUTED_VALUE"""),10.0)</f>
        <v>10</v>
      </c>
      <c r="J1051" s="4" t="str">
        <f>IFERROR(__xludf.DUMMYFUNCTION("""COMPUTED_VALUE"""),"Tier 4")</f>
        <v>Tier 4</v>
      </c>
      <c r="K1051" s="4" t="str">
        <f>IFERROR(__xludf.DUMMYFUNCTION("""COMPUTED_VALUE"""),"Active")</f>
        <v>Active</v>
      </c>
      <c r="L1051" s="4" t="str">
        <f>IFERROR(__xludf.DUMMYFUNCTION("""COMPUTED_VALUE"""),"AI Applications")</f>
        <v>AI Applications</v>
      </c>
    </row>
    <row r="1052">
      <c r="A1052" s="4" t="str">
        <f>IFERROR(__xludf.DUMMYFUNCTION("""COMPUTED_VALUE"""),"DME3058")</f>
        <v>DME3058</v>
      </c>
      <c r="B1052" s="4" t="str">
        <f>IFERROR(__xludf.DUMMYFUNCTION("""COMPUTED_VALUE"""),"Aditya Kumar Agarwal")</f>
        <v>Aditya Kumar Agarwal</v>
      </c>
      <c r="C1052" s="4" t="str">
        <f>IFERROR(__xludf.DUMMYFUNCTION("""COMPUTED_VALUE"""),"aditya.agarwal@onixnet.com")</f>
        <v>aditya.agarwal@onixnet.com</v>
      </c>
      <c r="D1052" s="4" t="str">
        <f>IFERROR(__xludf.DUMMYFUNCTION("""COMPUTED_VALUE"""),"Active")</f>
        <v>Active</v>
      </c>
      <c r="E1052" s="4" t="str">
        <f>IFERROR(__xludf.DUMMYFUNCTION("""COMPUTED_VALUE"""),"Delivery Services")</f>
        <v>Delivery Services</v>
      </c>
      <c r="F1052" s="4" t="str">
        <f>IFERROR(__xludf.DUMMYFUNCTION("""COMPUTED_VALUE"""),"Ravi Shankar")</f>
        <v>Ravi Shankar</v>
      </c>
      <c r="G1052" s="4" t="str">
        <f>IFERROR(__xludf.DUMMYFUNCTION("""COMPUTED_VALUE"""),"Cluster - Sagar")</f>
        <v>Cluster - Sagar</v>
      </c>
      <c r="H1052" s="4" t="str">
        <f>IFERROR(__xludf.DUMMYFUNCTION("""COMPUTED_VALUE"""),"ONIAAWDY8")</f>
        <v>ONIAAWDY8</v>
      </c>
      <c r="I1052" s="5">
        <f>IFERROR(__xludf.DUMMYFUNCTION("""COMPUTED_VALUE"""),14.0)</f>
        <v>14</v>
      </c>
      <c r="J1052" s="4" t="str">
        <f>IFERROR(__xludf.DUMMYFUNCTION("""COMPUTED_VALUE"""),"Tier 4")</f>
        <v>Tier 4</v>
      </c>
      <c r="K1052" s="4" t="str">
        <f>IFERROR(__xludf.DUMMYFUNCTION("""COMPUTED_VALUE"""),"Active")</f>
        <v>Active</v>
      </c>
      <c r="L1052" s="4" t="str">
        <f>IFERROR(__xludf.DUMMYFUNCTION("""COMPUTED_VALUE"""),"BigQuery")</f>
        <v>BigQuery</v>
      </c>
    </row>
    <row r="1053">
      <c r="A1053" s="4" t="str">
        <f>IFERROR(__xludf.DUMMYFUNCTION("""COMPUTED_VALUE"""),"DME3061")</f>
        <v>DME3061</v>
      </c>
      <c r="B1053" s="4" t="str">
        <f>IFERROR(__xludf.DUMMYFUNCTION("""COMPUTED_VALUE"""),"Vaibhav Ashok Salunkhe")</f>
        <v>Vaibhav Ashok Salunkhe</v>
      </c>
      <c r="C1053" s="4" t="str">
        <f>IFERROR(__xludf.DUMMYFUNCTION("""COMPUTED_VALUE"""),"vaibhav.salunkhe@onixnet.com")</f>
        <v>vaibhav.salunkhe@onixnet.com</v>
      </c>
      <c r="D1053" s="4" t="str">
        <f>IFERROR(__xludf.DUMMYFUNCTION("""COMPUTED_VALUE"""),"Active")</f>
        <v>Active</v>
      </c>
      <c r="E1053" s="4" t="str">
        <f>IFERROR(__xludf.DUMMYFUNCTION("""COMPUTED_VALUE"""),"Delivery Services")</f>
        <v>Delivery Services</v>
      </c>
      <c r="F1053" s="4" t="str">
        <f>IFERROR(__xludf.DUMMYFUNCTION("""COMPUTED_VALUE"""),"Aarti Borhade")</f>
        <v>Aarti Borhade</v>
      </c>
      <c r="G1053" s="4" t="str">
        <f>IFERROR(__xludf.DUMMYFUNCTION("""COMPUTED_VALUE"""),"Cluster - Sagar")</f>
        <v>Cluster - Sagar</v>
      </c>
      <c r="H1053" s="4" t="str">
        <f>IFERROR(__xludf.DUMMYFUNCTION("""COMPUTED_VALUE"""),"ONIVSVZL6")</f>
        <v>ONIVSVZL6</v>
      </c>
      <c r="I1053" s="5">
        <f>IFERROR(__xludf.DUMMYFUNCTION("""COMPUTED_VALUE"""),10.0)</f>
        <v>10</v>
      </c>
      <c r="J1053" s="4" t="str">
        <f>IFERROR(__xludf.DUMMYFUNCTION("""COMPUTED_VALUE"""),"Tier 4")</f>
        <v>Tier 4</v>
      </c>
      <c r="K1053" s="4" t="str">
        <f>IFERROR(__xludf.DUMMYFUNCTION("""COMPUTED_VALUE"""),"Active")</f>
        <v>Active</v>
      </c>
      <c r="L1053" s="4" t="str">
        <f>IFERROR(__xludf.DUMMYFUNCTION("""COMPUTED_VALUE"""),"Gemini Enterprise Agent Platform")</f>
        <v>Gemini Enterprise Agent Platform</v>
      </c>
    </row>
    <row r="1054">
      <c r="A1054" s="4" t="str">
        <f>IFERROR(__xludf.DUMMYFUNCTION("""COMPUTED_VALUE"""),"DME3060")</f>
        <v>DME3060</v>
      </c>
      <c r="B1054" s="4" t="str">
        <f>IFERROR(__xludf.DUMMYFUNCTION("""COMPUTED_VALUE"""),"Venkata Rami Reddy")</f>
        <v>Venkata Rami Reddy</v>
      </c>
      <c r="C1054" s="4" t="str">
        <f>IFERROR(__xludf.DUMMYFUNCTION("""COMPUTED_VALUE"""),"venkatarami.gangasani@onixnet.com")</f>
        <v>venkatarami.gangasani@onixnet.com</v>
      </c>
      <c r="D1054" s="4" t="str">
        <f>IFERROR(__xludf.DUMMYFUNCTION("""COMPUTED_VALUE"""),"Active")</f>
        <v>Active</v>
      </c>
      <c r="E1054" s="4" t="str">
        <f>IFERROR(__xludf.DUMMYFUNCTION("""COMPUTED_VALUE"""),"Delivery Services")</f>
        <v>Delivery Services</v>
      </c>
      <c r="F1054" s="4" t="str">
        <f>IFERROR(__xludf.DUMMYFUNCTION("""COMPUTED_VALUE"""),"Kishore Nagella")</f>
        <v>Kishore Nagella</v>
      </c>
      <c r="G1054" s="4" t="str">
        <f>IFERROR(__xludf.DUMMYFUNCTION("""COMPUTED_VALUE"""),"Cluster - Shreepad")</f>
        <v>Cluster - Shreepad</v>
      </c>
      <c r="H1054" s="4" t="str">
        <f>IFERROR(__xludf.DUMMYFUNCTION("""COMPUTED_VALUE"""),"ONIVGWHV2")</f>
        <v>ONIVGWHV2</v>
      </c>
      <c r="I1054" s="5">
        <f>IFERROR(__xludf.DUMMYFUNCTION("""COMPUTED_VALUE"""),5.0)</f>
        <v>5</v>
      </c>
      <c r="J1054" s="4" t="str">
        <f>IFERROR(__xludf.DUMMYFUNCTION("""COMPUTED_VALUE"""),"Tier 4")</f>
        <v>Tier 4</v>
      </c>
      <c r="K1054" s="4" t="str">
        <f>IFERROR(__xludf.DUMMYFUNCTION("""COMPUTED_VALUE"""),"Active")</f>
        <v>Active</v>
      </c>
      <c r="L1054" s="4" t="str">
        <f>IFERROR(__xludf.DUMMYFUNCTION("""COMPUTED_VALUE"""),"Gemini Enterprise Agent Platform")</f>
        <v>Gemini Enterprise Agent Platform</v>
      </c>
    </row>
    <row r="1055">
      <c r="A1055" s="4" t="str">
        <f>IFERROR(__xludf.DUMMYFUNCTION("""COMPUTED_VALUE"""),"DME3065")</f>
        <v>DME3065</v>
      </c>
      <c r="B1055" s="4" t="str">
        <f>IFERROR(__xludf.DUMMYFUNCTION("""COMPUTED_VALUE"""),"Bharati Ganesh Shelar")</f>
        <v>Bharati Ganesh Shelar</v>
      </c>
      <c r="C1055" s="4" t="str">
        <f>IFERROR(__xludf.DUMMYFUNCTION("""COMPUTED_VALUE"""),"bharati.shelar@onixnet.com")</f>
        <v>bharati.shelar@onixnet.com</v>
      </c>
      <c r="D1055" s="4" t="str">
        <f>IFERROR(__xludf.DUMMYFUNCTION("""COMPUTED_VALUE"""),"Active")</f>
        <v>Active</v>
      </c>
      <c r="E1055" s="4" t="str">
        <f>IFERROR(__xludf.DUMMYFUNCTION("""COMPUTED_VALUE"""),"Delivery Services")</f>
        <v>Delivery Services</v>
      </c>
      <c r="F1055" s="4" t="str">
        <f>IFERROR(__xludf.DUMMYFUNCTION("""COMPUTED_VALUE"""),"Jitender Singh")</f>
        <v>Jitender Singh</v>
      </c>
      <c r="G1055" s="4" t="str">
        <f>IFERROR(__xludf.DUMMYFUNCTION("""COMPUTED_VALUE"""),"Cluster - Gaurav")</f>
        <v>Cluster - Gaurav</v>
      </c>
      <c r="H1055" s="4" t="str">
        <f>IFERROR(__xludf.DUMMYFUNCTION("""COMPUTED_VALUE"""),"ONIBSWHV0")</f>
        <v>ONIBSWHV0</v>
      </c>
      <c r="I1055" s="5">
        <f>IFERROR(__xludf.DUMMYFUNCTION("""COMPUTED_VALUE"""),10.0)</f>
        <v>10</v>
      </c>
      <c r="J1055" s="4" t="str">
        <f>IFERROR(__xludf.DUMMYFUNCTION("""COMPUTED_VALUE"""),"Tier 4")</f>
        <v>Tier 4</v>
      </c>
      <c r="K1055" s="4" t="str">
        <f>IFERROR(__xludf.DUMMYFUNCTION("""COMPUTED_VALUE"""),"Active")</f>
        <v>Active</v>
      </c>
      <c r="L1055" s="4" t="str">
        <f>IFERROR(__xludf.DUMMYFUNCTION("""COMPUTED_VALUE"""),"BigQuery")</f>
        <v>BigQuery</v>
      </c>
    </row>
    <row r="1056">
      <c r="A1056" s="4" t="str">
        <f>IFERROR(__xludf.DUMMYFUNCTION("""COMPUTED_VALUE"""),"DME3382")</f>
        <v>DME3382</v>
      </c>
      <c r="B1056" s="4" t="str">
        <f>IFERROR(__xludf.DUMMYFUNCTION("""COMPUTED_VALUE"""),"Rajnandini Sarjerao Patil")</f>
        <v>Rajnandini Sarjerao Patil</v>
      </c>
      <c r="C1056" s="4" t="str">
        <f>IFERROR(__xludf.DUMMYFUNCTION("""COMPUTED_VALUE"""),"rajnandini.patil@onixnet.com")</f>
        <v>rajnandini.patil@onixnet.com</v>
      </c>
      <c r="D1056" s="4" t="str">
        <f>IFERROR(__xludf.DUMMYFUNCTION("""COMPUTED_VALUE"""),"Active")</f>
        <v>Active</v>
      </c>
      <c r="E1056" s="4" t="str">
        <f>IFERROR(__xludf.DUMMYFUNCTION("""COMPUTED_VALUE"""),"Delivery Services")</f>
        <v>Delivery Services</v>
      </c>
      <c r="F1056" s="4" t="str">
        <f>IFERROR(__xludf.DUMMYFUNCTION("""COMPUTED_VALUE"""),"Rashid Anwar")</f>
        <v>Rashid Anwar</v>
      </c>
      <c r="G1056" s="4" t="str">
        <f>IFERROR(__xludf.DUMMYFUNCTION("""COMPUTED_VALUE"""),"Cluster - Sagar")</f>
        <v>Cluster - Sagar</v>
      </c>
      <c r="H1056" s="4" t="str">
        <f>IFERROR(__xludf.DUMMYFUNCTION("""COMPUTED_VALUE"""),"ONIRPGIK0")</f>
        <v>ONIRPGIK0</v>
      </c>
      <c r="I1056" s="5">
        <f>IFERROR(__xludf.DUMMYFUNCTION("""COMPUTED_VALUE"""),40.0)</f>
        <v>40</v>
      </c>
      <c r="J1056" s="4" t="str">
        <f>IFERROR(__xludf.DUMMYFUNCTION("""COMPUTED_VALUE"""),"Tier 2")</f>
        <v>Tier 2</v>
      </c>
      <c r="K1056" s="4" t="str">
        <f>IFERROR(__xludf.DUMMYFUNCTION("""COMPUTED_VALUE"""),"Active")</f>
        <v>Active</v>
      </c>
      <c r="L1056" s="4" t="str">
        <f>IFERROR(__xludf.DUMMYFUNCTION("""COMPUTED_VALUE"""),"Gemini Enterprise Agent Platform")</f>
        <v>Gemini Enterprise Agent Platform</v>
      </c>
    </row>
    <row r="1057">
      <c r="A1057" s="4" t="str">
        <f>IFERROR(__xludf.DUMMYFUNCTION("""COMPUTED_VALUE"""),"DME3383")</f>
        <v>DME3383</v>
      </c>
      <c r="B1057" s="4" t="str">
        <f>IFERROR(__xludf.DUMMYFUNCTION("""COMPUTED_VALUE"""),"Vinayak Anil Khavare")</f>
        <v>Vinayak Anil Khavare</v>
      </c>
      <c r="C1057" s="4" t="str">
        <f>IFERROR(__xludf.DUMMYFUNCTION("""COMPUTED_VALUE"""),"vinayak.khavare@onixnet.com")</f>
        <v>vinayak.khavare@onixnet.com</v>
      </c>
      <c r="D1057" s="4" t="str">
        <f>IFERROR(__xludf.DUMMYFUNCTION("""COMPUTED_VALUE"""),"Active")</f>
        <v>Active</v>
      </c>
      <c r="E1057" s="4" t="str">
        <f>IFERROR(__xludf.DUMMYFUNCTION("""COMPUTED_VALUE"""),"Delivery Services")</f>
        <v>Delivery Services</v>
      </c>
      <c r="F1057" s="4" t="str">
        <f>IFERROR(__xludf.DUMMYFUNCTION("""COMPUTED_VALUE"""),"Rashid Anwar")</f>
        <v>Rashid Anwar</v>
      </c>
      <c r="G1057" s="4" t="str">
        <f>IFERROR(__xludf.DUMMYFUNCTION("""COMPUTED_VALUE"""),"Cluster - Sagar")</f>
        <v>Cluster - Sagar</v>
      </c>
      <c r="H1057" s="4" t="str">
        <f>IFERROR(__xludf.DUMMYFUNCTION("""COMPUTED_VALUE"""),"ONIVKDIM0")</f>
        <v>ONIVKDIM0</v>
      </c>
      <c r="I1057" s="5">
        <f>IFERROR(__xludf.DUMMYFUNCTION("""COMPUTED_VALUE"""),35.0)</f>
        <v>35</v>
      </c>
      <c r="J1057" s="4" t="str">
        <f>IFERROR(__xludf.DUMMYFUNCTION("""COMPUTED_VALUE"""),"Tier 2")</f>
        <v>Tier 2</v>
      </c>
      <c r="K1057" s="4" t="str">
        <f>IFERROR(__xludf.DUMMYFUNCTION("""COMPUTED_VALUE"""),"Active")</f>
        <v>Active</v>
      </c>
      <c r="L1057" s="4" t="str">
        <f>IFERROR(__xludf.DUMMYFUNCTION("""COMPUTED_VALUE"""),"Gemini Enterprise Agent Platform")</f>
        <v>Gemini Enterprise Agent Platform</v>
      </c>
    </row>
    <row r="1058">
      <c r="A1058" s="4" t="str">
        <f>IFERROR(__xludf.DUMMYFUNCTION("""COMPUTED_VALUE"""),"DME3376")</f>
        <v>DME3376</v>
      </c>
      <c r="B1058" s="4" t="str">
        <f>IFERROR(__xludf.DUMMYFUNCTION("""COMPUTED_VALUE"""),"Aditya Tatyasaheb Jadhav")</f>
        <v>Aditya Tatyasaheb Jadhav</v>
      </c>
      <c r="C1058" s="4" t="str">
        <f>IFERROR(__xludf.DUMMYFUNCTION("""COMPUTED_VALUE"""),"aditya.jadhav@onixnet.com")</f>
        <v>aditya.jadhav@onixnet.com</v>
      </c>
      <c r="D1058" s="4" t="str">
        <f>IFERROR(__xludf.DUMMYFUNCTION("""COMPUTED_VALUE"""),"Active")</f>
        <v>Active</v>
      </c>
      <c r="E1058" s="4" t="str">
        <f>IFERROR(__xludf.DUMMYFUNCTION("""COMPUTED_VALUE"""),"Delivery Services")</f>
        <v>Delivery Services</v>
      </c>
      <c r="F1058" s="4" t="str">
        <f>IFERROR(__xludf.DUMMYFUNCTION("""COMPUTED_VALUE"""),"Sneha Bhatambrekar")</f>
        <v>Sneha Bhatambrekar</v>
      </c>
      <c r="G1058" s="4" t="str">
        <f>IFERROR(__xludf.DUMMYFUNCTION("""COMPUTED_VALUE"""),"Cluster - Sandeep")</f>
        <v>Cluster - Sandeep</v>
      </c>
      <c r="H1058" s="4" t="str">
        <f>IFERROR(__xludf.DUMMYFUNCTION("""COMPUTED_VALUE"""),"ONIAJMMK2")</f>
        <v>ONIAJMMK2</v>
      </c>
      <c r="I1058" s="5">
        <f>IFERROR(__xludf.DUMMYFUNCTION("""COMPUTED_VALUE"""),40.0)</f>
        <v>40</v>
      </c>
      <c r="J1058" s="4" t="str">
        <f>IFERROR(__xludf.DUMMYFUNCTION("""COMPUTED_VALUE"""),"Tier 2")</f>
        <v>Tier 2</v>
      </c>
      <c r="K1058" s="4" t="str">
        <f>IFERROR(__xludf.DUMMYFUNCTION("""COMPUTED_VALUE"""),"Active")</f>
        <v>Active</v>
      </c>
      <c r="L1058" s="4" t="str">
        <f>IFERROR(__xludf.DUMMYFUNCTION("""COMPUTED_VALUE"""),"Gemini Enterprise Agent Platform")</f>
        <v>Gemini Enterprise Agent Platform</v>
      </c>
    </row>
    <row r="1059">
      <c r="A1059" s="4" t="str">
        <f>IFERROR(__xludf.DUMMYFUNCTION("""COMPUTED_VALUE"""),"DME3384")</f>
        <v>DME3384</v>
      </c>
      <c r="B1059" s="4" t="str">
        <f>IFERROR(__xludf.DUMMYFUNCTION("""COMPUTED_VALUE"""),"Kaveri Anil Aher")</f>
        <v>Kaveri Anil Aher</v>
      </c>
      <c r="C1059" s="4" t="str">
        <f>IFERROR(__xludf.DUMMYFUNCTION("""COMPUTED_VALUE"""),"kaveri.aher@onixnet.com")</f>
        <v>kaveri.aher@onixnet.com</v>
      </c>
      <c r="D1059" s="4" t="str">
        <f>IFERROR(__xludf.DUMMYFUNCTION("""COMPUTED_VALUE"""),"Active")</f>
        <v>Active</v>
      </c>
      <c r="E1059" s="4" t="str">
        <f>IFERROR(__xludf.DUMMYFUNCTION("""COMPUTED_VALUE"""),"Delivery Services")</f>
        <v>Delivery Services</v>
      </c>
      <c r="F1059" s="4" t="str">
        <f>IFERROR(__xludf.DUMMYFUNCTION("""COMPUTED_VALUE"""),"Rashid Anwar")</f>
        <v>Rashid Anwar</v>
      </c>
      <c r="G1059" s="4" t="str">
        <f>IFERROR(__xludf.DUMMYFUNCTION("""COMPUTED_VALUE"""),"Cluster - Sagar")</f>
        <v>Cluster - Sagar</v>
      </c>
      <c r="H1059" s="4" t="str">
        <f>IFERROR(__xludf.DUMMYFUNCTION("""COMPUTED_VALUE"""),"ONIKAGYE5")</f>
        <v>ONIKAGYE5</v>
      </c>
      <c r="I1059" s="5">
        <f>IFERROR(__xludf.DUMMYFUNCTION("""COMPUTED_VALUE"""),25.0)</f>
        <v>25</v>
      </c>
      <c r="J1059" s="4" t="str">
        <f>IFERROR(__xludf.DUMMYFUNCTION("""COMPUTED_VALUE"""),"Tier 3")</f>
        <v>Tier 3</v>
      </c>
      <c r="K1059" s="4" t="str">
        <f>IFERROR(__xludf.DUMMYFUNCTION("""COMPUTED_VALUE"""),"Active")</f>
        <v>Active</v>
      </c>
      <c r="L1059" s="4" t="str">
        <f>IFERROR(__xludf.DUMMYFUNCTION("""COMPUTED_VALUE"""),"Gemini Enterprise Agent Platform")</f>
        <v>Gemini Enterprise Agent Platform</v>
      </c>
    </row>
    <row r="1060">
      <c r="A1060" s="4" t="str">
        <f>IFERROR(__xludf.DUMMYFUNCTION("""COMPUTED_VALUE"""),"DMC1079")</f>
        <v>DMC1079</v>
      </c>
      <c r="B1060" s="4" t="str">
        <f>IFERROR(__xludf.DUMMYFUNCTION("""COMPUTED_VALUE"""),"Nikhil Anil Khose")</f>
        <v>Nikhil Anil Khose</v>
      </c>
      <c r="C1060" s="4" t="str">
        <f>IFERROR(__xludf.DUMMYFUNCTION("""COMPUTED_VALUE"""),"nikhil.khose@onixnet.us")</f>
        <v>nikhil.khose@onixnet.us</v>
      </c>
      <c r="D1060" s="4" t="str">
        <f>IFERROR(__xludf.DUMMYFUNCTION("""COMPUTED_VALUE"""),"Active")</f>
        <v>Active</v>
      </c>
      <c r="E1060" s="4" t="str">
        <f>IFERROR(__xludf.DUMMYFUNCTION("""COMPUTED_VALUE"""),"Delivery Services")</f>
        <v>Delivery Services</v>
      </c>
      <c r="F1060" s="4" t="str">
        <f>IFERROR(__xludf.DUMMYFUNCTION("""COMPUTED_VALUE"""),"Rahul Shelake")</f>
        <v>Rahul Shelake</v>
      </c>
      <c r="G1060" s="4" t="str">
        <f>IFERROR(__xludf.DUMMYFUNCTION("""COMPUTED_VALUE"""),"Cluster - Sagar")</f>
        <v>Cluster - Sagar</v>
      </c>
      <c r="H1060" s="4" t="str">
        <f>IFERROR(__xludf.DUMMYFUNCTION("""COMPUTED_VALUE"""),"ONINKNZU7")</f>
        <v>ONINKNZU7</v>
      </c>
      <c r="I1060" s="5">
        <f>IFERROR(__xludf.DUMMYFUNCTION("""COMPUTED_VALUE"""),10.0)</f>
        <v>10</v>
      </c>
      <c r="J1060" s="4" t="str">
        <f>IFERROR(__xludf.DUMMYFUNCTION("""COMPUTED_VALUE"""),"Tier 4")</f>
        <v>Tier 4</v>
      </c>
      <c r="K1060" s="4" t="str">
        <f>IFERROR(__xludf.DUMMYFUNCTION("""COMPUTED_VALUE"""),"Active")</f>
        <v>Active</v>
      </c>
      <c r="L1060" s="4" t="str">
        <f>IFERROR(__xludf.DUMMYFUNCTION("""COMPUTED_VALUE"""),"AI Applications")</f>
        <v>AI Applications</v>
      </c>
    </row>
    <row r="1061">
      <c r="A1061" s="4" t="str">
        <f>IFERROR(__xludf.DUMMYFUNCTION("""COMPUTED_VALUE"""),"DME3401")</f>
        <v>DME3401</v>
      </c>
      <c r="B1061" s="4" t="str">
        <f>IFERROR(__xludf.DUMMYFUNCTION("""COMPUTED_VALUE"""),"Om Shahaji Shinde")</f>
        <v>Om Shahaji Shinde</v>
      </c>
      <c r="C1061" s="4" t="str">
        <f>IFERROR(__xludf.DUMMYFUNCTION("""COMPUTED_VALUE"""),"om.shinde@onixnet.com")</f>
        <v>om.shinde@onixnet.com</v>
      </c>
      <c r="D1061" s="4" t="str">
        <f>IFERROR(__xludf.DUMMYFUNCTION("""COMPUTED_VALUE"""),"Active")</f>
        <v>Active</v>
      </c>
      <c r="E1061" s="4" t="str">
        <f>IFERROR(__xludf.DUMMYFUNCTION("""COMPUTED_VALUE"""),"Delivery Services")</f>
        <v>Delivery Services</v>
      </c>
      <c r="F1061" s="4" t="str">
        <f>IFERROR(__xludf.DUMMYFUNCTION("""COMPUTED_VALUE"""),"Lokesh Bhardwaj")</f>
        <v>Lokesh Bhardwaj</v>
      </c>
      <c r="G1061" s="4" t="str">
        <f>IFERROR(__xludf.DUMMYFUNCTION("""COMPUTED_VALUE"""),"Cluster - Kalpa")</f>
        <v>Cluster - Kalpa</v>
      </c>
      <c r="H1061" s="4" t="str">
        <f>IFERROR(__xludf.DUMMYFUNCTION("""COMPUTED_VALUE"""),"ONIOSYRQ0")</f>
        <v>ONIOSYRQ0</v>
      </c>
      <c r="I1061" s="5">
        <f>IFERROR(__xludf.DUMMYFUNCTION("""COMPUTED_VALUE"""),45.0)</f>
        <v>45</v>
      </c>
      <c r="J1061" s="4" t="str">
        <f>IFERROR(__xludf.DUMMYFUNCTION("""COMPUTED_VALUE"""),"Tier 2")</f>
        <v>Tier 2</v>
      </c>
      <c r="K1061" s="4" t="str">
        <f>IFERROR(__xludf.DUMMYFUNCTION("""COMPUTED_VALUE"""),"Active")</f>
        <v>Active</v>
      </c>
      <c r="L1061" s="4" t="str">
        <f>IFERROR(__xludf.DUMMYFUNCTION("""COMPUTED_VALUE"""),"Gemini Enterprise Agent Platform")</f>
        <v>Gemini Enterprise Agent Platform</v>
      </c>
    </row>
    <row r="1062">
      <c r="A1062" s="4" t="str">
        <f>IFERROR(__xludf.DUMMYFUNCTION("""COMPUTED_VALUE"""),"DME3390")</f>
        <v>DME3390</v>
      </c>
      <c r="B1062" s="4" t="str">
        <f>IFERROR(__xludf.DUMMYFUNCTION("""COMPUTED_VALUE"""),"Rohan Ashok Ghanwat")</f>
        <v>Rohan Ashok Ghanwat</v>
      </c>
      <c r="C1062" s="4" t="str">
        <f>IFERROR(__xludf.DUMMYFUNCTION("""COMPUTED_VALUE"""),"rohan.ghanwat@onixnet.com")</f>
        <v>rohan.ghanwat@onixnet.com</v>
      </c>
      <c r="D1062" s="4" t="str">
        <f>IFERROR(__xludf.DUMMYFUNCTION("""COMPUTED_VALUE"""),"Active")</f>
        <v>Active</v>
      </c>
      <c r="E1062" s="4" t="str">
        <f>IFERROR(__xludf.DUMMYFUNCTION("""COMPUTED_VALUE"""),"Delivery Services")</f>
        <v>Delivery Services</v>
      </c>
      <c r="F1062" s="4" t="str">
        <f>IFERROR(__xludf.DUMMYFUNCTION("""COMPUTED_VALUE"""),"Sneha Bhatambrekar")</f>
        <v>Sneha Bhatambrekar</v>
      </c>
      <c r="G1062" s="4" t="str">
        <f>IFERROR(__xludf.DUMMYFUNCTION("""COMPUTED_VALUE"""),"Cluster - Sandeep")</f>
        <v>Cluster - Sandeep</v>
      </c>
      <c r="H1062" s="4" t="str">
        <f>IFERROR(__xludf.DUMMYFUNCTION("""COMPUTED_VALUE"""),"ONIRGASS4")</f>
        <v>ONIRGASS4</v>
      </c>
      <c r="I1062" s="5">
        <f>IFERROR(__xludf.DUMMYFUNCTION("""COMPUTED_VALUE"""),30.0)</f>
        <v>30</v>
      </c>
      <c r="J1062" s="4" t="str">
        <f>IFERROR(__xludf.DUMMYFUNCTION("""COMPUTED_VALUE"""),"Tier 3")</f>
        <v>Tier 3</v>
      </c>
      <c r="K1062" s="4" t="str">
        <f>IFERROR(__xludf.DUMMYFUNCTION("""COMPUTED_VALUE"""),"Active")</f>
        <v>Active</v>
      </c>
      <c r="L1062" s="4" t="str">
        <f>IFERROR(__xludf.DUMMYFUNCTION("""COMPUTED_VALUE"""),"Gemini Enterprise Agent Platform")</f>
        <v>Gemini Enterprise Agent Platform</v>
      </c>
    </row>
    <row r="1063">
      <c r="A1063" s="4" t="str">
        <f>IFERROR(__xludf.DUMMYFUNCTION("""COMPUTED_VALUE"""),"DME3367")</f>
        <v>DME3367</v>
      </c>
      <c r="B1063" s="4" t="str">
        <f>IFERROR(__xludf.DUMMYFUNCTION("""COMPUTED_VALUE"""),"Pavankumar Sainath Kalyane")</f>
        <v>Pavankumar Sainath Kalyane</v>
      </c>
      <c r="C1063" s="4" t="str">
        <f>IFERROR(__xludf.DUMMYFUNCTION("""COMPUTED_VALUE"""),"pavankumar.kalyane@onixnet.com")</f>
        <v>pavankumar.kalyane@onixnet.com</v>
      </c>
      <c r="D1063" s="4" t="str">
        <f>IFERROR(__xludf.DUMMYFUNCTION("""COMPUTED_VALUE"""),"Active")</f>
        <v>Active</v>
      </c>
      <c r="E1063" s="4" t="str">
        <f>IFERROR(__xludf.DUMMYFUNCTION("""COMPUTED_VALUE"""),"Delivery Services")</f>
        <v>Delivery Services</v>
      </c>
      <c r="F1063" s="4" t="str">
        <f>IFERROR(__xludf.DUMMYFUNCTION("""COMPUTED_VALUE"""),"Prabhat Jain")</f>
        <v>Prabhat Jain</v>
      </c>
      <c r="G1063" s="4" t="str">
        <f>IFERROR(__xludf.DUMMYFUNCTION("""COMPUTED_VALUE"""),"Cluster - Gaurav")</f>
        <v>Cluster - Gaurav</v>
      </c>
      <c r="H1063" s="4" t="str">
        <f>IFERROR(__xludf.DUMMYFUNCTION("""COMPUTED_VALUE"""),"ONIPKJCG0")</f>
        <v>ONIPKJCG0</v>
      </c>
      <c r="I1063" s="5">
        <f>IFERROR(__xludf.DUMMYFUNCTION("""COMPUTED_VALUE"""),36.0)</f>
        <v>36</v>
      </c>
      <c r="J1063" s="4" t="str">
        <f>IFERROR(__xludf.DUMMYFUNCTION("""COMPUTED_VALUE"""),"Tier 2")</f>
        <v>Tier 2</v>
      </c>
      <c r="K1063" s="4" t="str">
        <f>IFERROR(__xludf.DUMMYFUNCTION("""COMPUTED_VALUE"""),"Active")</f>
        <v>Active</v>
      </c>
      <c r="L1063" s="4" t="str">
        <f>IFERROR(__xludf.DUMMYFUNCTION("""COMPUTED_VALUE"""),"Gemini Enterprise Agent Platform")</f>
        <v>Gemini Enterprise Agent Platform</v>
      </c>
    </row>
    <row r="1064">
      <c r="A1064" s="4" t="str">
        <f>IFERROR(__xludf.DUMMYFUNCTION("""COMPUTED_VALUE"""),"DME3385")</f>
        <v>DME3385</v>
      </c>
      <c r="B1064" s="4" t="str">
        <f>IFERROR(__xludf.DUMMYFUNCTION("""COMPUTED_VALUE"""),"Rohan Sunil Sabale")</f>
        <v>Rohan Sunil Sabale</v>
      </c>
      <c r="C1064" s="4" t="str">
        <f>IFERROR(__xludf.DUMMYFUNCTION("""COMPUTED_VALUE"""),"rohan.sabale@onixnet.com")</f>
        <v>rohan.sabale@onixnet.com</v>
      </c>
      <c r="D1064" s="4" t="str">
        <f>IFERROR(__xludf.DUMMYFUNCTION("""COMPUTED_VALUE"""),"Active")</f>
        <v>Active</v>
      </c>
      <c r="E1064" s="4" t="str">
        <f>IFERROR(__xludf.DUMMYFUNCTION("""COMPUTED_VALUE"""),"Delivery Services")</f>
        <v>Delivery Services</v>
      </c>
      <c r="F1064" s="4" t="str">
        <f>IFERROR(__xludf.DUMMYFUNCTION("""COMPUTED_VALUE"""),"Naman Jain")</f>
        <v>Naman Jain</v>
      </c>
      <c r="G1064" s="4" t="str">
        <f>IFERROR(__xludf.DUMMYFUNCTION("""COMPUTED_VALUE"""),"Cluster - Sagar")</f>
        <v>Cluster - Sagar</v>
      </c>
      <c r="H1064" s="4" t="str">
        <f>IFERROR(__xludf.DUMMYFUNCTION("""COMPUTED_VALUE"""),"ONIRSNDI8")</f>
        <v>ONIRSNDI8</v>
      </c>
      <c r="I1064" s="5">
        <f>IFERROR(__xludf.DUMMYFUNCTION("""COMPUTED_VALUE"""),35.0)</f>
        <v>35</v>
      </c>
      <c r="J1064" s="4" t="str">
        <f>IFERROR(__xludf.DUMMYFUNCTION("""COMPUTED_VALUE"""),"Tier 2")</f>
        <v>Tier 2</v>
      </c>
      <c r="K1064" s="4" t="str">
        <f>IFERROR(__xludf.DUMMYFUNCTION("""COMPUTED_VALUE"""),"Active")</f>
        <v>Active</v>
      </c>
      <c r="L1064" s="4" t="str">
        <f>IFERROR(__xludf.DUMMYFUNCTION("""COMPUTED_VALUE"""),"Gemini Enterprise Agent Platform")</f>
        <v>Gemini Enterprise Agent Platform</v>
      </c>
    </row>
    <row r="1065">
      <c r="A1065" s="4" t="str">
        <f>IFERROR(__xludf.DUMMYFUNCTION("""COMPUTED_VALUE"""),"DME3062")</f>
        <v>DME3062</v>
      </c>
      <c r="B1065" s="4" t="str">
        <f>IFERROR(__xludf.DUMMYFUNCTION("""COMPUTED_VALUE"""),"Vineet Verma")</f>
        <v>Vineet Verma</v>
      </c>
      <c r="C1065" s="4" t="str">
        <f>IFERROR(__xludf.DUMMYFUNCTION("""COMPUTED_VALUE"""),"vineet.verma@onixnet.com")</f>
        <v>vineet.verma@onixnet.com</v>
      </c>
      <c r="D1065" s="4" t="str">
        <f>IFERROR(__xludf.DUMMYFUNCTION("""COMPUTED_VALUE"""),"Active")</f>
        <v>Active</v>
      </c>
      <c r="E1065" s="4" t="str">
        <f>IFERROR(__xludf.DUMMYFUNCTION("""COMPUTED_VALUE"""),"Delivery Services")</f>
        <v>Delivery Services</v>
      </c>
      <c r="F1065" s="4" t="str">
        <f>IFERROR(__xludf.DUMMYFUNCTION("""COMPUTED_VALUE"""),"Manoj Patil")</f>
        <v>Manoj Patil</v>
      </c>
      <c r="G1065" s="4" t="str">
        <f>IFERROR(__xludf.DUMMYFUNCTION("""COMPUTED_VALUE"""),"Cluster - Shreepad")</f>
        <v>Cluster - Shreepad</v>
      </c>
      <c r="H1065" s="4" t="str">
        <f>IFERROR(__xludf.DUMMYFUNCTION("""COMPUTED_VALUE"""),"ONIVVZJA5")</f>
        <v>ONIVVZJA5</v>
      </c>
      <c r="I1065" s="5">
        <f>IFERROR(__xludf.DUMMYFUNCTION("""COMPUTED_VALUE"""),45.0)</f>
        <v>45</v>
      </c>
      <c r="J1065" s="4" t="str">
        <f>IFERROR(__xludf.DUMMYFUNCTION("""COMPUTED_VALUE"""),"Tier 2")</f>
        <v>Tier 2</v>
      </c>
      <c r="K1065" s="4" t="str">
        <f>IFERROR(__xludf.DUMMYFUNCTION("""COMPUTED_VALUE"""),"Active")</f>
        <v>Active</v>
      </c>
      <c r="L1065" s="4" t="str">
        <f>IFERROR(__xludf.DUMMYFUNCTION("""COMPUTED_VALUE"""),"Gemini Enterprise Agent Platform")</f>
        <v>Gemini Enterprise Agent Platform</v>
      </c>
    </row>
    <row r="1066">
      <c r="A1066" s="4" t="str">
        <f>IFERROR(__xludf.DUMMYFUNCTION("""COMPUTED_VALUE"""),"DME3063")</f>
        <v>DME3063</v>
      </c>
      <c r="B1066" s="4" t="str">
        <f>IFERROR(__xludf.DUMMYFUNCTION("""COMPUTED_VALUE"""),"Chaitanya Sanjay Avhad")</f>
        <v>Chaitanya Sanjay Avhad</v>
      </c>
      <c r="C1066" s="4" t="str">
        <f>IFERROR(__xludf.DUMMYFUNCTION("""COMPUTED_VALUE"""),"chaitanya.avhad@onixnet.com")</f>
        <v>chaitanya.avhad@onixnet.com</v>
      </c>
      <c r="D1066" s="4" t="str">
        <f>IFERROR(__xludf.DUMMYFUNCTION("""COMPUTED_VALUE"""),"Active")</f>
        <v>Active</v>
      </c>
      <c r="E1066" s="4" t="str">
        <f>IFERROR(__xludf.DUMMYFUNCTION("""COMPUTED_VALUE"""),"Delivery Services")</f>
        <v>Delivery Services</v>
      </c>
      <c r="F1066" s="4" t="str">
        <f>IFERROR(__xludf.DUMMYFUNCTION("""COMPUTED_VALUE"""),"Manoj Patil")</f>
        <v>Manoj Patil</v>
      </c>
      <c r="G1066" s="4" t="str">
        <f>IFERROR(__xludf.DUMMYFUNCTION("""COMPUTED_VALUE"""),"Cluster - Shreepad")</f>
        <v>Cluster - Shreepad</v>
      </c>
      <c r="H1066" s="4" t="str">
        <f>IFERROR(__xludf.DUMMYFUNCTION("""COMPUTED_VALUE"""),"ONICAAUI6")</f>
        <v>ONICAAUI6</v>
      </c>
      <c r="I1066" s="5">
        <f>IFERROR(__xludf.DUMMYFUNCTION("""COMPUTED_VALUE"""),40.0)</f>
        <v>40</v>
      </c>
      <c r="J1066" s="4" t="str">
        <f>IFERROR(__xludf.DUMMYFUNCTION("""COMPUTED_VALUE"""),"Tier 2")</f>
        <v>Tier 2</v>
      </c>
      <c r="K1066" s="4" t="str">
        <f>IFERROR(__xludf.DUMMYFUNCTION("""COMPUTED_VALUE"""),"Active")</f>
        <v>Active</v>
      </c>
      <c r="L1066" s="4" t="str">
        <f>IFERROR(__xludf.DUMMYFUNCTION("""COMPUTED_VALUE"""),"BigQuery")</f>
        <v>BigQuery</v>
      </c>
    </row>
    <row r="1067">
      <c r="A1067" s="4" t="str">
        <f>IFERROR(__xludf.DUMMYFUNCTION("""COMPUTED_VALUE"""),"DME3064")</f>
        <v>DME3064</v>
      </c>
      <c r="B1067" s="4" t="str">
        <f>IFERROR(__xludf.DUMMYFUNCTION("""COMPUTED_VALUE"""),"Akanksha Vaibhav Mankar")</f>
        <v>Akanksha Vaibhav Mankar</v>
      </c>
      <c r="C1067" s="4" t="str">
        <f>IFERROR(__xludf.DUMMYFUNCTION("""COMPUTED_VALUE"""),"aakanksha.mankar@onixnet.com")</f>
        <v>aakanksha.mankar@onixnet.com</v>
      </c>
      <c r="D1067" s="4" t="str">
        <f>IFERROR(__xludf.DUMMYFUNCTION("""COMPUTED_VALUE"""),"Active")</f>
        <v>Active</v>
      </c>
      <c r="E1067" s="4" t="str">
        <f>IFERROR(__xludf.DUMMYFUNCTION("""COMPUTED_VALUE"""),"Delivery Services")</f>
        <v>Delivery Services</v>
      </c>
      <c r="F1067" s="4" t="str">
        <f>IFERROR(__xludf.DUMMYFUNCTION("""COMPUTED_VALUE"""),"Sneha Bhatambrekar")</f>
        <v>Sneha Bhatambrekar</v>
      </c>
      <c r="G1067" s="4" t="str">
        <f>IFERROR(__xludf.DUMMYFUNCTION("""COMPUTED_VALUE"""),"Cluster - Sandeep")</f>
        <v>Cluster - Sandeep</v>
      </c>
      <c r="H1067" s="4" t="str">
        <f>IFERROR(__xludf.DUMMYFUNCTION("""COMPUTED_VALUE"""),"ONIAMRCM8")</f>
        <v>ONIAMRCM8</v>
      </c>
      <c r="I1067" s="5">
        <f>IFERROR(__xludf.DUMMYFUNCTION("""COMPUTED_VALUE"""),5.0)</f>
        <v>5</v>
      </c>
      <c r="J1067" s="4" t="str">
        <f>IFERROR(__xludf.DUMMYFUNCTION("""COMPUTED_VALUE"""),"Tier 4")</f>
        <v>Tier 4</v>
      </c>
      <c r="K1067" s="4" t="str">
        <f>IFERROR(__xludf.DUMMYFUNCTION("""COMPUTED_VALUE"""),"Active")</f>
        <v>Active</v>
      </c>
      <c r="L1067" s="4" t="str">
        <f>IFERROR(__xludf.DUMMYFUNCTION("""COMPUTED_VALUE"""),"Gemini Enterprise Agent Platform")</f>
        <v>Gemini Enterprise Agent Platform</v>
      </c>
    </row>
    <row r="1068">
      <c r="A1068" s="4" t="str">
        <f>IFERROR(__xludf.DUMMYFUNCTION("""COMPUTED_VALUE"""),"DME3397")</f>
        <v>DME3397</v>
      </c>
      <c r="B1068" s="4" t="str">
        <f>IFERROR(__xludf.DUMMYFUNCTION("""COMPUTED_VALUE"""),"Anjali Abhinandan Lakade")</f>
        <v>Anjali Abhinandan Lakade</v>
      </c>
      <c r="C1068" s="4" t="str">
        <f>IFERROR(__xludf.DUMMYFUNCTION("""COMPUTED_VALUE"""),"anjali.lakade@onixnet.com")</f>
        <v>anjali.lakade@onixnet.com</v>
      </c>
      <c r="D1068" s="4" t="str">
        <f>IFERROR(__xludf.DUMMYFUNCTION("""COMPUTED_VALUE"""),"Active")</f>
        <v>Active</v>
      </c>
      <c r="E1068" s="4" t="str">
        <f>IFERROR(__xludf.DUMMYFUNCTION("""COMPUTED_VALUE"""),"Delivery Services")</f>
        <v>Delivery Services</v>
      </c>
      <c r="F1068" s="4" t="str">
        <f>IFERROR(__xludf.DUMMYFUNCTION("""COMPUTED_VALUE"""),"Sneha Bhatambrekar")</f>
        <v>Sneha Bhatambrekar</v>
      </c>
      <c r="G1068" s="4" t="str">
        <f>IFERROR(__xludf.DUMMYFUNCTION("""COMPUTED_VALUE"""),"Cluster - Sandeep")</f>
        <v>Cluster - Sandeep</v>
      </c>
      <c r="H1068" s="4" t="str">
        <f>IFERROR(__xludf.DUMMYFUNCTION("""COMPUTED_VALUE"""),"ONIALZWH6")</f>
        <v>ONIALZWH6</v>
      </c>
      <c r="I1068" s="5">
        <f>IFERROR(__xludf.DUMMYFUNCTION("""COMPUTED_VALUE"""),25.0)</f>
        <v>25</v>
      </c>
      <c r="J1068" s="4" t="str">
        <f>IFERROR(__xludf.DUMMYFUNCTION("""COMPUTED_VALUE"""),"Tier 3")</f>
        <v>Tier 3</v>
      </c>
      <c r="K1068" s="4" t="str">
        <f>IFERROR(__xludf.DUMMYFUNCTION("""COMPUTED_VALUE"""),"Active")</f>
        <v>Active</v>
      </c>
      <c r="L1068" s="4" t="str">
        <f>IFERROR(__xludf.DUMMYFUNCTION("""COMPUTED_VALUE"""),"Gemini Enterprise Agent Platform")</f>
        <v>Gemini Enterprise Agent Platform</v>
      </c>
    </row>
    <row r="1069">
      <c r="A1069" s="4" t="str">
        <f>IFERROR(__xludf.DUMMYFUNCTION("""COMPUTED_VALUE"""),"DME3067")</f>
        <v>DME3067</v>
      </c>
      <c r="B1069" s="4" t="str">
        <f>IFERROR(__xludf.DUMMYFUNCTION("""COMPUTED_VALUE"""),"Sravani Chedurupaku")</f>
        <v>Sravani Chedurupaku</v>
      </c>
      <c r="C1069" s="4" t="str">
        <f>IFERROR(__xludf.DUMMYFUNCTION("""COMPUTED_VALUE"""),"sravani.chedurupaku@onixnet.com")</f>
        <v>sravani.chedurupaku@onixnet.com</v>
      </c>
      <c r="D1069" s="4" t="str">
        <f>IFERROR(__xludf.DUMMYFUNCTION("""COMPUTED_VALUE"""),"Active")</f>
        <v>Active</v>
      </c>
      <c r="E1069" s="4" t="str">
        <f>IFERROR(__xludf.DUMMYFUNCTION("""COMPUTED_VALUE"""),"Delivery Services")</f>
        <v>Delivery Services</v>
      </c>
      <c r="F1069" s="4" t="str">
        <f>IFERROR(__xludf.DUMMYFUNCTION("""COMPUTED_VALUE"""),"Vijender Bhardwaj")</f>
        <v>Vijender Bhardwaj</v>
      </c>
      <c r="G1069" s="4" t="str">
        <f>IFERROR(__xludf.DUMMYFUNCTION("""COMPUTED_VALUE"""),"Cluster - Varun")</f>
        <v>Cluster - Varun</v>
      </c>
      <c r="H1069" s="4" t="str">
        <f>IFERROR(__xludf.DUMMYFUNCTION("""COMPUTED_VALUE"""),"ONISCYXI1")</f>
        <v>ONISCYXI1</v>
      </c>
      <c r="I1069" s="5">
        <f>IFERROR(__xludf.DUMMYFUNCTION("""COMPUTED_VALUE"""),5.0)</f>
        <v>5</v>
      </c>
      <c r="J1069" s="4" t="str">
        <f>IFERROR(__xludf.DUMMYFUNCTION("""COMPUTED_VALUE"""),"Tier 4")</f>
        <v>Tier 4</v>
      </c>
      <c r="K1069" s="4" t="str">
        <f>IFERROR(__xludf.DUMMYFUNCTION("""COMPUTED_VALUE"""),"Active")</f>
        <v>Active</v>
      </c>
      <c r="L1069" s="4" t="str">
        <f>IFERROR(__xludf.DUMMYFUNCTION("""COMPUTED_VALUE"""),"Gemini Enterprise Agent Platform")</f>
        <v>Gemini Enterprise Agent Platform</v>
      </c>
    </row>
    <row r="1070">
      <c r="A1070" s="4" t="str">
        <f>IFERROR(__xludf.DUMMYFUNCTION("""COMPUTED_VALUE"""),"DME3066")</f>
        <v>DME3066</v>
      </c>
      <c r="B1070" s="4" t="str">
        <f>IFERROR(__xludf.DUMMYFUNCTION("""COMPUTED_VALUE"""),"Sai Shankar Adari")</f>
        <v>Sai Shankar Adari</v>
      </c>
      <c r="C1070" s="4" t="str">
        <f>IFERROR(__xludf.DUMMYFUNCTION("""COMPUTED_VALUE"""),"sai.adari@onixnet.com")</f>
        <v>sai.adari@onixnet.com</v>
      </c>
      <c r="D1070" s="4" t="str">
        <f>IFERROR(__xludf.DUMMYFUNCTION("""COMPUTED_VALUE"""),"Active")</f>
        <v>Active</v>
      </c>
      <c r="E1070" s="4" t="str">
        <f>IFERROR(__xludf.DUMMYFUNCTION("""COMPUTED_VALUE"""),"Delivery Services")</f>
        <v>Delivery Services</v>
      </c>
      <c r="F1070" s="4" t="str">
        <f>IFERROR(__xludf.DUMMYFUNCTION("""COMPUTED_VALUE"""),"Haroon Azeem")</f>
        <v>Haroon Azeem</v>
      </c>
      <c r="G1070" s="4" t="str">
        <f>IFERROR(__xludf.DUMMYFUNCTION("""COMPUTED_VALUE"""),"Cluster - Shreepad")</f>
        <v>Cluster - Shreepad</v>
      </c>
      <c r="H1070" s="4" t="str">
        <f>IFERROR(__xludf.DUMMYFUNCTION("""COMPUTED_VALUE"""),"ONISAXKS5")</f>
        <v>ONISAXKS5</v>
      </c>
      <c r="I1070" s="5">
        <f>IFERROR(__xludf.DUMMYFUNCTION("""COMPUTED_VALUE"""),10.0)</f>
        <v>10</v>
      </c>
      <c r="J1070" s="4" t="str">
        <f>IFERROR(__xludf.DUMMYFUNCTION("""COMPUTED_VALUE"""),"Tier 4")</f>
        <v>Tier 4</v>
      </c>
      <c r="K1070" s="4" t="str">
        <f>IFERROR(__xludf.DUMMYFUNCTION("""COMPUTED_VALUE"""),"Active")</f>
        <v>Active</v>
      </c>
      <c r="L1070" s="4" t="str">
        <f>IFERROR(__xludf.DUMMYFUNCTION("""COMPUTED_VALUE"""),"BigQuery")</f>
        <v>BigQuery</v>
      </c>
    </row>
    <row r="1071">
      <c r="A1071" s="4" t="str">
        <f>IFERROR(__xludf.DUMMYFUNCTION("""COMPUTED_VALUE"""),"DME3068")</f>
        <v>DME3068</v>
      </c>
      <c r="B1071" s="4" t="str">
        <f>IFERROR(__xludf.DUMMYFUNCTION("""COMPUTED_VALUE"""),"Akshay Ashok Jadhav")</f>
        <v>Akshay Ashok Jadhav</v>
      </c>
      <c r="C1071" s="4" t="str">
        <f>IFERROR(__xludf.DUMMYFUNCTION("""COMPUTED_VALUE"""),"akshay.jadhav@onixnet.com")</f>
        <v>akshay.jadhav@onixnet.com</v>
      </c>
      <c r="D1071" s="4" t="str">
        <f>IFERROR(__xludf.DUMMYFUNCTION("""COMPUTED_VALUE"""),"Active")</f>
        <v>Active</v>
      </c>
      <c r="E1071" s="4" t="str">
        <f>IFERROR(__xludf.DUMMYFUNCTION("""COMPUTED_VALUE"""),"Delivery Services")</f>
        <v>Delivery Services</v>
      </c>
      <c r="F1071" s="4" t="str">
        <f>IFERROR(__xludf.DUMMYFUNCTION("""COMPUTED_VALUE"""),"Sarang Katre")</f>
        <v>Sarang Katre</v>
      </c>
      <c r="G1071" s="4" t="str">
        <f>IFERROR(__xludf.DUMMYFUNCTION("""COMPUTED_VALUE"""),"Cluster - Kanhaiya")</f>
        <v>Cluster - Kanhaiya</v>
      </c>
      <c r="H1071" s="4" t="str">
        <f>IFERROR(__xludf.DUMMYFUNCTION("""COMPUTED_VALUE"""),"ONIAJRNG6")</f>
        <v>ONIAJRNG6</v>
      </c>
      <c r="I1071" s="5">
        <f>IFERROR(__xludf.DUMMYFUNCTION("""COMPUTED_VALUE"""),5.0)</f>
        <v>5</v>
      </c>
      <c r="J1071" s="4" t="str">
        <f>IFERROR(__xludf.DUMMYFUNCTION("""COMPUTED_VALUE"""),"Tier 4")</f>
        <v>Tier 4</v>
      </c>
      <c r="K1071" s="4" t="str">
        <f>IFERROR(__xludf.DUMMYFUNCTION("""COMPUTED_VALUE"""),"Active")</f>
        <v>Active</v>
      </c>
      <c r="L1071" s="4" t="str">
        <f>IFERROR(__xludf.DUMMYFUNCTION("""COMPUTED_VALUE"""),"Gemini Enterprise Agent Platform")</f>
        <v>Gemini Enterprise Agent Platform</v>
      </c>
    </row>
    <row r="1072">
      <c r="A1072" s="4" t="str">
        <f>IFERROR(__xludf.DUMMYFUNCTION("""COMPUTED_VALUE"""),"DME3069")</f>
        <v>DME3069</v>
      </c>
      <c r="B1072" s="4" t="str">
        <f>IFERROR(__xludf.DUMMYFUNCTION("""COMPUTED_VALUE"""),"Yogesh Ravsaheb Deshmukh")</f>
        <v>Yogesh Ravsaheb Deshmukh</v>
      </c>
      <c r="C1072" s="4" t="str">
        <f>IFERROR(__xludf.DUMMYFUNCTION("""COMPUTED_VALUE"""),"yogesh.deshmukh@onixnet.com")</f>
        <v>yogesh.deshmukh@onixnet.com</v>
      </c>
      <c r="D1072" s="4" t="str">
        <f>IFERROR(__xludf.DUMMYFUNCTION("""COMPUTED_VALUE"""),"Active")</f>
        <v>Active</v>
      </c>
      <c r="E1072" s="4" t="str">
        <f>IFERROR(__xludf.DUMMYFUNCTION("""COMPUTED_VALUE"""),"Delivery Services")</f>
        <v>Delivery Services</v>
      </c>
      <c r="F1072" s="4" t="str">
        <f>IFERROR(__xludf.DUMMYFUNCTION("""COMPUTED_VALUE"""),"Pritesh Chaudhari")</f>
        <v>Pritesh Chaudhari</v>
      </c>
      <c r="G1072" s="4" t="str">
        <f>IFERROR(__xludf.DUMMYFUNCTION("""COMPUTED_VALUE"""),"Cluster - Sagar")</f>
        <v>Cluster - Sagar</v>
      </c>
      <c r="H1072" s="4" t="str">
        <f>IFERROR(__xludf.DUMMYFUNCTION("""COMPUTED_VALUE"""),"ONIYDOVN6")</f>
        <v>ONIYDOVN6</v>
      </c>
      <c r="I1072" s="5">
        <f>IFERROR(__xludf.DUMMYFUNCTION("""COMPUTED_VALUE"""),15.0)</f>
        <v>15</v>
      </c>
      <c r="J1072" s="4" t="str">
        <f>IFERROR(__xludf.DUMMYFUNCTION("""COMPUTED_VALUE"""),"Tier 4")</f>
        <v>Tier 4</v>
      </c>
      <c r="K1072" s="4" t="str">
        <f>IFERROR(__xludf.DUMMYFUNCTION("""COMPUTED_VALUE"""),"Active")</f>
        <v>Active</v>
      </c>
      <c r="L1072" s="4" t="str">
        <f>IFERROR(__xludf.DUMMYFUNCTION("""COMPUTED_VALUE"""),"Gemini Enterprise")</f>
        <v>Gemini Enterprise</v>
      </c>
    </row>
    <row r="1073">
      <c r="A1073" s="4" t="str">
        <f>IFERROR(__xludf.DUMMYFUNCTION("""COMPUTED_VALUE"""),"DME3387")</f>
        <v>DME3387</v>
      </c>
      <c r="B1073" s="4" t="str">
        <f>IFERROR(__xludf.DUMMYFUNCTION("""COMPUTED_VALUE"""),"Ganesh Vijay Kadam")</f>
        <v>Ganesh Vijay Kadam</v>
      </c>
      <c r="C1073" s="4" t="str">
        <f>IFERROR(__xludf.DUMMYFUNCTION("""COMPUTED_VALUE"""),"ganesh.kadam@onixnet.com")</f>
        <v>ganesh.kadam@onixnet.com</v>
      </c>
      <c r="D1073" s="4" t="str">
        <f>IFERROR(__xludf.DUMMYFUNCTION("""COMPUTED_VALUE"""),"Active")</f>
        <v>Active</v>
      </c>
      <c r="E1073" s="4" t="str">
        <f>IFERROR(__xludf.DUMMYFUNCTION("""COMPUTED_VALUE"""),"Delivery Services")</f>
        <v>Delivery Services</v>
      </c>
      <c r="F1073" s="4" t="str">
        <f>IFERROR(__xludf.DUMMYFUNCTION("""COMPUTED_VALUE"""),"Rahul Shelake")</f>
        <v>Rahul Shelake</v>
      </c>
      <c r="G1073" s="4" t="str">
        <f>IFERROR(__xludf.DUMMYFUNCTION("""COMPUTED_VALUE"""),"Cluster - Sagar")</f>
        <v>Cluster - Sagar</v>
      </c>
      <c r="H1073" s="4" t="str">
        <f>IFERROR(__xludf.DUMMYFUNCTION("""COMPUTED_VALUE"""),"ONIGKSIO2")</f>
        <v>ONIGKSIO2</v>
      </c>
      <c r="I1073" s="5">
        <f>IFERROR(__xludf.DUMMYFUNCTION("""COMPUTED_VALUE"""),30.0)</f>
        <v>30</v>
      </c>
      <c r="J1073" s="4" t="str">
        <f>IFERROR(__xludf.DUMMYFUNCTION("""COMPUTED_VALUE"""),"Tier 3")</f>
        <v>Tier 3</v>
      </c>
      <c r="K1073" s="4" t="str">
        <f>IFERROR(__xludf.DUMMYFUNCTION("""COMPUTED_VALUE"""),"Active")</f>
        <v>Active</v>
      </c>
      <c r="L1073" s="4" t="str">
        <f>IFERROR(__xludf.DUMMYFUNCTION("""COMPUTED_VALUE"""),"Gemini Enterprise Agent Platform")</f>
        <v>Gemini Enterprise Agent Platform</v>
      </c>
    </row>
    <row r="1074">
      <c r="A1074" s="4" t="str">
        <f>IFERROR(__xludf.DUMMYFUNCTION("""COMPUTED_VALUE"""),"DME3388")</f>
        <v>DME3388</v>
      </c>
      <c r="B1074" s="4" t="str">
        <f>IFERROR(__xludf.DUMMYFUNCTION("""COMPUTED_VALUE"""),"Vaibhav Uttam Kolekar")</f>
        <v>Vaibhav Uttam Kolekar</v>
      </c>
      <c r="C1074" s="4" t="str">
        <f>IFERROR(__xludf.DUMMYFUNCTION("""COMPUTED_VALUE"""),"vaibhav.kolekar@onixnet.com")</f>
        <v>vaibhav.kolekar@onixnet.com</v>
      </c>
      <c r="D1074" s="4" t="str">
        <f>IFERROR(__xludf.DUMMYFUNCTION("""COMPUTED_VALUE"""),"Active")</f>
        <v>Active</v>
      </c>
      <c r="E1074" s="4" t="str">
        <f>IFERROR(__xludf.DUMMYFUNCTION("""COMPUTED_VALUE"""),"Delivery Services")</f>
        <v>Delivery Services</v>
      </c>
      <c r="F1074" s="4" t="str">
        <f>IFERROR(__xludf.DUMMYFUNCTION("""COMPUTED_VALUE"""),"Rashid Anwar")</f>
        <v>Rashid Anwar</v>
      </c>
      <c r="G1074" s="4" t="str">
        <f>IFERROR(__xludf.DUMMYFUNCTION("""COMPUTED_VALUE"""),"Cluster - Sagar")</f>
        <v>Cluster - Sagar</v>
      </c>
      <c r="H1074" s="4" t="str">
        <f>IFERROR(__xludf.DUMMYFUNCTION("""COMPUTED_VALUE"""),"ONIVKVYN0")</f>
        <v>ONIVKVYN0</v>
      </c>
      <c r="I1074" s="5">
        <f>IFERROR(__xludf.DUMMYFUNCTION("""COMPUTED_VALUE"""),40.0)</f>
        <v>40</v>
      </c>
      <c r="J1074" s="4" t="str">
        <f>IFERROR(__xludf.DUMMYFUNCTION("""COMPUTED_VALUE"""),"Tier 2")</f>
        <v>Tier 2</v>
      </c>
      <c r="K1074" s="4" t="str">
        <f>IFERROR(__xludf.DUMMYFUNCTION("""COMPUTED_VALUE"""),"Active")</f>
        <v>Active</v>
      </c>
      <c r="L1074" s="4" t="str">
        <f>IFERROR(__xludf.DUMMYFUNCTION("""COMPUTED_VALUE"""),"Gemini Enterprise Agent Platform")</f>
        <v>Gemini Enterprise Agent Platform</v>
      </c>
    </row>
    <row r="1075">
      <c r="A1075" s="4" t="str">
        <f>IFERROR(__xludf.DUMMYFUNCTION("""COMPUTED_VALUE"""),"DME3386")</f>
        <v>DME3386</v>
      </c>
      <c r="B1075" s="4" t="str">
        <f>IFERROR(__xludf.DUMMYFUNCTION("""COMPUTED_VALUE"""),"Vaidehi Siddheshwar Kokare")</f>
        <v>Vaidehi Siddheshwar Kokare</v>
      </c>
      <c r="C1075" s="4" t="str">
        <f>IFERROR(__xludf.DUMMYFUNCTION("""COMPUTED_VALUE"""),"vaidehi.kokare@onixnet.com")</f>
        <v>vaidehi.kokare@onixnet.com</v>
      </c>
      <c r="D1075" s="4" t="str">
        <f>IFERROR(__xludf.DUMMYFUNCTION("""COMPUTED_VALUE"""),"Active")</f>
        <v>Active</v>
      </c>
      <c r="E1075" s="4" t="str">
        <f>IFERROR(__xludf.DUMMYFUNCTION("""COMPUTED_VALUE"""),"Delivery Services")</f>
        <v>Delivery Services</v>
      </c>
      <c r="F1075" s="4" t="str">
        <f>IFERROR(__xludf.DUMMYFUNCTION("""COMPUTED_VALUE"""),"Shubhendu Shubhendu")</f>
        <v>Shubhendu Shubhendu</v>
      </c>
      <c r="G1075" s="4" t="str">
        <f>IFERROR(__xludf.DUMMYFUNCTION("""COMPUTED_VALUE"""),"Cluster - Kanhaiya")</f>
        <v>Cluster - Kanhaiya</v>
      </c>
      <c r="H1075" s="4" t="str">
        <f>IFERROR(__xludf.DUMMYFUNCTION("""COMPUTED_VALUE"""),"ONIVKGLO7")</f>
        <v>ONIVKGLO7</v>
      </c>
      <c r="I1075" s="5">
        <f>IFERROR(__xludf.DUMMYFUNCTION("""COMPUTED_VALUE"""),6.0)</f>
        <v>6</v>
      </c>
      <c r="J1075" s="4" t="str">
        <f>IFERROR(__xludf.DUMMYFUNCTION("""COMPUTED_VALUE"""),"Tier 4")</f>
        <v>Tier 4</v>
      </c>
      <c r="K1075" s="4" t="str">
        <f>IFERROR(__xludf.DUMMYFUNCTION("""COMPUTED_VALUE"""),"Active")</f>
        <v>Active</v>
      </c>
      <c r="L1075" s="4" t="str">
        <f>IFERROR(__xludf.DUMMYFUNCTION("""COMPUTED_VALUE"""),"Oracle")</f>
        <v>Oracle</v>
      </c>
    </row>
    <row r="1076">
      <c r="A1076" s="4" t="str">
        <f>IFERROR(__xludf.DUMMYFUNCTION("""COMPUTED_VALUE"""),"DME3391")</f>
        <v>DME3391</v>
      </c>
      <c r="B1076" s="4" t="str">
        <f>IFERROR(__xludf.DUMMYFUNCTION("""COMPUTED_VALUE"""),"Saras Dnyaneshwar Jadhav")</f>
        <v>Saras Dnyaneshwar Jadhav</v>
      </c>
      <c r="C1076" s="4" t="str">
        <f>IFERROR(__xludf.DUMMYFUNCTION("""COMPUTED_VALUE"""),"saras.jadhav@onixnet.com")</f>
        <v>saras.jadhav@onixnet.com</v>
      </c>
      <c r="D1076" s="4" t="str">
        <f>IFERROR(__xludf.DUMMYFUNCTION("""COMPUTED_VALUE"""),"Active")</f>
        <v>Active</v>
      </c>
      <c r="E1076" s="4" t="str">
        <f>IFERROR(__xludf.DUMMYFUNCTION("""COMPUTED_VALUE"""),"Delivery Services")</f>
        <v>Delivery Services</v>
      </c>
      <c r="F1076" s="4" t="str">
        <f>IFERROR(__xludf.DUMMYFUNCTION("""COMPUTED_VALUE"""),"Sunny Mathur")</f>
        <v>Sunny Mathur</v>
      </c>
      <c r="G1076" s="4" t="str">
        <f>IFERROR(__xludf.DUMMYFUNCTION("""COMPUTED_VALUE"""),"Cluster - Sagar")</f>
        <v>Cluster - Sagar</v>
      </c>
      <c r="H1076" s="4" t="str">
        <f>IFERROR(__xludf.DUMMYFUNCTION("""COMPUTED_VALUE"""),"ONISJVFY1")</f>
        <v>ONISJVFY1</v>
      </c>
      <c r="I1076" s="5">
        <f>IFERROR(__xludf.DUMMYFUNCTION("""COMPUTED_VALUE"""),25.0)</f>
        <v>25</v>
      </c>
      <c r="J1076" s="4" t="str">
        <f>IFERROR(__xludf.DUMMYFUNCTION("""COMPUTED_VALUE"""),"Tier 3")</f>
        <v>Tier 3</v>
      </c>
      <c r="K1076" s="4" t="str">
        <f>IFERROR(__xludf.DUMMYFUNCTION("""COMPUTED_VALUE"""),"Active")</f>
        <v>Active</v>
      </c>
      <c r="L1076" s="4" t="str">
        <f>IFERROR(__xludf.DUMMYFUNCTION("""COMPUTED_VALUE"""),"AI Applications")</f>
        <v>AI Applications</v>
      </c>
    </row>
    <row r="1077">
      <c r="A1077" s="4" t="str">
        <f>IFERROR(__xludf.DUMMYFUNCTION("""COMPUTED_VALUE"""),"DME3398")</f>
        <v>DME3398</v>
      </c>
      <c r="B1077" s="4" t="str">
        <f>IFERROR(__xludf.DUMMYFUNCTION("""COMPUTED_VALUE"""),"Balkrishna Eknath Bile")</f>
        <v>Balkrishna Eknath Bile</v>
      </c>
      <c r="C1077" s="4" t="str">
        <f>IFERROR(__xludf.DUMMYFUNCTION("""COMPUTED_VALUE"""),"balkrishana.bile@onixnet.com")</f>
        <v>balkrishana.bile@onixnet.com</v>
      </c>
      <c r="D1077" s="4" t="str">
        <f>IFERROR(__xludf.DUMMYFUNCTION("""COMPUTED_VALUE"""),"Active")</f>
        <v>Active</v>
      </c>
      <c r="E1077" s="4" t="str">
        <f>IFERROR(__xludf.DUMMYFUNCTION("""COMPUTED_VALUE"""),"Delivery Services")</f>
        <v>Delivery Services</v>
      </c>
      <c r="F1077" s="4" t="str">
        <f>IFERROR(__xludf.DUMMYFUNCTION("""COMPUTED_VALUE"""),"Sneha Bhatambrekar")</f>
        <v>Sneha Bhatambrekar</v>
      </c>
      <c r="G1077" s="4" t="str">
        <f>IFERROR(__xludf.DUMMYFUNCTION("""COMPUTED_VALUE"""),"Cluster - Sandeep")</f>
        <v>Cluster - Sandeep</v>
      </c>
      <c r="H1077" s="4" t="str">
        <f>IFERROR(__xludf.DUMMYFUNCTION("""COMPUTED_VALUE"""),"ONIBBBOI8")</f>
        <v>ONIBBBOI8</v>
      </c>
      <c r="I1077" s="5">
        <f>IFERROR(__xludf.DUMMYFUNCTION("""COMPUTED_VALUE"""),15.0)</f>
        <v>15</v>
      </c>
      <c r="J1077" s="4" t="str">
        <f>IFERROR(__xludf.DUMMYFUNCTION("""COMPUTED_VALUE"""),"Tier 4")</f>
        <v>Tier 4</v>
      </c>
      <c r="K1077" s="4" t="str">
        <f>IFERROR(__xludf.DUMMYFUNCTION("""COMPUTED_VALUE"""),"Active")</f>
        <v>Active</v>
      </c>
      <c r="L1077" s="4" t="str">
        <f>IFERROR(__xludf.DUMMYFUNCTION("""COMPUTED_VALUE"""),"AI Applications")</f>
        <v>AI Applications</v>
      </c>
    </row>
    <row r="1078">
      <c r="A1078" s="4" t="str">
        <f>IFERROR(__xludf.DUMMYFUNCTION("""COMPUTED_VALUE"""),"DME3072")</f>
        <v>DME3072</v>
      </c>
      <c r="B1078" s="4" t="str">
        <f>IFERROR(__xludf.DUMMYFUNCTION("""COMPUTED_VALUE"""),"Vaishnavi Rameshrao Sakharkar")</f>
        <v>Vaishnavi Rameshrao Sakharkar</v>
      </c>
      <c r="C1078" s="4" t="str">
        <f>IFERROR(__xludf.DUMMYFUNCTION("""COMPUTED_VALUE"""),"vaishnavi.sakharkar@onixnet.com")</f>
        <v>vaishnavi.sakharkar@onixnet.com</v>
      </c>
      <c r="D1078" s="4" t="str">
        <f>IFERROR(__xludf.DUMMYFUNCTION("""COMPUTED_VALUE"""),"Active")</f>
        <v>Active</v>
      </c>
      <c r="E1078" s="4" t="str">
        <f>IFERROR(__xludf.DUMMYFUNCTION("""COMPUTED_VALUE"""),"Product Engineering")</f>
        <v>Product Engineering</v>
      </c>
      <c r="F1078" s="4" t="str">
        <f>IFERROR(__xludf.DUMMYFUNCTION("""COMPUTED_VALUE"""),"Venkat Shivkumar")</f>
        <v>Venkat Shivkumar</v>
      </c>
      <c r="G1078" s="4" t="str">
        <f>IFERROR(__xludf.DUMMYFUNCTION("""COMPUTED_VALUE"""),"Cluster - Mayur")</f>
        <v>Cluster - Mayur</v>
      </c>
      <c r="H1078" s="4" t="str">
        <f>IFERROR(__xludf.DUMMYFUNCTION("""COMPUTED_VALUE"""),"ONIVSKOB7")</f>
        <v>ONIVSKOB7</v>
      </c>
      <c r="I1078" s="5">
        <f>IFERROR(__xludf.DUMMYFUNCTION("""COMPUTED_VALUE"""),5.0)</f>
        <v>5</v>
      </c>
      <c r="J1078" s="4" t="str">
        <f>IFERROR(__xludf.DUMMYFUNCTION("""COMPUTED_VALUE"""),"Tier 4")</f>
        <v>Tier 4</v>
      </c>
      <c r="K1078" s="4" t="str">
        <f>IFERROR(__xludf.DUMMYFUNCTION("""COMPUTED_VALUE"""),"Active")</f>
        <v>Active</v>
      </c>
      <c r="L1078" s="4" t="str">
        <f>IFERROR(__xludf.DUMMYFUNCTION("""COMPUTED_VALUE"""),"BigQuery")</f>
        <v>BigQuery</v>
      </c>
    </row>
    <row r="1079">
      <c r="A1079" s="4" t="str">
        <f>IFERROR(__xludf.DUMMYFUNCTION("""COMPUTED_VALUE"""),"DME3070")</f>
        <v>DME3070</v>
      </c>
      <c r="B1079" s="4" t="str">
        <f>IFERROR(__xludf.DUMMYFUNCTION("""COMPUTED_VALUE"""),"Tejaswini Patil")</f>
        <v>Tejaswini Patil</v>
      </c>
      <c r="C1079" s="4" t="str">
        <f>IFERROR(__xludf.DUMMYFUNCTION("""COMPUTED_VALUE"""),"tejaswini.patil@onixnet.com")</f>
        <v>tejaswini.patil@onixnet.com</v>
      </c>
      <c r="D1079" s="4" t="str">
        <f>IFERROR(__xludf.DUMMYFUNCTION("""COMPUTED_VALUE"""),"Active")</f>
        <v>Active</v>
      </c>
      <c r="E1079" s="4" t="str">
        <f>IFERROR(__xludf.DUMMYFUNCTION("""COMPUTED_VALUE"""),"Product Engineering")</f>
        <v>Product Engineering</v>
      </c>
      <c r="F1079" s="4" t="str">
        <f>IFERROR(__xludf.DUMMYFUNCTION("""COMPUTED_VALUE"""),"Nikhil Rajendra Patil")</f>
        <v>Nikhil Rajendra Patil</v>
      </c>
      <c r="G1079" s="4" t="str">
        <f>IFERROR(__xludf.DUMMYFUNCTION("""COMPUTED_VALUE"""),"Cluster - Mayur")</f>
        <v>Cluster - Mayur</v>
      </c>
      <c r="H1079" s="4" t="str">
        <f>IFERROR(__xludf.DUMMYFUNCTION("""COMPUTED_VALUE"""),"ONITPNJC6")</f>
        <v>ONITPNJC6</v>
      </c>
      <c r="I1079" s="5">
        <f>IFERROR(__xludf.DUMMYFUNCTION("""COMPUTED_VALUE"""),5.0)</f>
        <v>5</v>
      </c>
      <c r="J1079" s="4" t="str">
        <f>IFERROR(__xludf.DUMMYFUNCTION("""COMPUTED_VALUE"""),"Tier 4")</f>
        <v>Tier 4</v>
      </c>
      <c r="K1079" s="4" t="str">
        <f>IFERROR(__xludf.DUMMYFUNCTION("""COMPUTED_VALUE"""),"Active")</f>
        <v>Active</v>
      </c>
      <c r="L1079" s="4" t="str">
        <f>IFERROR(__xludf.DUMMYFUNCTION("""COMPUTED_VALUE"""),"AI Applications")</f>
        <v>AI Applications</v>
      </c>
    </row>
    <row r="1080">
      <c r="A1080" s="4" t="str">
        <f>IFERROR(__xludf.DUMMYFUNCTION("""COMPUTED_VALUE"""),"DME3071")</f>
        <v>DME3071</v>
      </c>
      <c r="B1080" s="4" t="str">
        <f>IFERROR(__xludf.DUMMYFUNCTION("""COMPUTED_VALUE"""),"SAYALI PAWAR")</f>
        <v>SAYALI PAWAR</v>
      </c>
      <c r="C1080" s="4" t="str">
        <f>IFERROR(__xludf.DUMMYFUNCTION("""COMPUTED_VALUE"""),"sayali.pawar@onixnet.com")</f>
        <v>sayali.pawar@onixnet.com</v>
      </c>
      <c r="D1080" s="4" t="str">
        <f>IFERROR(__xludf.DUMMYFUNCTION("""COMPUTED_VALUE"""),"Active")</f>
        <v>Active</v>
      </c>
      <c r="E1080" s="4" t="str">
        <f>IFERROR(__xludf.DUMMYFUNCTION("""COMPUTED_VALUE"""),"Product Engineering")</f>
        <v>Product Engineering</v>
      </c>
      <c r="F1080" s="4" t="str">
        <f>IFERROR(__xludf.DUMMYFUNCTION("""COMPUTED_VALUE"""),"Venkat Shivkumar")</f>
        <v>Venkat Shivkumar</v>
      </c>
      <c r="G1080" s="4" t="str">
        <f>IFERROR(__xludf.DUMMYFUNCTION("""COMPUTED_VALUE"""),"Cluster - Mayur")</f>
        <v>Cluster - Mayur</v>
      </c>
      <c r="H1080" s="4" t="str">
        <f>IFERROR(__xludf.DUMMYFUNCTION("""COMPUTED_VALUE"""),"ONISPVYX6")</f>
        <v>ONISPVYX6</v>
      </c>
      <c r="I1080" s="5">
        <f>IFERROR(__xludf.DUMMYFUNCTION("""COMPUTED_VALUE"""),10.0)</f>
        <v>10</v>
      </c>
      <c r="J1080" s="4" t="str">
        <f>IFERROR(__xludf.DUMMYFUNCTION("""COMPUTED_VALUE"""),"Tier 4")</f>
        <v>Tier 4</v>
      </c>
      <c r="K1080" s="4" t="str">
        <f>IFERROR(__xludf.DUMMYFUNCTION("""COMPUTED_VALUE"""),"Active")</f>
        <v>Active</v>
      </c>
      <c r="L1080" s="4" t="str">
        <f>IFERROR(__xludf.DUMMYFUNCTION("""COMPUTED_VALUE"""),"AI Applications")</f>
        <v>AI Applications</v>
      </c>
    </row>
    <row r="1081">
      <c r="A1081" s="4" t="str">
        <f>IFERROR(__xludf.DUMMYFUNCTION("""COMPUTED_VALUE"""),"DME3073")</f>
        <v>DME3073</v>
      </c>
      <c r="B1081" s="4" t="str">
        <f>IFERROR(__xludf.DUMMYFUNCTION("""COMPUTED_VALUE"""),"Chintamani Bandal")</f>
        <v>Chintamani Bandal</v>
      </c>
      <c r="C1081" s="4" t="str">
        <f>IFERROR(__xludf.DUMMYFUNCTION("""COMPUTED_VALUE"""),"chintamani.bandal@onixnet.com")</f>
        <v>chintamani.bandal@onixnet.com</v>
      </c>
      <c r="D1081" s="4" t="str">
        <f>IFERROR(__xludf.DUMMYFUNCTION("""COMPUTED_VALUE"""),"Active")</f>
        <v>Active</v>
      </c>
      <c r="E1081" s="4" t="str">
        <f>IFERROR(__xludf.DUMMYFUNCTION("""COMPUTED_VALUE"""),"Product Engineering")</f>
        <v>Product Engineering</v>
      </c>
      <c r="F1081" s="4" t="str">
        <f>IFERROR(__xludf.DUMMYFUNCTION("""COMPUTED_VALUE"""),"Venkat Shivkumar")</f>
        <v>Venkat Shivkumar</v>
      </c>
      <c r="G1081" s="4" t="str">
        <f>IFERROR(__xludf.DUMMYFUNCTION("""COMPUTED_VALUE"""),"Cluster - Mayur")</f>
        <v>Cluster - Mayur</v>
      </c>
      <c r="H1081" s="4"/>
      <c r="I1081" s="5"/>
      <c r="J1081" s="4"/>
      <c r="K1081" s="4" t="str">
        <f>IFERROR(__xludf.DUMMYFUNCTION("""COMPUTED_VALUE"""),"ID Not Created")</f>
        <v>ID Not Created</v>
      </c>
      <c r="L1081" s="4"/>
    </row>
    <row r="1082">
      <c r="A1082" s="4" t="str">
        <f>IFERROR(__xludf.DUMMYFUNCTION("""COMPUTED_VALUE"""),"DME3081")</f>
        <v>DME3081</v>
      </c>
      <c r="B1082" s="4" t="str">
        <f>IFERROR(__xludf.DUMMYFUNCTION("""COMPUTED_VALUE"""),"Avinash Vitthalsing Rajput")</f>
        <v>Avinash Vitthalsing Rajput</v>
      </c>
      <c r="C1082" s="4" t="str">
        <f>IFERROR(__xludf.DUMMYFUNCTION("""COMPUTED_VALUE"""),"avinash.rajput@onixnet.com")</f>
        <v>avinash.rajput@onixnet.com</v>
      </c>
      <c r="D1082" s="4" t="str">
        <f>IFERROR(__xludf.DUMMYFUNCTION("""COMPUTED_VALUE"""),"Active")</f>
        <v>Active</v>
      </c>
      <c r="E1082" s="4" t="str">
        <f>IFERROR(__xludf.DUMMYFUNCTION("""COMPUTED_VALUE"""),"Delivery Services")</f>
        <v>Delivery Services</v>
      </c>
      <c r="F1082" s="4" t="str">
        <f>IFERROR(__xludf.DUMMYFUNCTION("""COMPUTED_VALUE"""),"Jitender Singh")</f>
        <v>Jitender Singh</v>
      </c>
      <c r="G1082" s="4" t="str">
        <f>IFERROR(__xludf.DUMMYFUNCTION("""COMPUTED_VALUE"""),"Cluster - Gaurav")</f>
        <v>Cluster - Gaurav</v>
      </c>
      <c r="H1082" s="4" t="str">
        <f>IFERROR(__xludf.DUMMYFUNCTION("""COMPUTED_VALUE"""),"ONIARLAP0")</f>
        <v>ONIARLAP0</v>
      </c>
      <c r="I1082" s="5">
        <f>IFERROR(__xludf.DUMMYFUNCTION("""COMPUTED_VALUE"""),0.0)</f>
        <v>0</v>
      </c>
      <c r="J1082" s="4" t="str">
        <f>IFERROR(__xludf.DUMMYFUNCTION("""COMPUTED_VALUE"""),"Tier 4")</f>
        <v>Tier 4</v>
      </c>
      <c r="K1082" s="4" t="str">
        <f>IFERROR(__xludf.DUMMYFUNCTION("""COMPUTED_VALUE"""),"ID Created DRP score 0")</f>
        <v>ID Created DRP score 0</v>
      </c>
      <c r="L1082" s="4"/>
    </row>
    <row r="1083">
      <c r="A1083" s="4" t="str">
        <f>IFERROR(__xludf.DUMMYFUNCTION("""COMPUTED_VALUE"""),"DME3076")</f>
        <v>DME3076</v>
      </c>
      <c r="B1083" s="4" t="str">
        <f>IFERROR(__xludf.DUMMYFUNCTION("""COMPUTED_VALUE"""),"Shivaji D Jadhav")</f>
        <v>Shivaji D Jadhav</v>
      </c>
      <c r="C1083" s="4" t="str">
        <f>IFERROR(__xludf.DUMMYFUNCTION("""COMPUTED_VALUE"""),"shivaji.jadhav@onixnet.com")</f>
        <v>shivaji.jadhav@onixnet.com</v>
      </c>
      <c r="D1083" s="4" t="str">
        <f>IFERROR(__xludf.DUMMYFUNCTION("""COMPUTED_VALUE"""),"Active")</f>
        <v>Active</v>
      </c>
      <c r="E1083" s="4" t="str">
        <f>IFERROR(__xludf.DUMMYFUNCTION("""COMPUTED_VALUE"""),"Delivery Services")</f>
        <v>Delivery Services</v>
      </c>
      <c r="F1083" s="4" t="str">
        <f>IFERROR(__xludf.DUMMYFUNCTION("""COMPUTED_VALUE"""),"Sneha Bhatambrekar")</f>
        <v>Sneha Bhatambrekar</v>
      </c>
      <c r="G1083" s="4" t="str">
        <f>IFERROR(__xludf.DUMMYFUNCTION("""COMPUTED_VALUE"""),"Cluster - Sandeep")</f>
        <v>Cluster - Sandeep</v>
      </c>
      <c r="H1083" s="4" t="str">
        <f>IFERROR(__xludf.DUMMYFUNCTION("""COMPUTED_VALUE"""),"ONISJXRF7")</f>
        <v>ONISJXRF7</v>
      </c>
      <c r="I1083" s="5">
        <f>IFERROR(__xludf.DUMMYFUNCTION("""COMPUTED_VALUE"""),13.0)</f>
        <v>13</v>
      </c>
      <c r="J1083" s="4" t="str">
        <f>IFERROR(__xludf.DUMMYFUNCTION("""COMPUTED_VALUE"""),"Tier 4")</f>
        <v>Tier 4</v>
      </c>
      <c r="K1083" s="4" t="str">
        <f>IFERROR(__xludf.DUMMYFUNCTION("""COMPUTED_VALUE"""),"Active")</f>
        <v>Active</v>
      </c>
      <c r="L1083" s="4" t="str">
        <f>IFERROR(__xludf.DUMMYFUNCTION("""COMPUTED_VALUE"""),"AI Applications")</f>
        <v>AI Applications</v>
      </c>
    </row>
    <row r="1084">
      <c r="A1084" s="4" t="str">
        <f>IFERROR(__xludf.DUMMYFUNCTION("""COMPUTED_VALUE"""),"DME3074")</f>
        <v>DME3074</v>
      </c>
      <c r="B1084" s="4" t="str">
        <f>IFERROR(__xludf.DUMMYFUNCTION("""COMPUTED_VALUE"""),"Manjunath P Reddy")</f>
        <v>Manjunath P Reddy</v>
      </c>
      <c r="C1084" s="4" t="str">
        <f>IFERROR(__xludf.DUMMYFUNCTION("""COMPUTED_VALUE"""),"manjunatha.punugoti@onixnet.com")</f>
        <v>manjunatha.punugoti@onixnet.com</v>
      </c>
      <c r="D1084" s="4" t="str">
        <f>IFERROR(__xludf.DUMMYFUNCTION("""COMPUTED_VALUE"""),"Active")</f>
        <v>Active</v>
      </c>
      <c r="E1084" s="4" t="str">
        <f>IFERROR(__xludf.DUMMYFUNCTION("""COMPUTED_VALUE"""),"Delivery Services")</f>
        <v>Delivery Services</v>
      </c>
      <c r="F1084" s="4" t="str">
        <f>IFERROR(__xludf.DUMMYFUNCTION("""COMPUTED_VALUE"""),"Vurimi Vamsi Krishna")</f>
        <v>Vurimi Vamsi Krishna</v>
      </c>
      <c r="G1084" s="4" t="str">
        <f>IFERROR(__xludf.DUMMYFUNCTION("""COMPUTED_VALUE"""),"Cluster - Varun")</f>
        <v>Cluster - Varun</v>
      </c>
      <c r="H1084" s="4" t="str">
        <f>IFERROR(__xludf.DUMMYFUNCTION("""COMPUTED_VALUE"""),"ONIMPGUO5")</f>
        <v>ONIMPGUO5</v>
      </c>
      <c r="I1084" s="5">
        <f>IFERROR(__xludf.DUMMYFUNCTION("""COMPUTED_VALUE"""),23.0)</f>
        <v>23</v>
      </c>
      <c r="J1084" s="4" t="str">
        <f>IFERROR(__xludf.DUMMYFUNCTION("""COMPUTED_VALUE"""),"Tier 3")</f>
        <v>Tier 3</v>
      </c>
      <c r="K1084" s="4" t="str">
        <f>IFERROR(__xludf.DUMMYFUNCTION("""COMPUTED_VALUE"""),"Active")</f>
        <v>Active</v>
      </c>
      <c r="L1084" s="4" t="str">
        <f>IFERROR(__xludf.DUMMYFUNCTION("""COMPUTED_VALUE"""),"Gemini Enterprise Agent Platform")</f>
        <v>Gemini Enterprise Agent Platform</v>
      </c>
    </row>
    <row r="1085">
      <c r="A1085" s="4" t="str">
        <f>IFERROR(__xludf.DUMMYFUNCTION("""COMPUTED_VALUE"""),"DME3077")</f>
        <v>DME3077</v>
      </c>
      <c r="B1085" s="4" t="str">
        <f>IFERROR(__xludf.DUMMYFUNCTION("""COMPUTED_VALUE"""),"Annapurna Ananthula")</f>
        <v>Annapurna Ananthula</v>
      </c>
      <c r="C1085" s="4" t="str">
        <f>IFERROR(__xludf.DUMMYFUNCTION("""COMPUTED_VALUE"""),"annapurna.ananthula@onixnet.com")</f>
        <v>annapurna.ananthula@onixnet.com</v>
      </c>
      <c r="D1085" s="4" t="str">
        <f>IFERROR(__xludf.DUMMYFUNCTION("""COMPUTED_VALUE"""),"Active")</f>
        <v>Active</v>
      </c>
      <c r="E1085" s="4" t="str">
        <f>IFERROR(__xludf.DUMMYFUNCTION("""COMPUTED_VALUE"""),"Delivery Services")</f>
        <v>Delivery Services</v>
      </c>
      <c r="F1085" s="4" t="str">
        <f>IFERROR(__xludf.DUMMYFUNCTION("""COMPUTED_VALUE"""),"Upendra Rangisetti")</f>
        <v>Upendra Rangisetti</v>
      </c>
      <c r="G1085" s="4" t="str">
        <f>IFERROR(__xludf.DUMMYFUNCTION("""COMPUTED_VALUE"""),"Cluster - Shreepad")</f>
        <v>Cluster - Shreepad</v>
      </c>
      <c r="H1085" s="4" t="str">
        <f>IFERROR(__xludf.DUMMYFUNCTION("""COMPUTED_VALUE"""),"ONIAAJZA9")</f>
        <v>ONIAAJZA9</v>
      </c>
      <c r="I1085" s="5">
        <f>IFERROR(__xludf.DUMMYFUNCTION("""COMPUTED_VALUE"""),10.0)</f>
        <v>10</v>
      </c>
      <c r="J1085" s="4" t="str">
        <f>IFERROR(__xludf.DUMMYFUNCTION("""COMPUTED_VALUE"""),"Tier 4")</f>
        <v>Tier 4</v>
      </c>
      <c r="K1085" s="4" t="str">
        <f>IFERROR(__xludf.DUMMYFUNCTION("""COMPUTED_VALUE"""),"Active")</f>
        <v>Active</v>
      </c>
      <c r="L1085" s="4" t="str">
        <f>IFERROR(__xludf.DUMMYFUNCTION("""COMPUTED_VALUE"""),"Gemini Enterprise Agent Platform")</f>
        <v>Gemini Enterprise Agent Platform</v>
      </c>
    </row>
    <row r="1086">
      <c r="A1086" s="4" t="str">
        <f>IFERROR(__xludf.DUMMYFUNCTION("""COMPUTED_VALUE"""),"DME3080")</f>
        <v>DME3080</v>
      </c>
      <c r="B1086" s="4" t="str">
        <f>IFERROR(__xludf.DUMMYFUNCTION("""COMPUTED_VALUE"""),"Janak Kore")</f>
        <v>Janak Kore</v>
      </c>
      <c r="C1086" s="4" t="str">
        <f>IFERROR(__xludf.DUMMYFUNCTION("""COMPUTED_VALUE"""),"janak.kore@onixnet.com")</f>
        <v>janak.kore@onixnet.com</v>
      </c>
      <c r="D1086" s="4" t="str">
        <f>IFERROR(__xludf.DUMMYFUNCTION("""COMPUTED_VALUE"""),"Active")</f>
        <v>Active</v>
      </c>
      <c r="E1086" s="4" t="str">
        <f>IFERROR(__xludf.DUMMYFUNCTION("""COMPUTED_VALUE"""),"Delivery Services")</f>
        <v>Delivery Services</v>
      </c>
      <c r="F1086" s="4" t="str">
        <f>IFERROR(__xludf.DUMMYFUNCTION("""COMPUTED_VALUE"""),"Anitha Kumari M S")</f>
        <v>Anitha Kumari M S</v>
      </c>
      <c r="G1086" s="4" t="str">
        <f>IFERROR(__xludf.DUMMYFUNCTION("""COMPUTED_VALUE"""),"Cluster - Sagar")</f>
        <v>Cluster - Sagar</v>
      </c>
      <c r="H1086" s="4" t="str">
        <f>IFERROR(__xludf.DUMMYFUNCTION("""COMPUTED_VALUE"""),"ONIJKPBO3")</f>
        <v>ONIJKPBO3</v>
      </c>
      <c r="I1086" s="5">
        <f>IFERROR(__xludf.DUMMYFUNCTION("""COMPUTED_VALUE"""),5.0)</f>
        <v>5</v>
      </c>
      <c r="J1086" s="4" t="str">
        <f>IFERROR(__xludf.DUMMYFUNCTION("""COMPUTED_VALUE"""),"Tier 4")</f>
        <v>Tier 4</v>
      </c>
      <c r="K1086" s="4" t="str">
        <f>IFERROR(__xludf.DUMMYFUNCTION("""COMPUTED_VALUE"""),"Active")</f>
        <v>Active</v>
      </c>
      <c r="L1086" s="4" t="str">
        <f>IFERROR(__xludf.DUMMYFUNCTION("""COMPUTED_VALUE"""),"BigQuery")</f>
        <v>BigQuery</v>
      </c>
    </row>
    <row r="1087">
      <c r="A1087" s="4" t="str">
        <f>IFERROR(__xludf.DUMMYFUNCTION("""COMPUTED_VALUE"""),"DME3078")</f>
        <v>DME3078</v>
      </c>
      <c r="B1087" s="4" t="str">
        <f>IFERROR(__xludf.DUMMYFUNCTION("""COMPUTED_VALUE"""),"Satya Ranjan Prusty")</f>
        <v>Satya Ranjan Prusty</v>
      </c>
      <c r="C1087" s="4" t="str">
        <f>IFERROR(__xludf.DUMMYFUNCTION("""COMPUTED_VALUE"""),"satya.prusty@onixnet.com")</f>
        <v>satya.prusty@onixnet.com</v>
      </c>
      <c r="D1087" s="4" t="str">
        <f>IFERROR(__xludf.DUMMYFUNCTION("""COMPUTED_VALUE"""),"Active")</f>
        <v>Active</v>
      </c>
      <c r="E1087" s="4" t="str">
        <f>IFERROR(__xludf.DUMMYFUNCTION("""COMPUTED_VALUE"""),"Delivery Services")</f>
        <v>Delivery Services</v>
      </c>
      <c r="F1087" s="4" t="str">
        <f>IFERROR(__xludf.DUMMYFUNCTION("""COMPUTED_VALUE"""),"Rahul Shelake")</f>
        <v>Rahul Shelake</v>
      </c>
      <c r="G1087" s="4" t="str">
        <f>IFERROR(__xludf.DUMMYFUNCTION("""COMPUTED_VALUE"""),"Cluster - Sagar")</f>
        <v>Cluster - Sagar</v>
      </c>
      <c r="H1087" s="4" t="str">
        <f>IFERROR(__xludf.DUMMYFUNCTION("""COMPUTED_VALUE"""),"ONISPEOS3")</f>
        <v>ONISPEOS3</v>
      </c>
      <c r="I1087" s="5">
        <f>IFERROR(__xludf.DUMMYFUNCTION("""COMPUTED_VALUE"""),5.0)</f>
        <v>5</v>
      </c>
      <c r="J1087" s="4" t="str">
        <f>IFERROR(__xludf.DUMMYFUNCTION("""COMPUTED_VALUE"""),"Tier 4")</f>
        <v>Tier 4</v>
      </c>
      <c r="K1087" s="4" t="str">
        <f>IFERROR(__xludf.DUMMYFUNCTION("""COMPUTED_VALUE"""),"Active")</f>
        <v>Active</v>
      </c>
      <c r="L1087" s="4" t="str">
        <f>IFERROR(__xludf.DUMMYFUNCTION("""COMPUTED_VALUE"""),"Gemini Enterprise Agent Platform")</f>
        <v>Gemini Enterprise Agent Platform</v>
      </c>
    </row>
    <row r="1088">
      <c r="A1088" s="4" t="str">
        <f>IFERROR(__xludf.DUMMYFUNCTION("""COMPUTED_VALUE"""),"DME3079")</f>
        <v>DME3079</v>
      </c>
      <c r="B1088" s="4" t="str">
        <f>IFERROR(__xludf.DUMMYFUNCTION("""COMPUTED_VALUE"""),"Muniprasad K")</f>
        <v>Muniprasad K</v>
      </c>
      <c r="C1088" s="4" t="str">
        <f>IFERROR(__xludf.DUMMYFUNCTION("""COMPUTED_VALUE"""),"kailasam.prasad@onixnet.com")</f>
        <v>kailasam.prasad@onixnet.com</v>
      </c>
      <c r="D1088" s="4" t="str">
        <f>IFERROR(__xludf.DUMMYFUNCTION("""COMPUTED_VALUE"""),"Active")</f>
        <v>Active</v>
      </c>
      <c r="E1088" s="4" t="str">
        <f>IFERROR(__xludf.DUMMYFUNCTION("""COMPUTED_VALUE"""),"Delivery Services")</f>
        <v>Delivery Services</v>
      </c>
      <c r="F1088" s="4" t="str">
        <f>IFERROR(__xludf.DUMMYFUNCTION("""COMPUTED_VALUE"""),"Manoj Patil")</f>
        <v>Manoj Patil</v>
      </c>
      <c r="G1088" s="4" t="str">
        <f>IFERROR(__xludf.DUMMYFUNCTION("""COMPUTED_VALUE"""),"Cluster - Shreepad")</f>
        <v>Cluster - Shreepad</v>
      </c>
      <c r="H1088" s="4" t="str">
        <f>IFERROR(__xludf.DUMMYFUNCTION("""COMPUTED_VALUE"""),"ONIKMZSL2")</f>
        <v>ONIKMZSL2</v>
      </c>
      <c r="I1088" s="5">
        <f>IFERROR(__xludf.DUMMYFUNCTION("""COMPUTED_VALUE"""),15.0)</f>
        <v>15</v>
      </c>
      <c r="J1088" s="4" t="str">
        <f>IFERROR(__xludf.DUMMYFUNCTION("""COMPUTED_VALUE"""),"Tier 4")</f>
        <v>Tier 4</v>
      </c>
      <c r="K1088" s="4" t="str">
        <f>IFERROR(__xludf.DUMMYFUNCTION("""COMPUTED_VALUE"""),"Active")</f>
        <v>Active</v>
      </c>
      <c r="L1088" s="4" t="str">
        <f>IFERROR(__xludf.DUMMYFUNCTION("""COMPUTED_VALUE"""),"Gemini Enterprise Agent Platform")</f>
        <v>Gemini Enterprise Agent Platform</v>
      </c>
    </row>
    <row r="1089">
      <c r="A1089" s="4" t="str">
        <f>IFERROR(__xludf.DUMMYFUNCTION("""COMPUTED_VALUE"""),"DME3087")</f>
        <v>DME3087</v>
      </c>
      <c r="B1089" s="4" t="str">
        <f>IFERROR(__xludf.DUMMYFUNCTION("""COMPUTED_VALUE"""),"RAVI PRAKASH")</f>
        <v>RAVI PRAKASH</v>
      </c>
      <c r="C1089" s="4" t="str">
        <f>IFERROR(__xludf.DUMMYFUNCTION("""COMPUTED_VALUE"""),"ravi.prakash@onixnet.com")</f>
        <v>ravi.prakash@onixnet.com</v>
      </c>
      <c r="D1089" s="4" t="str">
        <f>IFERROR(__xludf.DUMMYFUNCTION("""COMPUTED_VALUE"""),"Active")</f>
        <v>Active</v>
      </c>
      <c r="E1089" s="4" t="str">
        <f>IFERROR(__xludf.DUMMYFUNCTION("""COMPUTED_VALUE"""),"Product Engineering")</f>
        <v>Product Engineering</v>
      </c>
      <c r="F1089" s="4" t="str">
        <f>IFERROR(__xludf.DUMMYFUNCTION("""COMPUTED_VALUE"""),"Venkat Shivkumar")</f>
        <v>Venkat Shivkumar</v>
      </c>
      <c r="G1089" s="4" t="str">
        <f>IFERROR(__xludf.DUMMYFUNCTION("""COMPUTED_VALUE"""),"Cluster - Mayur")</f>
        <v>Cluster - Mayur</v>
      </c>
      <c r="H1089" s="4" t="str">
        <f>IFERROR(__xludf.DUMMYFUNCTION("""COMPUTED_VALUE"""),"ONIRPJTC8")</f>
        <v>ONIRPJTC8</v>
      </c>
      <c r="I1089" s="5">
        <f>IFERROR(__xludf.DUMMYFUNCTION("""COMPUTED_VALUE"""),10.0)</f>
        <v>10</v>
      </c>
      <c r="J1089" s="4" t="str">
        <f>IFERROR(__xludf.DUMMYFUNCTION("""COMPUTED_VALUE"""),"Tier 4")</f>
        <v>Tier 4</v>
      </c>
      <c r="K1089" s="4" t="str">
        <f>IFERROR(__xludf.DUMMYFUNCTION("""COMPUTED_VALUE"""),"Active")</f>
        <v>Active</v>
      </c>
      <c r="L1089" s="4" t="str">
        <f>IFERROR(__xludf.DUMMYFUNCTION("""COMPUTED_VALUE"""),"AI Applications")</f>
        <v>AI Applications</v>
      </c>
    </row>
    <row r="1090">
      <c r="A1090" s="4" t="str">
        <f>IFERROR(__xludf.DUMMYFUNCTION("""COMPUTED_VALUE"""),"DME3086")</f>
        <v>DME3086</v>
      </c>
      <c r="B1090" s="4" t="str">
        <f>IFERROR(__xludf.DUMMYFUNCTION("""COMPUTED_VALUE"""),"Vinit S Sheral")</f>
        <v>Vinit S Sheral</v>
      </c>
      <c r="C1090" s="4" t="str">
        <f>IFERROR(__xludf.DUMMYFUNCTION("""COMPUTED_VALUE"""),"vinit.sheral@onixnet.com")</f>
        <v>vinit.sheral@onixnet.com</v>
      </c>
      <c r="D1090" s="4" t="str">
        <f>IFERROR(__xludf.DUMMYFUNCTION("""COMPUTED_VALUE"""),"Active")</f>
        <v>Active</v>
      </c>
      <c r="E1090" s="4" t="str">
        <f>IFERROR(__xludf.DUMMYFUNCTION("""COMPUTED_VALUE"""),"Delivery Services")</f>
        <v>Delivery Services</v>
      </c>
      <c r="F1090" s="4" t="str">
        <f>IFERROR(__xludf.DUMMYFUNCTION("""COMPUTED_VALUE"""),"Nisha Chandrakant Dhole")</f>
        <v>Nisha Chandrakant Dhole</v>
      </c>
      <c r="G1090" s="4" t="str">
        <f>IFERROR(__xludf.DUMMYFUNCTION("""COMPUTED_VALUE"""),"Cluster - Sagar")</f>
        <v>Cluster - Sagar</v>
      </c>
      <c r="H1090" s="4" t="str">
        <f>IFERROR(__xludf.DUMMYFUNCTION("""COMPUTED_VALUE"""),"ONIVSNWD1")</f>
        <v>ONIVSNWD1</v>
      </c>
      <c r="I1090" s="5">
        <f>IFERROR(__xludf.DUMMYFUNCTION("""COMPUTED_VALUE"""),5.0)</f>
        <v>5</v>
      </c>
      <c r="J1090" s="4" t="str">
        <f>IFERROR(__xludf.DUMMYFUNCTION("""COMPUTED_VALUE"""),"Tier 4")</f>
        <v>Tier 4</v>
      </c>
      <c r="K1090" s="4" t="str">
        <f>IFERROR(__xludf.DUMMYFUNCTION("""COMPUTED_VALUE"""),"Active")</f>
        <v>Active</v>
      </c>
      <c r="L1090" s="4" t="str">
        <f>IFERROR(__xludf.DUMMYFUNCTION("""COMPUTED_VALUE"""),"Gemini Enterprise Agent Platform")</f>
        <v>Gemini Enterprise Agent Platform</v>
      </c>
    </row>
    <row r="1091">
      <c r="A1091" s="4" t="str">
        <f>IFERROR(__xludf.DUMMYFUNCTION("""COMPUTED_VALUE"""),"ONIX844")</f>
        <v>ONIX844</v>
      </c>
      <c r="B1091" s="4" t="str">
        <f>IFERROR(__xludf.DUMMYFUNCTION("""COMPUTED_VALUE"""),"Sanket  Nadkarni")</f>
        <v>Sanket  Nadkarni</v>
      </c>
      <c r="C1091" s="4" t="str">
        <f>IFERROR(__xludf.DUMMYFUNCTION("""COMPUTED_VALUE"""),"sanket.nadkarni@onixnet.us")</f>
        <v>sanket.nadkarni@onixnet.us</v>
      </c>
      <c r="D1091" s="4" t="str">
        <f>IFERROR(__xludf.DUMMYFUNCTION("""COMPUTED_VALUE"""),"Active")</f>
        <v>Active</v>
      </c>
      <c r="E1091" s="4" t="str">
        <f>IFERROR(__xludf.DUMMYFUNCTION("""COMPUTED_VALUE"""),"Delivery")</f>
        <v>Delivery</v>
      </c>
      <c r="F1091" s="4" t="str">
        <f>IFERROR(__xludf.DUMMYFUNCTION("""COMPUTED_VALUE"""),"Vrushali Srivastava")</f>
        <v>Vrushali Srivastava</v>
      </c>
      <c r="G1091" s="4" t="str">
        <f>IFERROR(__xludf.DUMMYFUNCTION("""COMPUTED_VALUE"""),"Portfolio - Rajesh")</f>
        <v>Portfolio - Rajesh</v>
      </c>
      <c r="H1091" s="4"/>
      <c r="I1091" s="5"/>
      <c r="J1091" s="4"/>
      <c r="K1091" s="4" t="str">
        <f>IFERROR(__xludf.DUMMYFUNCTION("""COMPUTED_VALUE"""),"ID Not Created")</f>
        <v>ID Not Created</v>
      </c>
      <c r="L1091" s="4"/>
    </row>
    <row r="1092">
      <c r="A1092" s="4" t="str">
        <f>IFERROR(__xludf.DUMMYFUNCTION("""COMPUTED_VALUE"""),"ONIX829")</f>
        <v>ONIX829</v>
      </c>
      <c r="B1092" s="4" t="str">
        <f>IFERROR(__xludf.DUMMYFUNCTION("""COMPUTED_VALUE"""),"Nathan Harrison")</f>
        <v>Nathan Harrison</v>
      </c>
      <c r="C1092" s="4" t="str">
        <f>IFERROR(__xludf.DUMMYFUNCTION("""COMPUTED_VALUE"""),"nathan.harrison@onixnet.com")</f>
        <v>nathan.harrison@onixnet.com</v>
      </c>
      <c r="D1092" s="4" t="str">
        <f>IFERROR(__xludf.DUMMYFUNCTION("""COMPUTED_VALUE"""),"Active")</f>
        <v>Active</v>
      </c>
      <c r="E1092" s="4" t="str">
        <f>IFERROR(__xludf.DUMMYFUNCTION("""COMPUTED_VALUE"""),"Sales Services")</f>
        <v>Sales Services</v>
      </c>
      <c r="F1092" s="4" t="str">
        <f>IFERROR(__xludf.DUMMYFUNCTION("""COMPUTED_VALUE"""),"Scott Fleming")</f>
        <v>Scott Fleming</v>
      </c>
      <c r="G1092" s="4" t="str">
        <f>IFERROR(__xludf.DUMMYFUNCTION("""COMPUTED_VALUE"""),"Portfolio - Ankur (Sales)")</f>
        <v>Portfolio - Ankur (Sales)</v>
      </c>
      <c r="H1092" s="4"/>
      <c r="I1092" s="5"/>
      <c r="J1092" s="4"/>
      <c r="K1092" s="4" t="str">
        <f>IFERROR(__xludf.DUMMYFUNCTION("""COMPUTED_VALUE"""),"ID Not Created")</f>
        <v>ID Not Created</v>
      </c>
      <c r="L1092" s="4"/>
    </row>
    <row r="1093">
      <c r="A1093" s="4" t="str">
        <f>IFERROR(__xludf.DUMMYFUNCTION("""COMPUTED_VALUE"""),"ONIX830")</f>
        <v>ONIX830</v>
      </c>
      <c r="B1093" s="4" t="str">
        <f>IFERROR(__xludf.DUMMYFUNCTION("""COMPUTED_VALUE"""),"Tamer Oksay")</f>
        <v>Tamer Oksay</v>
      </c>
      <c r="C1093" s="4" t="str">
        <f>IFERROR(__xludf.DUMMYFUNCTION("""COMPUTED_VALUE"""),"tamer.oksay@onixnet.com")</f>
        <v>tamer.oksay@onixnet.com</v>
      </c>
      <c r="D1093" s="4" t="str">
        <f>IFERROR(__xludf.DUMMYFUNCTION("""COMPUTED_VALUE"""),"Active")</f>
        <v>Active</v>
      </c>
      <c r="E1093" s="4" t="str">
        <f>IFERROR(__xludf.DUMMYFUNCTION("""COMPUTED_VALUE"""),"Delivery Management")</f>
        <v>Delivery Management</v>
      </c>
      <c r="F1093" s="4" t="str">
        <f>IFERROR(__xludf.DUMMYFUNCTION("""COMPUTED_VALUE"""),"Shwetha Vincy")</f>
        <v>Shwetha Vincy</v>
      </c>
      <c r="G1093" s="4" t="str">
        <f>IFERROR(__xludf.DUMMYFUNCTION("""COMPUTED_VALUE"""),"Portfolio - Ankur (Sales)")</f>
        <v>Portfolio - Ankur (Sales)</v>
      </c>
      <c r="H1093" s="4"/>
      <c r="I1093" s="5"/>
      <c r="J1093" s="4"/>
      <c r="K1093" s="4" t="str">
        <f>IFERROR(__xludf.DUMMYFUNCTION("""COMPUTED_VALUE"""),"ID Not Created")</f>
        <v>ID Not Created</v>
      </c>
      <c r="L1093" s="4"/>
    </row>
    <row r="1094">
      <c r="A1094" s="4" t="str">
        <f>IFERROR(__xludf.DUMMYFUNCTION("""COMPUTED_VALUE"""),"DME3082")</f>
        <v>DME3082</v>
      </c>
      <c r="B1094" s="4" t="str">
        <f>IFERROR(__xludf.DUMMYFUNCTION("""COMPUTED_VALUE"""),"Yamala   Sri Snigdha Chandra")</f>
        <v>Yamala   Sri Snigdha Chandra</v>
      </c>
      <c r="C1094" s="4" t="str">
        <f>IFERROR(__xludf.DUMMYFUNCTION("""COMPUTED_VALUE"""),"snigdha.chandra@onixnet.com")</f>
        <v>snigdha.chandra@onixnet.com</v>
      </c>
      <c r="D1094" s="4" t="str">
        <f>IFERROR(__xludf.DUMMYFUNCTION("""COMPUTED_VALUE"""),"Active")</f>
        <v>Active</v>
      </c>
      <c r="E1094" s="4" t="str">
        <f>IFERROR(__xludf.DUMMYFUNCTION("""COMPUTED_VALUE"""),"Delivery Services")</f>
        <v>Delivery Services</v>
      </c>
      <c r="F1094" s="4" t="str">
        <f>IFERROR(__xludf.DUMMYFUNCTION("""COMPUTED_VALUE"""),"Syam Prasad Gera")</f>
        <v>Syam Prasad Gera</v>
      </c>
      <c r="G1094" s="4" t="str">
        <f>IFERROR(__xludf.DUMMYFUNCTION("""COMPUTED_VALUE"""),"Cluster - Shreepad")</f>
        <v>Cluster - Shreepad</v>
      </c>
      <c r="H1094" s="4" t="str">
        <f>IFERROR(__xludf.DUMMYFUNCTION("""COMPUTED_VALUE"""),"ONISYAKU9")</f>
        <v>ONISYAKU9</v>
      </c>
      <c r="I1094" s="5">
        <f>IFERROR(__xludf.DUMMYFUNCTION("""COMPUTED_VALUE"""),5.0)</f>
        <v>5</v>
      </c>
      <c r="J1094" s="4" t="str">
        <f>IFERROR(__xludf.DUMMYFUNCTION("""COMPUTED_VALUE"""),"Tier 4")</f>
        <v>Tier 4</v>
      </c>
      <c r="K1094" s="4" t="str">
        <f>IFERROR(__xludf.DUMMYFUNCTION("""COMPUTED_VALUE"""),"Active")</f>
        <v>Active</v>
      </c>
      <c r="L1094" s="4" t="str">
        <f>IFERROR(__xludf.DUMMYFUNCTION("""COMPUTED_VALUE"""),"Gemini Enterprise Agent Platform")</f>
        <v>Gemini Enterprise Agent Platform</v>
      </c>
    </row>
    <row r="1095">
      <c r="A1095" s="4" t="str">
        <f>IFERROR(__xludf.DUMMYFUNCTION("""COMPUTED_VALUE"""),"DME3085")</f>
        <v>DME3085</v>
      </c>
      <c r="B1095" s="4" t="str">
        <f>IFERROR(__xludf.DUMMYFUNCTION("""COMPUTED_VALUE"""),"Kiran Prakash Khandale")</f>
        <v>Kiran Prakash Khandale</v>
      </c>
      <c r="C1095" s="4" t="str">
        <f>IFERROR(__xludf.DUMMYFUNCTION("""COMPUTED_VALUE"""),"kiran.khandale@onixnet.com")</f>
        <v>kiran.khandale@onixnet.com</v>
      </c>
      <c r="D1095" s="4" t="str">
        <f>IFERROR(__xludf.DUMMYFUNCTION("""COMPUTED_VALUE"""),"Active")</f>
        <v>Active</v>
      </c>
      <c r="E1095" s="4" t="str">
        <f>IFERROR(__xludf.DUMMYFUNCTION("""COMPUTED_VALUE"""),"Product Engineering")</f>
        <v>Product Engineering</v>
      </c>
      <c r="F1095" s="4" t="str">
        <f>IFERROR(__xludf.DUMMYFUNCTION("""COMPUTED_VALUE"""),"Venkat Shivkumar")</f>
        <v>Venkat Shivkumar</v>
      </c>
      <c r="G1095" s="4" t="str">
        <f>IFERROR(__xludf.DUMMYFUNCTION("""COMPUTED_VALUE"""),"Cluster - Mayur")</f>
        <v>Cluster - Mayur</v>
      </c>
      <c r="H1095" s="4" t="str">
        <f>IFERROR(__xludf.DUMMYFUNCTION("""COMPUTED_VALUE"""),"ONIKKRVQ8")</f>
        <v>ONIKKRVQ8</v>
      </c>
      <c r="I1095" s="5">
        <f>IFERROR(__xludf.DUMMYFUNCTION("""COMPUTED_VALUE"""),10.0)</f>
        <v>10</v>
      </c>
      <c r="J1095" s="4" t="str">
        <f>IFERROR(__xludf.DUMMYFUNCTION("""COMPUTED_VALUE"""),"Tier 4")</f>
        <v>Tier 4</v>
      </c>
      <c r="K1095" s="4" t="str">
        <f>IFERROR(__xludf.DUMMYFUNCTION("""COMPUTED_VALUE"""),"Active")</f>
        <v>Active</v>
      </c>
      <c r="L1095" s="4" t="str">
        <f>IFERROR(__xludf.DUMMYFUNCTION("""COMPUTED_VALUE"""),"AI Applications")</f>
        <v>AI Applications</v>
      </c>
    </row>
    <row r="1096">
      <c r="A1096" s="4" t="str">
        <f>IFERROR(__xludf.DUMMYFUNCTION("""COMPUTED_VALUE"""),"DME3084")</f>
        <v>DME3084</v>
      </c>
      <c r="B1096" s="4" t="str">
        <f>IFERROR(__xludf.DUMMYFUNCTION("""COMPUTED_VALUE"""),"Kaushal Anil Kshirsagar")</f>
        <v>Kaushal Anil Kshirsagar</v>
      </c>
      <c r="C1096" s="4" t="str">
        <f>IFERROR(__xludf.DUMMYFUNCTION("""COMPUTED_VALUE"""),"kaushal.kshirsagar@onixnet.com")</f>
        <v>kaushal.kshirsagar@onixnet.com</v>
      </c>
      <c r="D1096" s="4" t="str">
        <f>IFERROR(__xludf.DUMMYFUNCTION("""COMPUTED_VALUE"""),"Active")</f>
        <v>Active</v>
      </c>
      <c r="E1096" s="4" t="str">
        <f>IFERROR(__xludf.DUMMYFUNCTION("""COMPUTED_VALUE"""),"Product Engineering")</f>
        <v>Product Engineering</v>
      </c>
      <c r="F1096" s="4" t="str">
        <f>IFERROR(__xludf.DUMMYFUNCTION("""COMPUTED_VALUE"""),"Gayathri Keerthivasagam")</f>
        <v>Gayathri Keerthivasagam</v>
      </c>
      <c r="G1096" s="4" t="str">
        <f>IFERROR(__xludf.DUMMYFUNCTION("""COMPUTED_VALUE"""),"Cluster - Mayur")</f>
        <v>Cluster - Mayur</v>
      </c>
      <c r="H1096" s="4" t="str">
        <f>IFERROR(__xludf.DUMMYFUNCTION("""COMPUTED_VALUE"""),"ONIKKDWQ0")</f>
        <v>ONIKKDWQ0</v>
      </c>
      <c r="I1096" s="5">
        <f>IFERROR(__xludf.DUMMYFUNCTION("""COMPUTED_VALUE"""),5.0)</f>
        <v>5</v>
      </c>
      <c r="J1096" s="4" t="str">
        <f>IFERROR(__xludf.DUMMYFUNCTION("""COMPUTED_VALUE"""),"Tier 4")</f>
        <v>Tier 4</v>
      </c>
      <c r="K1096" s="4" t="str">
        <f>IFERROR(__xludf.DUMMYFUNCTION("""COMPUTED_VALUE"""),"Active")</f>
        <v>Active</v>
      </c>
      <c r="L1096" s="4" t="str">
        <f>IFERROR(__xludf.DUMMYFUNCTION("""COMPUTED_VALUE"""),"AI Applications")</f>
        <v>AI Applications</v>
      </c>
    </row>
    <row r="1097">
      <c r="A1097" s="4" t="str">
        <f>IFERROR(__xludf.DUMMYFUNCTION("""COMPUTED_VALUE"""),"DME3083")</f>
        <v>DME3083</v>
      </c>
      <c r="B1097" s="4" t="str">
        <f>IFERROR(__xludf.DUMMYFUNCTION("""COMPUTED_VALUE"""),"Sai Ram Annavarapu")</f>
        <v>Sai Ram Annavarapu</v>
      </c>
      <c r="C1097" s="4" t="str">
        <f>IFERROR(__xludf.DUMMYFUNCTION("""COMPUTED_VALUE"""),"sai.annavarapu@onixnet.com")</f>
        <v>sai.annavarapu@onixnet.com</v>
      </c>
      <c r="D1097" s="4" t="str">
        <f>IFERROR(__xludf.DUMMYFUNCTION("""COMPUTED_VALUE"""),"Active")</f>
        <v>Active</v>
      </c>
      <c r="E1097" s="4" t="str">
        <f>IFERROR(__xludf.DUMMYFUNCTION("""COMPUTED_VALUE"""),"Delivery Services")</f>
        <v>Delivery Services</v>
      </c>
      <c r="F1097" s="4" t="str">
        <f>IFERROR(__xludf.DUMMYFUNCTION("""COMPUTED_VALUE"""),"Manoj Patil")</f>
        <v>Manoj Patil</v>
      </c>
      <c r="G1097" s="4" t="str">
        <f>IFERROR(__xludf.DUMMYFUNCTION("""COMPUTED_VALUE"""),"Cluster - Shreepad")</f>
        <v>Cluster - Shreepad</v>
      </c>
      <c r="H1097" s="4" t="str">
        <f>IFERROR(__xludf.DUMMYFUNCTION("""COMPUTED_VALUE"""),"ONISALBT9")</f>
        <v>ONISALBT9</v>
      </c>
      <c r="I1097" s="5">
        <f>IFERROR(__xludf.DUMMYFUNCTION("""COMPUTED_VALUE"""),24.0)</f>
        <v>24</v>
      </c>
      <c r="J1097" s="4" t="str">
        <f>IFERROR(__xludf.DUMMYFUNCTION("""COMPUTED_VALUE"""),"Tier 3")</f>
        <v>Tier 3</v>
      </c>
      <c r="K1097" s="4" t="str">
        <f>IFERROR(__xludf.DUMMYFUNCTION("""COMPUTED_VALUE"""),"Active")</f>
        <v>Active</v>
      </c>
      <c r="L1097" s="4" t="str">
        <f>IFERROR(__xludf.DUMMYFUNCTION("""COMPUTED_VALUE"""),"BigQuery")</f>
        <v>BigQuery</v>
      </c>
    </row>
    <row r="1098">
      <c r="A1098" s="4" t="str">
        <f>IFERROR(__xludf.DUMMYFUNCTION("""COMPUTED_VALUE"""),"DME3089")</f>
        <v>DME3089</v>
      </c>
      <c r="B1098" s="4" t="str">
        <f>IFERROR(__xludf.DUMMYFUNCTION("""COMPUTED_VALUE"""),"Nupur Rathi")</f>
        <v>Nupur Rathi</v>
      </c>
      <c r="C1098" s="4" t="str">
        <f>IFERROR(__xludf.DUMMYFUNCTION("""COMPUTED_VALUE"""),"nupur.rathi@onixnet.com")</f>
        <v>nupur.rathi@onixnet.com</v>
      </c>
      <c r="D1098" s="4" t="str">
        <f>IFERROR(__xludf.DUMMYFUNCTION("""COMPUTED_VALUE"""),"Active")</f>
        <v>Active</v>
      </c>
      <c r="E1098" s="4" t="str">
        <f>IFERROR(__xludf.DUMMYFUNCTION("""COMPUTED_VALUE"""),"Delivery Services")</f>
        <v>Delivery Services</v>
      </c>
      <c r="F1098" s="4" t="str">
        <f>IFERROR(__xludf.DUMMYFUNCTION("""COMPUTED_VALUE"""),"Sheela Sawant")</f>
        <v>Sheela Sawant</v>
      </c>
      <c r="G1098" s="4" t="str">
        <f>IFERROR(__xludf.DUMMYFUNCTION("""COMPUTED_VALUE"""),"Cluster - Sachin")</f>
        <v>Cluster - Sachin</v>
      </c>
      <c r="H1098" s="4" t="str">
        <f>IFERROR(__xludf.DUMMYFUNCTION("""COMPUTED_VALUE"""),"ONINROBF5")</f>
        <v>ONINROBF5</v>
      </c>
      <c r="I1098" s="5">
        <f>IFERROR(__xludf.DUMMYFUNCTION("""COMPUTED_VALUE"""),18.0)</f>
        <v>18</v>
      </c>
      <c r="J1098" s="4" t="str">
        <f>IFERROR(__xludf.DUMMYFUNCTION("""COMPUTED_VALUE"""),"Tier 4")</f>
        <v>Tier 4</v>
      </c>
      <c r="K1098" s="4" t="str">
        <f>IFERROR(__xludf.DUMMYFUNCTION("""COMPUTED_VALUE"""),"Active")</f>
        <v>Active</v>
      </c>
      <c r="L1098" s="4" t="str">
        <f>IFERROR(__xludf.DUMMYFUNCTION("""COMPUTED_VALUE"""),"AI Applications")</f>
        <v>AI Applications</v>
      </c>
    </row>
    <row r="1099">
      <c r="A1099" s="4" t="str">
        <f>IFERROR(__xludf.DUMMYFUNCTION("""COMPUTED_VALUE"""),"DME3090")</f>
        <v>DME3090</v>
      </c>
      <c r="B1099" s="4" t="str">
        <f>IFERROR(__xludf.DUMMYFUNCTION("""COMPUTED_VALUE"""),"Aishwarya Pranav Manole")</f>
        <v>Aishwarya Pranav Manole</v>
      </c>
      <c r="C1099" s="4" t="str">
        <f>IFERROR(__xludf.DUMMYFUNCTION("""COMPUTED_VALUE"""),"aishwarya.manole@onixnet.com")</f>
        <v>aishwarya.manole@onixnet.com</v>
      </c>
      <c r="D1099" s="4" t="str">
        <f>IFERROR(__xludf.DUMMYFUNCTION("""COMPUTED_VALUE"""),"Active")</f>
        <v>Active</v>
      </c>
      <c r="E1099" s="4" t="str">
        <f>IFERROR(__xludf.DUMMYFUNCTION("""COMPUTED_VALUE"""),"Delivery Services")</f>
        <v>Delivery Services</v>
      </c>
      <c r="F1099" s="4" t="str">
        <f>IFERROR(__xludf.DUMMYFUNCTION("""COMPUTED_VALUE"""),"Sneha Bhatambrekar")</f>
        <v>Sneha Bhatambrekar</v>
      </c>
      <c r="G1099" s="4" t="str">
        <f>IFERROR(__xludf.DUMMYFUNCTION("""COMPUTED_VALUE"""),"Cluster - Sandeep")</f>
        <v>Cluster - Sandeep</v>
      </c>
      <c r="H1099" s="4" t="str">
        <f>IFERROR(__xludf.DUMMYFUNCTION("""COMPUTED_VALUE"""),"ONIAMDBM3")</f>
        <v>ONIAMDBM3</v>
      </c>
      <c r="I1099" s="5">
        <f>IFERROR(__xludf.DUMMYFUNCTION("""COMPUTED_VALUE"""),15.0)</f>
        <v>15</v>
      </c>
      <c r="J1099" s="4" t="str">
        <f>IFERROR(__xludf.DUMMYFUNCTION("""COMPUTED_VALUE"""),"Tier 4")</f>
        <v>Tier 4</v>
      </c>
      <c r="K1099" s="4" t="str">
        <f>IFERROR(__xludf.DUMMYFUNCTION("""COMPUTED_VALUE"""),"Active")</f>
        <v>Active</v>
      </c>
      <c r="L1099" s="4" t="str">
        <f>IFERROR(__xludf.DUMMYFUNCTION("""COMPUTED_VALUE"""),"BigQuery")</f>
        <v>BigQuery</v>
      </c>
    </row>
    <row r="1100">
      <c r="A1100" s="4" t="str">
        <f>IFERROR(__xludf.DUMMYFUNCTION("""COMPUTED_VALUE"""),"DME3091")</f>
        <v>DME3091</v>
      </c>
      <c r="B1100" s="4" t="str">
        <f>IFERROR(__xludf.DUMMYFUNCTION("""COMPUTED_VALUE"""),"Akshay Vunukonda")</f>
        <v>Akshay Vunukonda</v>
      </c>
      <c r="C1100" s="4" t="str">
        <f>IFERROR(__xludf.DUMMYFUNCTION("""COMPUTED_VALUE"""),"akshay.vunukonda@onixnet.com")</f>
        <v>akshay.vunukonda@onixnet.com</v>
      </c>
      <c r="D1100" s="4" t="str">
        <f>IFERROR(__xludf.DUMMYFUNCTION("""COMPUTED_VALUE"""),"Active")</f>
        <v>Active</v>
      </c>
      <c r="E1100" s="4" t="str">
        <f>IFERROR(__xludf.DUMMYFUNCTION("""COMPUTED_VALUE"""),"Delivery Services")</f>
        <v>Delivery Services</v>
      </c>
      <c r="F1100" s="4" t="str">
        <f>IFERROR(__xludf.DUMMYFUNCTION("""COMPUTED_VALUE"""),"Haroon Azeem")</f>
        <v>Haroon Azeem</v>
      </c>
      <c r="G1100" s="4" t="str">
        <f>IFERROR(__xludf.DUMMYFUNCTION("""COMPUTED_VALUE"""),"Cluster - Shreepad")</f>
        <v>Cluster - Shreepad</v>
      </c>
      <c r="H1100" s="4" t="str">
        <f>IFERROR(__xludf.DUMMYFUNCTION("""COMPUTED_VALUE"""),"ONIAVSUC9")</f>
        <v>ONIAVSUC9</v>
      </c>
      <c r="I1100" s="5">
        <f>IFERROR(__xludf.DUMMYFUNCTION("""COMPUTED_VALUE"""),8.0)</f>
        <v>8</v>
      </c>
      <c r="J1100" s="4" t="str">
        <f>IFERROR(__xludf.DUMMYFUNCTION("""COMPUTED_VALUE"""),"Tier 4")</f>
        <v>Tier 4</v>
      </c>
      <c r="K1100" s="4" t="str">
        <f>IFERROR(__xludf.DUMMYFUNCTION("""COMPUTED_VALUE"""),"Active")</f>
        <v>Active</v>
      </c>
      <c r="L1100" s="4" t="str">
        <f>IFERROR(__xludf.DUMMYFUNCTION("""COMPUTED_VALUE"""),"BigQuery")</f>
        <v>BigQuery</v>
      </c>
    </row>
    <row r="1101">
      <c r="A1101" s="4" t="str">
        <f>IFERROR(__xludf.DUMMYFUNCTION("""COMPUTED_VALUE"""),"DME3093")</f>
        <v>DME3093</v>
      </c>
      <c r="B1101" s="4" t="str">
        <f>IFERROR(__xludf.DUMMYFUNCTION("""COMPUTED_VALUE"""),"Dinesh Reddy Munnangi")</f>
        <v>Dinesh Reddy Munnangi</v>
      </c>
      <c r="C1101" s="4" t="str">
        <f>IFERROR(__xludf.DUMMYFUNCTION("""COMPUTED_VALUE"""),"dinesh.munnangi@onixnet.com")</f>
        <v>dinesh.munnangi@onixnet.com</v>
      </c>
      <c r="D1101" s="4" t="str">
        <f>IFERROR(__xludf.DUMMYFUNCTION("""COMPUTED_VALUE"""),"Active")</f>
        <v>Active</v>
      </c>
      <c r="E1101" s="4" t="str">
        <f>IFERROR(__xludf.DUMMYFUNCTION("""COMPUTED_VALUE"""),"Delivery Services")</f>
        <v>Delivery Services</v>
      </c>
      <c r="F1101" s="4" t="str">
        <f>IFERROR(__xludf.DUMMYFUNCTION("""COMPUTED_VALUE"""),"Deshabhotla Sravan")</f>
        <v>Deshabhotla Sravan</v>
      </c>
      <c r="G1101" s="4" t="str">
        <f>IFERROR(__xludf.DUMMYFUNCTION("""COMPUTED_VALUE"""),"Cluster - Shreepad")</f>
        <v>Cluster - Shreepad</v>
      </c>
      <c r="H1101" s="4" t="str">
        <f>IFERROR(__xludf.DUMMYFUNCTION("""COMPUTED_VALUE"""),"ONIDMRIL4")</f>
        <v>ONIDMRIL4</v>
      </c>
      <c r="I1101" s="5">
        <f>IFERROR(__xludf.DUMMYFUNCTION("""COMPUTED_VALUE"""),0.0)</f>
        <v>0</v>
      </c>
      <c r="J1101" s="4" t="str">
        <f>IFERROR(__xludf.DUMMYFUNCTION("""COMPUTED_VALUE"""),"Tier 4")</f>
        <v>Tier 4</v>
      </c>
      <c r="K1101" s="4" t="str">
        <f>IFERROR(__xludf.DUMMYFUNCTION("""COMPUTED_VALUE"""),"ID Created DRP score 0")</f>
        <v>ID Created DRP score 0</v>
      </c>
      <c r="L1101" s="4"/>
    </row>
    <row r="1102">
      <c r="A1102" s="4" t="str">
        <f>IFERROR(__xludf.DUMMYFUNCTION("""COMPUTED_VALUE"""),"DME3094")</f>
        <v>DME3094</v>
      </c>
      <c r="B1102" s="4" t="str">
        <f>IFERROR(__xludf.DUMMYFUNCTION("""COMPUTED_VALUE"""),"Peramasani Nirmala Devi")</f>
        <v>Peramasani Nirmala Devi</v>
      </c>
      <c r="C1102" s="4" t="str">
        <f>IFERROR(__xludf.DUMMYFUNCTION("""COMPUTED_VALUE"""),"peramasani.nirmala@onixnet.com")</f>
        <v>peramasani.nirmala@onixnet.com</v>
      </c>
      <c r="D1102" s="4" t="str">
        <f>IFERROR(__xludf.DUMMYFUNCTION("""COMPUTED_VALUE"""),"Active")</f>
        <v>Active</v>
      </c>
      <c r="E1102" s="4" t="str">
        <f>IFERROR(__xludf.DUMMYFUNCTION("""COMPUTED_VALUE"""),"Delivery Services")</f>
        <v>Delivery Services</v>
      </c>
      <c r="F1102" s="4" t="str">
        <f>IFERROR(__xludf.DUMMYFUNCTION("""COMPUTED_VALUE"""),"Anitha Kumari M S")</f>
        <v>Anitha Kumari M S</v>
      </c>
      <c r="G1102" s="4" t="str">
        <f>IFERROR(__xludf.DUMMYFUNCTION("""COMPUTED_VALUE"""),"Cluster - Sagar")</f>
        <v>Cluster - Sagar</v>
      </c>
      <c r="H1102" s="4" t="str">
        <f>IFERROR(__xludf.DUMMYFUNCTION("""COMPUTED_VALUE"""),"ONIPNYXU4")</f>
        <v>ONIPNYXU4</v>
      </c>
      <c r="I1102" s="5">
        <f>IFERROR(__xludf.DUMMYFUNCTION("""COMPUTED_VALUE"""),15.0)</f>
        <v>15</v>
      </c>
      <c r="J1102" s="4" t="str">
        <f>IFERROR(__xludf.DUMMYFUNCTION("""COMPUTED_VALUE"""),"Tier 4")</f>
        <v>Tier 4</v>
      </c>
      <c r="K1102" s="4" t="str">
        <f>IFERROR(__xludf.DUMMYFUNCTION("""COMPUTED_VALUE"""),"Active")</f>
        <v>Active</v>
      </c>
      <c r="L1102" s="4" t="str">
        <f>IFERROR(__xludf.DUMMYFUNCTION("""COMPUTED_VALUE"""),"Gemini Enterprise Agent Platform")</f>
        <v>Gemini Enterprise Agent Platform</v>
      </c>
    </row>
    <row r="1103">
      <c r="A1103" s="4" t="str">
        <f>IFERROR(__xludf.DUMMYFUNCTION("""COMPUTED_VALUE"""),"DME3092")</f>
        <v>DME3092</v>
      </c>
      <c r="B1103" s="4" t="str">
        <f>IFERROR(__xludf.DUMMYFUNCTION("""COMPUTED_VALUE"""),"Viraj Bhupendra Nandoskar")</f>
        <v>Viraj Bhupendra Nandoskar</v>
      </c>
      <c r="C1103" s="4" t="str">
        <f>IFERROR(__xludf.DUMMYFUNCTION("""COMPUTED_VALUE"""),"viraj.nandoskar@onixnet.com")</f>
        <v>viraj.nandoskar@onixnet.com</v>
      </c>
      <c r="D1103" s="4" t="str">
        <f>IFERROR(__xludf.DUMMYFUNCTION("""COMPUTED_VALUE"""),"Active")</f>
        <v>Active</v>
      </c>
      <c r="E1103" s="4" t="str">
        <f>IFERROR(__xludf.DUMMYFUNCTION("""COMPUTED_VALUE"""),"Delivery Services")</f>
        <v>Delivery Services</v>
      </c>
      <c r="F1103" s="4" t="str">
        <f>IFERROR(__xludf.DUMMYFUNCTION("""COMPUTED_VALUE"""),"Varun Katyal")</f>
        <v>Varun Katyal</v>
      </c>
      <c r="G1103" s="4" t="str">
        <f>IFERROR(__xludf.DUMMYFUNCTION("""COMPUTED_VALUE"""),"Cluster - Varun")</f>
        <v>Cluster - Varun</v>
      </c>
      <c r="H1103" s="4" t="str">
        <f>IFERROR(__xludf.DUMMYFUNCTION("""COMPUTED_VALUE"""),"ONIVNEPK6")</f>
        <v>ONIVNEPK6</v>
      </c>
      <c r="I1103" s="5">
        <f>IFERROR(__xludf.DUMMYFUNCTION("""COMPUTED_VALUE"""),35.0)</f>
        <v>35</v>
      </c>
      <c r="J1103" s="4" t="str">
        <f>IFERROR(__xludf.DUMMYFUNCTION("""COMPUTED_VALUE"""),"Tier 2")</f>
        <v>Tier 2</v>
      </c>
      <c r="K1103" s="4" t="str">
        <f>IFERROR(__xludf.DUMMYFUNCTION("""COMPUTED_VALUE"""),"Active")</f>
        <v>Active</v>
      </c>
      <c r="L1103" s="4"/>
    </row>
    <row r="1104">
      <c r="A1104" s="4" t="str">
        <f>IFERROR(__xludf.DUMMYFUNCTION("""COMPUTED_VALUE"""),"DME3096")</f>
        <v>DME3096</v>
      </c>
      <c r="B1104" s="4" t="str">
        <f>IFERROR(__xludf.DUMMYFUNCTION("""COMPUTED_VALUE"""),"Balasaheb Munde")</f>
        <v>Balasaheb Munde</v>
      </c>
      <c r="C1104" s="4" t="str">
        <f>IFERROR(__xludf.DUMMYFUNCTION("""COMPUTED_VALUE"""),"balasaheb.munde@onixnet.com")</f>
        <v>balasaheb.munde@onixnet.com</v>
      </c>
      <c r="D1104" s="4" t="str">
        <f>IFERROR(__xludf.DUMMYFUNCTION("""COMPUTED_VALUE"""),"Active")</f>
        <v>Active</v>
      </c>
      <c r="E1104" s="4" t="str">
        <f>IFERROR(__xludf.DUMMYFUNCTION("""COMPUTED_VALUE"""),"Product Engineering")</f>
        <v>Product Engineering</v>
      </c>
      <c r="F1104" s="4" t="str">
        <f>IFERROR(__xludf.DUMMYFUNCTION("""COMPUTED_VALUE"""),"Aayush Sahu")</f>
        <v>Aayush Sahu</v>
      </c>
      <c r="G1104" s="4" t="str">
        <f>IFERROR(__xludf.DUMMYFUNCTION("""COMPUTED_VALUE"""),"Cluster - Mayur")</f>
        <v>Cluster - Mayur</v>
      </c>
      <c r="H1104" s="4" t="str">
        <f>IFERROR(__xludf.DUMMYFUNCTION("""COMPUTED_VALUE"""),"ONIBMISP1")</f>
        <v>ONIBMISP1</v>
      </c>
      <c r="I1104" s="5">
        <f>IFERROR(__xludf.DUMMYFUNCTION("""COMPUTED_VALUE"""),0.0)</f>
        <v>0</v>
      </c>
      <c r="J1104" s="4" t="str">
        <f>IFERROR(__xludf.DUMMYFUNCTION("""COMPUTED_VALUE"""),"Tier 4")</f>
        <v>Tier 4</v>
      </c>
      <c r="K1104" s="4" t="str">
        <f>IFERROR(__xludf.DUMMYFUNCTION("""COMPUTED_VALUE"""),"ID Created DRP score 0")</f>
        <v>ID Created DRP score 0</v>
      </c>
      <c r="L1104" s="4"/>
    </row>
    <row r="1105">
      <c r="A1105" s="4" t="str">
        <f>IFERROR(__xludf.DUMMYFUNCTION("""COMPUTED_VALUE"""),"DME3098")</f>
        <v>DME3098</v>
      </c>
      <c r="B1105" s="4" t="str">
        <f>IFERROR(__xludf.DUMMYFUNCTION("""COMPUTED_VALUE"""),"Sai Divya Behara")</f>
        <v>Sai Divya Behara</v>
      </c>
      <c r="C1105" s="4" t="str">
        <f>IFERROR(__xludf.DUMMYFUNCTION("""COMPUTED_VALUE"""),"divya.behara@onixnet.com")</f>
        <v>divya.behara@onixnet.com</v>
      </c>
      <c r="D1105" s="4" t="str">
        <f>IFERROR(__xludf.DUMMYFUNCTION("""COMPUTED_VALUE"""),"Active")</f>
        <v>Active</v>
      </c>
      <c r="E1105" s="4" t="str">
        <f>IFERROR(__xludf.DUMMYFUNCTION("""COMPUTED_VALUE"""),"Delivery Services")</f>
        <v>Delivery Services</v>
      </c>
      <c r="F1105" s="4" t="str">
        <f>IFERROR(__xludf.DUMMYFUNCTION("""COMPUTED_VALUE"""),"Loya Bhavani")</f>
        <v>Loya Bhavani</v>
      </c>
      <c r="G1105" s="4" t="str">
        <f>IFERROR(__xludf.DUMMYFUNCTION("""COMPUTED_VALUE"""),"Cluster - Shreepad")</f>
        <v>Cluster - Shreepad</v>
      </c>
      <c r="H1105" s="4" t="str">
        <f>IFERROR(__xludf.DUMMYFUNCTION("""COMPUTED_VALUE"""),"ONISBYVJ4")</f>
        <v>ONISBYVJ4</v>
      </c>
      <c r="I1105" s="5">
        <f>IFERROR(__xludf.DUMMYFUNCTION("""COMPUTED_VALUE"""),5.0)</f>
        <v>5</v>
      </c>
      <c r="J1105" s="4" t="str">
        <f>IFERROR(__xludf.DUMMYFUNCTION("""COMPUTED_VALUE"""),"Tier 4")</f>
        <v>Tier 4</v>
      </c>
      <c r="K1105" s="4" t="str">
        <f>IFERROR(__xludf.DUMMYFUNCTION("""COMPUTED_VALUE"""),"Active")</f>
        <v>Active</v>
      </c>
      <c r="L1105" s="4" t="str">
        <f>IFERROR(__xludf.DUMMYFUNCTION("""COMPUTED_VALUE"""),"Gemini Enterprise Agent Platform")</f>
        <v>Gemini Enterprise Agent Platform</v>
      </c>
    </row>
    <row r="1106">
      <c r="A1106" s="4" t="str">
        <f>IFERROR(__xludf.DUMMYFUNCTION("""COMPUTED_VALUE"""),"DME3099")</f>
        <v>DME3099</v>
      </c>
      <c r="B1106" s="4" t="str">
        <f>IFERROR(__xludf.DUMMYFUNCTION("""COMPUTED_VALUE"""),"Sandesh Kurhade")</f>
        <v>Sandesh Kurhade</v>
      </c>
      <c r="C1106" s="4" t="str">
        <f>IFERROR(__xludf.DUMMYFUNCTION("""COMPUTED_VALUE"""),"sandesh.kurhade@onixnet.com")</f>
        <v>sandesh.kurhade@onixnet.com</v>
      </c>
      <c r="D1106" s="4" t="str">
        <f>IFERROR(__xludf.DUMMYFUNCTION("""COMPUTED_VALUE"""),"Active")</f>
        <v>Active</v>
      </c>
      <c r="E1106" s="4" t="str">
        <f>IFERROR(__xludf.DUMMYFUNCTION("""COMPUTED_VALUE"""),"Delivery Services")</f>
        <v>Delivery Services</v>
      </c>
      <c r="F1106" s="4" t="str">
        <f>IFERROR(__xludf.DUMMYFUNCTION("""COMPUTED_VALUE"""),"Vishal Khare")</f>
        <v>Vishal Khare</v>
      </c>
      <c r="G1106" s="4" t="str">
        <f>IFERROR(__xludf.DUMMYFUNCTION("""COMPUTED_VALUE"""),"Cluster - Sagar")</f>
        <v>Cluster - Sagar</v>
      </c>
      <c r="H1106" s="4" t="str">
        <f>IFERROR(__xludf.DUMMYFUNCTION("""COMPUTED_VALUE"""),"ONISKRCY3")</f>
        <v>ONISKRCY3</v>
      </c>
      <c r="I1106" s="5">
        <f>IFERROR(__xludf.DUMMYFUNCTION("""COMPUTED_VALUE"""),9.0)</f>
        <v>9</v>
      </c>
      <c r="J1106" s="4" t="str">
        <f>IFERROR(__xludf.DUMMYFUNCTION("""COMPUTED_VALUE"""),"Tier 4")</f>
        <v>Tier 4</v>
      </c>
      <c r="K1106" s="4" t="str">
        <f>IFERROR(__xludf.DUMMYFUNCTION("""COMPUTED_VALUE"""),"Active")</f>
        <v>Active</v>
      </c>
      <c r="L1106" s="4" t="str">
        <f>IFERROR(__xludf.DUMMYFUNCTION("""COMPUTED_VALUE"""),"Cloud Run")</f>
        <v>Cloud Run</v>
      </c>
    </row>
    <row r="1107">
      <c r="A1107" s="4" t="str">
        <f>IFERROR(__xludf.DUMMYFUNCTION("""COMPUTED_VALUE"""),"DME3101")</f>
        <v>DME3101</v>
      </c>
      <c r="B1107" s="4" t="str">
        <f>IFERROR(__xludf.DUMMYFUNCTION("""COMPUTED_VALUE"""),"Meghana B")</f>
        <v>Meghana B</v>
      </c>
      <c r="C1107" s="4" t="str">
        <f>IFERROR(__xludf.DUMMYFUNCTION("""COMPUTED_VALUE"""),"meghana.b@onixnet.com")</f>
        <v>meghana.b@onixnet.com</v>
      </c>
      <c r="D1107" s="4" t="str">
        <f>IFERROR(__xludf.DUMMYFUNCTION("""COMPUTED_VALUE"""),"Active")</f>
        <v>Active</v>
      </c>
      <c r="E1107" s="4" t="str">
        <f>IFERROR(__xludf.DUMMYFUNCTION("""COMPUTED_VALUE"""),"Delivery Services")</f>
        <v>Delivery Services</v>
      </c>
      <c r="F1107" s="4" t="str">
        <f>IFERROR(__xludf.DUMMYFUNCTION("""COMPUTED_VALUE"""),"Vurimi Vamsi Krishna")</f>
        <v>Vurimi Vamsi Krishna</v>
      </c>
      <c r="G1107" s="4" t="str">
        <f>IFERROR(__xludf.DUMMYFUNCTION("""COMPUTED_VALUE"""),"Cluster - Varun")</f>
        <v>Cluster - Varun</v>
      </c>
      <c r="H1107" s="4" t="str">
        <f>IFERROR(__xludf.DUMMYFUNCTION("""COMPUTED_VALUE"""),"ONIMBEQT0")</f>
        <v>ONIMBEQT0</v>
      </c>
      <c r="I1107" s="5">
        <f>IFERROR(__xludf.DUMMYFUNCTION("""COMPUTED_VALUE"""),39.0)</f>
        <v>39</v>
      </c>
      <c r="J1107" s="4" t="str">
        <f>IFERROR(__xludf.DUMMYFUNCTION("""COMPUTED_VALUE"""),"Tier 2")</f>
        <v>Tier 2</v>
      </c>
      <c r="K1107" s="4" t="str">
        <f>IFERROR(__xludf.DUMMYFUNCTION("""COMPUTED_VALUE"""),"Active")</f>
        <v>Active</v>
      </c>
      <c r="L1107" s="4" t="str">
        <f>IFERROR(__xludf.DUMMYFUNCTION("""COMPUTED_VALUE"""),"Gemini Enterprise Agent Platform")</f>
        <v>Gemini Enterprise Agent Platform</v>
      </c>
    </row>
    <row r="1108">
      <c r="A1108" s="4" t="str">
        <f>IFERROR(__xludf.DUMMYFUNCTION("""COMPUTED_VALUE"""),"DME3102")</f>
        <v>DME3102</v>
      </c>
      <c r="B1108" s="4" t="str">
        <f>IFERROR(__xludf.DUMMYFUNCTION("""COMPUTED_VALUE"""),"Sraboni Gorai")</f>
        <v>Sraboni Gorai</v>
      </c>
      <c r="C1108" s="4" t="str">
        <f>IFERROR(__xludf.DUMMYFUNCTION("""COMPUTED_VALUE"""),"sraboni.gorai@onixnet.com")</f>
        <v>sraboni.gorai@onixnet.com</v>
      </c>
      <c r="D1108" s="4" t="str">
        <f>IFERROR(__xludf.DUMMYFUNCTION("""COMPUTED_VALUE"""),"Active")</f>
        <v>Active</v>
      </c>
      <c r="E1108" s="4" t="str">
        <f>IFERROR(__xludf.DUMMYFUNCTION("""COMPUTED_VALUE"""),"Delivery Services")</f>
        <v>Delivery Services</v>
      </c>
      <c r="F1108" s="4" t="str">
        <f>IFERROR(__xludf.DUMMYFUNCTION("""COMPUTED_VALUE"""),"Mayur Kasar")</f>
        <v>Mayur Kasar</v>
      </c>
      <c r="G1108" s="4" t="str">
        <f>IFERROR(__xludf.DUMMYFUNCTION("""COMPUTED_VALUE"""),"Cluster - Varun")</f>
        <v>Cluster - Varun</v>
      </c>
      <c r="H1108" s="4" t="str">
        <f>IFERROR(__xludf.DUMMYFUNCTION("""COMPUTED_VALUE"""),"ONISGKFW2")</f>
        <v>ONISGKFW2</v>
      </c>
      <c r="I1108" s="5">
        <f>IFERROR(__xludf.DUMMYFUNCTION("""COMPUTED_VALUE"""),85.0)</f>
        <v>85</v>
      </c>
      <c r="J1108" s="4" t="str">
        <f>IFERROR(__xludf.DUMMYFUNCTION("""COMPUTED_VALUE"""),"Tier 1")</f>
        <v>Tier 1</v>
      </c>
      <c r="K1108" s="4" t="str">
        <f>IFERROR(__xludf.DUMMYFUNCTION("""COMPUTED_VALUE"""),"Active")</f>
        <v>Active</v>
      </c>
      <c r="L1108" s="4" t="str">
        <f>IFERROR(__xludf.DUMMYFUNCTION("""COMPUTED_VALUE"""),"Gemini Enterprise Agent Platform")</f>
        <v>Gemini Enterprise Agent Platform</v>
      </c>
    </row>
    <row r="1109">
      <c r="A1109" s="4" t="str">
        <f>IFERROR(__xludf.DUMMYFUNCTION("""COMPUTED_VALUE"""),"DME3106")</f>
        <v>DME3106</v>
      </c>
      <c r="B1109" s="4" t="str">
        <f>IFERROR(__xludf.DUMMYFUNCTION("""COMPUTED_VALUE"""),"Nisha Chandrakant Dhole")</f>
        <v>Nisha Chandrakant Dhole</v>
      </c>
      <c r="C1109" s="4" t="str">
        <f>IFERROR(__xludf.DUMMYFUNCTION("""COMPUTED_VALUE"""),"nisha.dhole@onixnet.com")</f>
        <v>nisha.dhole@onixnet.com</v>
      </c>
      <c r="D1109" s="4" t="str">
        <f>IFERROR(__xludf.DUMMYFUNCTION("""COMPUTED_VALUE"""),"Active")</f>
        <v>Active</v>
      </c>
      <c r="E1109" s="4" t="str">
        <f>IFERROR(__xludf.DUMMYFUNCTION("""COMPUTED_VALUE"""),"Delivery Services")</f>
        <v>Delivery Services</v>
      </c>
      <c r="F1109" s="4" t="str">
        <f>IFERROR(__xludf.DUMMYFUNCTION("""COMPUTED_VALUE"""),"Chinmay Deshpande")</f>
        <v>Chinmay Deshpande</v>
      </c>
      <c r="G1109" s="4" t="str">
        <f>IFERROR(__xludf.DUMMYFUNCTION("""COMPUTED_VALUE"""),"Cluster - Sagar")</f>
        <v>Cluster - Sagar</v>
      </c>
      <c r="H1109" s="4" t="str">
        <f>IFERROR(__xludf.DUMMYFUNCTION("""COMPUTED_VALUE"""),"ONINDVCY8")</f>
        <v>ONINDVCY8</v>
      </c>
      <c r="I1109" s="5">
        <f>IFERROR(__xludf.DUMMYFUNCTION("""COMPUTED_VALUE"""),15.0)</f>
        <v>15</v>
      </c>
      <c r="J1109" s="4" t="str">
        <f>IFERROR(__xludf.DUMMYFUNCTION("""COMPUTED_VALUE"""),"Tier 4")</f>
        <v>Tier 4</v>
      </c>
      <c r="K1109" s="4" t="str">
        <f>IFERROR(__xludf.DUMMYFUNCTION("""COMPUTED_VALUE"""),"Active")</f>
        <v>Active</v>
      </c>
      <c r="L1109" s="4" t="str">
        <f>IFERROR(__xludf.DUMMYFUNCTION("""COMPUTED_VALUE"""),"AI Applications")</f>
        <v>AI Applications</v>
      </c>
    </row>
    <row r="1110">
      <c r="A1110" s="4" t="str">
        <f>IFERROR(__xludf.DUMMYFUNCTION("""COMPUTED_VALUE"""),"DME3107")</f>
        <v>DME3107</v>
      </c>
      <c r="B1110" s="4" t="str">
        <f>IFERROR(__xludf.DUMMYFUNCTION("""COMPUTED_VALUE"""),"Parameshwari S")</f>
        <v>Parameshwari S</v>
      </c>
      <c r="C1110" s="4" t="str">
        <f>IFERROR(__xludf.DUMMYFUNCTION("""COMPUTED_VALUE"""),"parameshwari.s@onixnet.com")</f>
        <v>parameshwari.s@onixnet.com</v>
      </c>
      <c r="D1110" s="4" t="str">
        <f>IFERROR(__xludf.DUMMYFUNCTION("""COMPUTED_VALUE"""),"Active")</f>
        <v>Active</v>
      </c>
      <c r="E1110" s="4" t="str">
        <f>IFERROR(__xludf.DUMMYFUNCTION("""COMPUTED_VALUE"""),"Delivery Services")</f>
        <v>Delivery Services</v>
      </c>
      <c r="F1110" s="4" t="str">
        <f>IFERROR(__xludf.DUMMYFUNCTION("""COMPUTED_VALUE"""),"Akash Choudhari")</f>
        <v>Akash Choudhari</v>
      </c>
      <c r="G1110" s="4" t="str">
        <f>IFERROR(__xludf.DUMMYFUNCTION("""COMPUTED_VALUE"""),"Cluster - Sandeep")</f>
        <v>Cluster - Sandeep</v>
      </c>
      <c r="H1110" s="4" t="str">
        <f>IFERROR(__xludf.DUMMYFUNCTION("""COMPUTED_VALUE"""),"ONIPSVEO6")</f>
        <v>ONIPSVEO6</v>
      </c>
      <c r="I1110" s="5">
        <f>IFERROR(__xludf.DUMMYFUNCTION("""COMPUTED_VALUE"""),29.0)</f>
        <v>29</v>
      </c>
      <c r="J1110" s="4" t="str">
        <f>IFERROR(__xludf.DUMMYFUNCTION("""COMPUTED_VALUE"""),"Tier 3")</f>
        <v>Tier 3</v>
      </c>
      <c r="K1110" s="4" t="str">
        <f>IFERROR(__xludf.DUMMYFUNCTION("""COMPUTED_VALUE"""),"Active")</f>
        <v>Active</v>
      </c>
      <c r="L1110" s="4" t="str">
        <f>IFERROR(__xludf.DUMMYFUNCTION("""COMPUTED_VALUE"""),"GECX - CX Agent Studio")</f>
        <v>GECX - CX Agent Studio</v>
      </c>
    </row>
    <row r="1111">
      <c r="A1111" s="4" t="str">
        <f>IFERROR(__xludf.DUMMYFUNCTION("""COMPUTED_VALUE"""),"DME3110")</f>
        <v>DME3110</v>
      </c>
      <c r="B1111" s="4" t="str">
        <f>IFERROR(__xludf.DUMMYFUNCTION("""COMPUTED_VALUE"""),"Sarthak Kumar Lohani")</f>
        <v>Sarthak Kumar Lohani</v>
      </c>
      <c r="C1111" s="4" t="str">
        <f>IFERROR(__xludf.DUMMYFUNCTION("""COMPUTED_VALUE"""),"sarthak.lohani@onixnet.com")</f>
        <v>sarthak.lohani@onixnet.com</v>
      </c>
      <c r="D1111" s="4" t="str">
        <f>IFERROR(__xludf.DUMMYFUNCTION("""COMPUTED_VALUE"""),"Active")</f>
        <v>Active</v>
      </c>
      <c r="E1111" s="4" t="str">
        <f>IFERROR(__xludf.DUMMYFUNCTION("""COMPUTED_VALUE"""),"Delivery Services")</f>
        <v>Delivery Services</v>
      </c>
      <c r="F1111" s="4" t="str">
        <f>IFERROR(__xludf.DUMMYFUNCTION("""COMPUTED_VALUE"""),"Mangesh Borade")</f>
        <v>Mangesh Borade</v>
      </c>
      <c r="G1111" s="4" t="str">
        <f>IFERROR(__xludf.DUMMYFUNCTION("""COMPUTED_VALUE"""),"Cluster - Devayani")</f>
        <v>Cluster - Devayani</v>
      </c>
      <c r="H1111" s="4" t="str">
        <f>IFERROR(__xludf.DUMMYFUNCTION("""COMPUTED_VALUE"""),"ONISLRPE9")</f>
        <v>ONISLRPE9</v>
      </c>
      <c r="I1111" s="5">
        <f>IFERROR(__xludf.DUMMYFUNCTION("""COMPUTED_VALUE"""),28.0)</f>
        <v>28</v>
      </c>
      <c r="J1111" s="4" t="str">
        <f>IFERROR(__xludf.DUMMYFUNCTION("""COMPUTED_VALUE"""),"Tier 3")</f>
        <v>Tier 3</v>
      </c>
      <c r="K1111" s="4" t="str">
        <f>IFERROR(__xludf.DUMMYFUNCTION("""COMPUTED_VALUE"""),"Active")</f>
        <v>Active</v>
      </c>
      <c r="L1111" s="4" t="str">
        <f>IFERROR(__xludf.DUMMYFUNCTION("""COMPUTED_VALUE"""),"Gemini Enterprise Agent Platform")</f>
        <v>Gemini Enterprise Agent Platform</v>
      </c>
    </row>
    <row r="1112">
      <c r="A1112" s="4" t="str">
        <f>IFERROR(__xludf.DUMMYFUNCTION("""COMPUTED_VALUE"""),"DME3111")</f>
        <v>DME3111</v>
      </c>
      <c r="B1112" s="4" t="str">
        <f>IFERROR(__xludf.DUMMYFUNCTION("""COMPUTED_VALUE"""),"Deepali Satwaji Pandit")</f>
        <v>Deepali Satwaji Pandit</v>
      </c>
      <c r="C1112" s="4" t="str">
        <f>IFERROR(__xludf.DUMMYFUNCTION("""COMPUTED_VALUE"""),"deepali.pandit@onixnet.com")</f>
        <v>deepali.pandit@onixnet.com</v>
      </c>
      <c r="D1112" s="4" t="str">
        <f>IFERROR(__xludf.DUMMYFUNCTION("""COMPUTED_VALUE"""),"Active")</f>
        <v>Active</v>
      </c>
      <c r="E1112" s="4" t="str">
        <f>IFERROR(__xludf.DUMMYFUNCTION("""COMPUTED_VALUE"""),"Delivery Services")</f>
        <v>Delivery Services</v>
      </c>
      <c r="F1112" s="4" t="str">
        <f>IFERROR(__xludf.DUMMYFUNCTION("""COMPUTED_VALUE"""),"Sneha Bhatambrekar")</f>
        <v>Sneha Bhatambrekar</v>
      </c>
      <c r="G1112" s="4" t="str">
        <f>IFERROR(__xludf.DUMMYFUNCTION("""COMPUTED_VALUE"""),"Cluster - Sandeep")</f>
        <v>Cluster - Sandeep</v>
      </c>
      <c r="H1112" s="4" t="str">
        <f>IFERROR(__xludf.DUMMYFUNCTION("""COMPUTED_VALUE"""),"ONIDPTJF6")</f>
        <v>ONIDPTJF6</v>
      </c>
      <c r="I1112" s="5">
        <f>IFERROR(__xludf.DUMMYFUNCTION("""COMPUTED_VALUE"""),10.0)</f>
        <v>10</v>
      </c>
      <c r="J1112" s="4" t="str">
        <f>IFERROR(__xludf.DUMMYFUNCTION("""COMPUTED_VALUE"""),"Tier 4")</f>
        <v>Tier 4</v>
      </c>
      <c r="K1112" s="4" t="str">
        <f>IFERROR(__xludf.DUMMYFUNCTION("""COMPUTED_VALUE"""),"Active")</f>
        <v>Active</v>
      </c>
      <c r="L1112" s="4" t="str">
        <f>IFERROR(__xludf.DUMMYFUNCTION("""COMPUTED_VALUE"""),"AI Applications")</f>
        <v>AI Applications</v>
      </c>
    </row>
    <row r="1113">
      <c r="A1113" s="4" t="str">
        <f>IFERROR(__xludf.DUMMYFUNCTION("""COMPUTED_VALUE"""),"DME3113")</f>
        <v>DME3113</v>
      </c>
      <c r="B1113" s="4" t="str">
        <f>IFERROR(__xludf.DUMMYFUNCTION("""COMPUTED_VALUE"""),"Balaji Rameshrao Gunjal")</f>
        <v>Balaji Rameshrao Gunjal</v>
      </c>
      <c r="C1113" s="4" t="str">
        <f>IFERROR(__xludf.DUMMYFUNCTION("""COMPUTED_VALUE"""),"balaji.gunjal@onixnet.com")</f>
        <v>balaji.gunjal@onixnet.com</v>
      </c>
      <c r="D1113" s="4" t="str">
        <f>IFERROR(__xludf.DUMMYFUNCTION("""COMPUTED_VALUE"""),"Active")</f>
        <v>Active</v>
      </c>
      <c r="E1113" s="4" t="str">
        <f>IFERROR(__xludf.DUMMYFUNCTION("""COMPUTED_VALUE"""),"Delivery Services")</f>
        <v>Delivery Services</v>
      </c>
      <c r="F1113" s="4" t="str">
        <f>IFERROR(__xludf.DUMMYFUNCTION("""COMPUTED_VALUE"""),"Akash Morey")</f>
        <v>Akash Morey</v>
      </c>
      <c r="G1113" s="4" t="str">
        <f>IFERROR(__xludf.DUMMYFUNCTION("""COMPUTED_VALUE"""),"Cluster - Sandeep")</f>
        <v>Cluster - Sandeep</v>
      </c>
      <c r="H1113" s="4" t="str">
        <f>IFERROR(__xludf.DUMMYFUNCTION("""COMPUTED_VALUE"""),"ONIBGSDG4")</f>
        <v>ONIBGSDG4</v>
      </c>
      <c r="I1113" s="5">
        <f>IFERROR(__xludf.DUMMYFUNCTION("""COMPUTED_VALUE"""),5.0)</f>
        <v>5</v>
      </c>
      <c r="J1113" s="4" t="str">
        <f>IFERROR(__xludf.DUMMYFUNCTION("""COMPUTED_VALUE"""),"Tier 4")</f>
        <v>Tier 4</v>
      </c>
      <c r="K1113" s="4" t="str">
        <f>IFERROR(__xludf.DUMMYFUNCTION("""COMPUTED_VALUE"""),"Active")</f>
        <v>Active</v>
      </c>
      <c r="L1113" s="4" t="str">
        <f>IFERROR(__xludf.DUMMYFUNCTION("""COMPUTED_VALUE"""),"AI Applications")</f>
        <v>AI Applications</v>
      </c>
    </row>
    <row r="1114">
      <c r="A1114" s="4" t="str">
        <f>IFERROR(__xludf.DUMMYFUNCTION("""COMPUTED_VALUE"""),"ONIX834")</f>
        <v>ONIX834</v>
      </c>
      <c r="B1114" s="4" t="str">
        <f>IFERROR(__xludf.DUMMYFUNCTION("""COMPUTED_VALUE"""),"Karina Eldredge")</f>
        <v>Karina Eldredge</v>
      </c>
      <c r="C1114" s="4" t="str">
        <f>IFERROR(__xludf.DUMMYFUNCTION("""COMPUTED_VALUE"""),"karina.eldredge@onixnet.com")</f>
        <v>karina.eldredge@onixnet.com</v>
      </c>
      <c r="D1114" s="4" t="str">
        <f>IFERROR(__xludf.DUMMYFUNCTION("""COMPUTED_VALUE"""),"Active")</f>
        <v>Active</v>
      </c>
      <c r="E1114" s="4" t="str">
        <f>IFERROR(__xludf.DUMMYFUNCTION("""COMPUTED_VALUE"""),"Productivity &amp; Change Mgmt")</f>
        <v>Productivity &amp; Change Mgmt</v>
      </c>
      <c r="F1114" s="4" t="str">
        <f>IFERROR(__xludf.DUMMYFUNCTION("""COMPUTED_VALUE"""),"Carol Vaughn")</f>
        <v>Carol Vaughn</v>
      </c>
      <c r="G1114" s="4" t="str">
        <f>IFERROR(__xludf.DUMMYFUNCTION("""COMPUTED_VALUE"""),"Portfolio - Courtney (US East)")</f>
        <v>Portfolio - Courtney (US East)</v>
      </c>
      <c r="H1114" s="4" t="str">
        <f>IFERROR(__xludf.DUMMYFUNCTION("""COMPUTED_VALUE"""),"ONIKEFOC6")</f>
        <v>ONIKEFOC6</v>
      </c>
      <c r="I1114" s="5">
        <f>IFERROR(__xludf.DUMMYFUNCTION("""COMPUTED_VALUE"""),20.0)</f>
        <v>20</v>
      </c>
      <c r="J1114" s="4" t="str">
        <f>IFERROR(__xludf.DUMMYFUNCTION("""COMPUTED_VALUE"""),"Tier 3")</f>
        <v>Tier 3</v>
      </c>
      <c r="K1114" s="4" t="str">
        <f>IFERROR(__xludf.DUMMYFUNCTION("""COMPUTED_VALUE"""),"Active")</f>
        <v>Active</v>
      </c>
      <c r="L1114" s="4" t="str">
        <f>IFERROR(__xludf.DUMMYFUNCTION("""COMPUTED_VALUE"""),"Gemini Enterprise")</f>
        <v>Gemini Enterprise</v>
      </c>
    </row>
    <row r="1115">
      <c r="A1115" s="4" t="str">
        <f>IFERROR(__xludf.DUMMYFUNCTION("""COMPUTED_VALUE"""),"ONIX833")</f>
        <v>ONIX833</v>
      </c>
      <c r="B1115" s="4" t="str">
        <f>IFERROR(__xludf.DUMMYFUNCTION("""COMPUTED_VALUE"""),"Prag Singh")</f>
        <v>Prag Singh</v>
      </c>
      <c r="C1115" s="4" t="str">
        <f>IFERROR(__xludf.DUMMYFUNCTION("""COMPUTED_VALUE"""),"prag.singh@onixnet.com")</f>
        <v>prag.singh@onixnet.com</v>
      </c>
      <c r="D1115" s="4" t="str">
        <f>IFERROR(__xludf.DUMMYFUNCTION("""COMPUTED_VALUE"""),"Active")</f>
        <v>Active</v>
      </c>
      <c r="E1115" s="4" t="str">
        <f>IFERROR(__xludf.DUMMYFUNCTION("""COMPUTED_VALUE"""),"Sales Services")</f>
        <v>Sales Services</v>
      </c>
      <c r="F1115" s="4" t="str">
        <f>IFERROR(__xludf.DUMMYFUNCTION("""COMPUTED_VALUE"""),"Ankur Kashyap")</f>
        <v>Ankur Kashyap</v>
      </c>
      <c r="G1115" s="4" t="str">
        <f>IFERROR(__xludf.DUMMYFUNCTION("""COMPUTED_VALUE"""),"Portfolio - Ankur (Sales)")</f>
        <v>Portfolio - Ankur (Sales)</v>
      </c>
      <c r="H1115" s="4"/>
      <c r="I1115" s="5"/>
      <c r="J1115" s="4"/>
      <c r="K1115" s="4" t="str">
        <f>IFERROR(__xludf.DUMMYFUNCTION("""COMPUTED_VALUE"""),"ID Not Created")</f>
        <v>ID Not Created</v>
      </c>
      <c r="L1115" s="4"/>
    </row>
    <row r="1116">
      <c r="A1116" s="4" t="str">
        <f>IFERROR(__xludf.DUMMYFUNCTION("""COMPUTED_VALUE"""),"ONIX837")</f>
        <v>ONIX837</v>
      </c>
      <c r="B1116" s="4" t="str">
        <f>IFERROR(__xludf.DUMMYFUNCTION("""COMPUTED_VALUE"""),"Swapnil Subhashrao Dak")</f>
        <v>Swapnil Subhashrao Dak</v>
      </c>
      <c r="C1116" s="4" t="str">
        <f>IFERROR(__xludf.DUMMYFUNCTION("""COMPUTED_VALUE"""),"swapnil.dak@onixnet.com")</f>
        <v>swapnil.dak@onixnet.com</v>
      </c>
      <c r="D1116" s="4" t="str">
        <f>IFERROR(__xludf.DUMMYFUNCTION("""COMPUTED_VALUE"""),"Active")</f>
        <v>Active</v>
      </c>
      <c r="E1116" s="4" t="str">
        <f>IFERROR(__xludf.DUMMYFUNCTION("""COMPUTED_VALUE"""),"Delivery")</f>
        <v>Delivery</v>
      </c>
      <c r="F1116" s="4" t="str">
        <f>IFERROR(__xludf.DUMMYFUNCTION("""COMPUTED_VALUE"""),"Anurag Mynam")</f>
        <v>Anurag Mynam</v>
      </c>
      <c r="G1116" s="4" t="str">
        <f>IFERROR(__xludf.DUMMYFUNCTION("""COMPUTED_VALUE"""),"Portfolio - Thomas (AI)")</f>
        <v>Portfolio - Thomas (AI)</v>
      </c>
      <c r="H1116" s="4" t="str">
        <f>IFERROR(__xludf.DUMMYFUNCTION("""COMPUTED_VALUE"""),"ONISDYPU2")</f>
        <v>ONISDYPU2</v>
      </c>
      <c r="I1116" s="5">
        <f>IFERROR(__xludf.DUMMYFUNCTION("""COMPUTED_VALUE"""),19.0)</f>
        <v>19</v>
      </c>
      <c r="J1116" s="4" t="str">
        <f>IFERROR(__xludf.DUMMYFUNCTION("""COMPUTED_VALUE"""),"Tier 4")</f>
        <v>Tier 4</v>
      </c>
      <c r="K1116" s="4" t="str">
        <f>IFERROR(__xludf.DUMMYFUNCTION("""COMPUTED_VALUE"""),"Active")</f>
        <v>Active</v>
      </c>
      <c r="L1116" s="4" t="str">
        <f>IFERROR(__xludf.DUMMYFUNCTION("""COMPUTED_VALUE"""),"AI Applications")</f>
        <v>AI Applications</v>
      </c>
    </row>
    <row r="1117">
      <c r="A1117" s="4" t="str">
        <f>IFERROR(__xludf.DUMMYFUNCTION("""COMPUTED_VALUE"""),"ONIX839")</f>
        <v>ONIX839</v>
      </c>
      <c r="B1117" s="4" t="str">
        <f>IFERROR(__xludf.DUMMYFUNCTION("""COMPUTED_VALUE"""),"Sumedh Wairagade")</f>
        <v>Sumedh Wairagade</v>
      </c>
      <c r="C1117" s="4" t="str">
        <f>IFERROR(__xludf.DUMMYFUNCTION("""COMPUTED_VALUE"""),"sumedh.wairagade@onixnet.us")</f>
        <v>sumedh.wairagade@onixnet.us</v>
      </c>
      <c r="D1117" s="4" t="str">
        <f>IFERROR(__xludf.DUMMYFUNCTION("""COMPUTED_VALUE"""),"Active")</f>
        <v>Active</v>
      </c>
      <c r="E1117" s="4" t="str">
        <f>IFERROR(__xludf.DUMMYFUNCTION("""COMPUTED_VALUE"""),"Delivery")</f>
        <v>Delivery</v>
      </c>
      <c r="F1117" s="4" t="str">
        <f>IFERROR(__xludf.DUMMYFUNCTION("""COMPUTED_VALUE"""),"Joshua Shnider")</f>
        <v>Joshua Shnider</v>
      </c>
      <c r="G1117" s="4" t="str">
        <f>IFERROR(__xludf.DUMMYFUNCTION("""COMPUTED_VALUE"""),"Portfolio - Kanth")</f>
        <v>Portfolio - Kanth</v>
      </c>
      <c r="H1117" s="4" t="str">
        <f>IFERROR(__xludf.DUMMYFUNCTION("""COMPUTED_VALUE"""),"ONISWBCB2")</f>
        <v>ONISWBCB2</v>
      </c>
      <c r="I1117" s="5">
        <f>IFERROR(__xludf.DUMMYFUNCTION("""COMPUTED_VALUE"""),13.0)</f>
        <v>13</v>
      </c>
      <c r="J1117" s="4" t="str">
        <f>IFERROR(__xludf.DUMMYFUNCTION("""COMPUTED_VALUE"""),"Tier 4")</f>
        <v>Tier 4</v>
      </c>
      <c r="K1117" s="4" t="str">
        <f>IFERROR(__xludf.DUMMYFUNCTION("""COMPUTED_VALUE"""),"Active")</f>
        <v>Active</v>
      </c>
      <c r="L1117" s="4" t="str">
        <f>IFERROR(__xludf.DUMMYFUNCTION("""COMPUTED_VALUE"""),"Gemini Enterprise Agent Platform")</f>
        <v>Gemini Enterprise Agent Platform</v>
      </c>
    </row>
    <row r="1118">
      <c r="A1118" s="4" t="str">
        <f>IFERROR(__xludf.DUMMYFUNCTION("""COMPUTED_VALUE"""),"DME3114")</f>
        <v>DME3114</v>
      </c>
      <c r="B1118" s="4" t="str">
        <f>IFERROR(__xludf.DUMMYFUNCTION("""COMPUTED_VALUE"""),"Pavan Kumar Suram")</f>
        <v>Pavan Kumar Suram</v>
      </c>
      <c r="C1118" s="4" t="str">
        <f>IFERROR(__xludf.DUMMYFUNCTION("""COMPUTED_VALUE"""),"pavan.reddy@onixnet.com")</f>
        <v>pavan.reddy@onixnet.com</v>
      </c>
      <c r="D1118" s="4" t="str">
        <f>IFERROR(__xludf.DUMMYFUNCTION("""COMPUTED_VALUE"""),"Active")</f>
        <v>Active</v>
      </c>
      <c r="E1118" s="4" t="str">
        <f>IFERROR(__xludf.DUMMYFUNCTION("""COMPUTED_VALUE"""),"Delivery Services")</f>
        <v>Delivery Services</v>
      </c>
      <c r="F1118" s="4" t="str">
        <f>IFERROR(__xludf.DUMMYFUNCTION("""COMPUTED_VALUE"""),"Vurimi Vamsi Krishna")</f>
        <v>Vurimi Vamsi Krishna</v>
      </c>
      <c r="G1118" s="4" t="str">
        <f>IFERROR(__xludf.DUMMYFUNCTION("""COMPUTED_VALUE"""),"Cluster - Varun")</f>
        <v>Cluster - Varun</v>
      </c>
      <c r="H1118" s="4" t="str">
        <f>IFERROR(__xludf.DUMMYFUNCTION("""COMPUTED_VALUE"""),"ONIPSXTI8")</f>
        <v>ONIPSXTI8</v>
      </c>
      <c r="I1118" s="5">
        <f>IFERROR(__xludf.DUMMYFUNCTION("""COMPUTED_VALUE"""),33.0)</f>
        <v>33</v>
      </c>
      <c r="J1118" s="4" t="str">
        <f>IFERROR(__xludf.DUMMYFUNCTION("""COMPUTED_VALUE"""),"Tier 3")</f>
        <v>Tier 3</v>
      </c>
      <c r="K1118" s="4" t="str">
        <f>IFERROR(__xludf.DUMMYFUNCTION("""COMPUTED_VALUE"""),"Active")</f>
        <v>Active</v>
      </c>
      <c r="L1118" s="4" t="str">
        <f>IFERROR(__xludf.DUMMYFUNCTION("""COMPUTED_VALUE"""),"Gemini Enterprise Agent Platform")</f>
        <v>Gemini Enterprise Agent Platform</v>
      </c>
    </row>
    <row r="1119">
      <c r="A1119" s="4" t="str">
        <f>IFERROR(__xludf.DUMMYFUNCTION("""COMPUTED_VALUE"""),"DME3117")</f>
        <v>DME3117</v>
      </c>
      <c r="B1119" s="4" t="str">
        <f>IFERROR(__xludf.DUMMYFUNCTION("""COMPUTED_VALUE"""),"Ajay Shamrao Umak")</f>
        <v>Ajay Shamrao Umak</v>
      </c>
      <c r="C1119" s="4" t="str">
        <f>IFERROR(__xludf.DUMMYFUNCTION("""COMPUTED_VALUE"""),"ajay.umak@onixnet.com")</f>
        <v>ajay.umak@onixnet.com</v>
      </c>
      <c r="D1119" s="4" t="str">
        <f>IFERROR(__xludf.DUMMYFUNCTION("""COMPUTED_VALUE"""),"Active")</f>
        <v>Active</v>
      </c>
      <c r="E1119" s="4" t="str">
        <f>IFERROR(__xludf.DUMMYFUNCTION("""COMPUTED_VALUE"""),"Delivery Services")</f>
        <v>Delivery Services</v>
      </c>
      <c r="F1119" s="4" t="str">
        <f>IFERROR(__xludf.DUMMYFUNCTION("""COMPUTED_VALUE"""),"Sneha Bhatambrekar")</f>
        <v>Sneha Bhatambrekar</v>
      </c>
      <c r="G1119" s="4" t="str">
        <f>IFERROR(__xludf.DUMMYFUNCTION("""COMPUTED_VALUE"""),"Cluster - Sandeep")</f>
        <v>Cluster - Sandeep</v>
      </c>
      <c r="H1119" s="4" t="str">
        <f>IFERROR(__xludf.DUMMYFUNCTION("""COMPUTED_VALUE"""),"ONIAUPTT4")</f>
        <v>ONIAUPTT4</v>
      </c>
      <c r="I1119" s="5">
        <f>IFERROR(__xludf.DUMMYFUNCTION("""COMPUTED_VALUE"""),14.0)</f>
        <v>14</v>
      </c>
      <c r="J1119" s="4" t="str">
        <f>IFERROR(__xludf.DUMMYFUNCTION("""COMPUTED_VALUE"""),"Tier 4")</f>
        <v>Tier 4</v>
      </c>
      <c r="K1119" s="4" t="str">
        <f>IFERROR(__xludf.DUMMYFUNCTION("""COMPUTED_VALUE"""),"Active")</f>
        <v>Active</v>
      </c>
      <c r="L1119" s="4" t="str">
        <f>IFERROR(__xludf.DUMMYFUNCTION("""COMPUTED_VALUE"""),"AI Applications")</f>
        <v>AI Applications</v>
      </c>
    </row>
    <row r="1120">
      <c r="A1120" s="4" t="str">
        <f>IFERROR(__xludf.DUMMYFUNCTION("""COMPUTED_VALUE"""),"DMC1098")</f>
        <v>DMC1098</v>
      </c>
      <c r="B1120" s="4" t="str">
        <f>IFERROR(__xludf.DUMMYFUNCTION("""COMPUTED_VALUE"""),"Tejas Dodal")</f>
        <v>Tejas Dodal</v>
      </c>
      <c r="C1120" s="4" t="str">
        <f>IFERROR(__xludf.DUMMYFUNCTION("""COMPUTED_VALUE"""),"tejas.dodal@onixnet.us")</f>
        <v>tejas.dodal@onixnet.us</v>
      </c>
      <c r="D1120" s="4" t="str">
        <f>IFERROR(__xludf.DUMMYFUNCTION("""COMPUTED_VALUE"""),"Active")</f>
        <v>Active</v>
      </c>
      <c r="E1120" s="4" t="str">
        <f>IFERROR(__xludf.DUMMYFUNCTION("""COMPUTED_VALUE"""),"Product Engineering")</f>
        <v>Product Engineering</v>
      </c>
      <c r="F1120" s="4" t="str">
        <f>IFERROR(__xludf.DUMMYFUNCTION("""COMPUTED_VALUE"""),"Nikhil Rajendra Patil")</f>
        <v>Nikhil Rajendra Patil</v>
      </c>
      <c r="G1120" s="4" t="str">
        <f>IFERROR(__xludf.DUMMYFUNCTION("""COMPUTED_VALUE"""),"Cluster - Mayur")</f>
        <v>Cluster - Mayur</v>
      </c>
      <c r="H1120" s="4" t="str">
        <f>IFERROR(__xludf.DUMMYFUNCTION("""COMPUTED_VALUE"""),"ONITDAFJ1")</f>
        <v>ONITDAFJ1</v>
      </c>
      <c r="I1120" s="5">
        <f>IFERROR(__xludf.DUMMYFUNCTION("""COMPUTED_VALUE"""),15.0)</f>
        <v>15</v>
      </c>
      <c r="J1120" s="4" t="str">
        <f>IFERROR(__xludf.DUMMYFUNCTION("""COMPUTED_VALUE"""),"Tier 4")</f>
        <v>Tier 4</v>
      </c>
      <c r="K1120" s="4" t="str">
        <f>IFERROR(__xludf.DUMMYFUNCTION("""COMPUTED_VALUE"""),"Active")</f>
        <v>Active</v>
      </c>
      <c r="L1120" s="4" t="str">
        <f>IFERROR(__xludf.DUMMYFUNCTION("""COMPUTED_VALUE"""),"AI Applications")</f>
        <v>AI Applications</v>
      </c>
    </row>
    <row r="1121">
      <c r="A1121" s="4" t="str">
        <f>IFERROR(__xludf.DUMMYFUNCTION("""COMPUTED_VALUE"""),"DME3368")</f>
        <v>DME3368</v>
      </c>
      <c r="B1121" s="4" t="str">
        <f>IFERROR(__xludf.DUMMYFUNCTION("""COMPUTED_VALUE"""),"Pratik Rajesh Chemate")</f>
        <v>Pratik Rajesh Chemate</v>
      </c>
      <c r="C1121" s="4" t="str">
        <f>IFERROR(__xludf.DUMMYFUNCTION("""COMPUTED_VALUE"""),"pratik.chemate@onixnet.com")</f>
        <v>pratik.chemate@onixnet.com</v>
      </c>
      <c r="D1121" s="4" t="str">
        <f>IFERROR(__xludf.DUMMYFUNCTION("""COMPUTED_VALUE"""),"Active")</f>
        <v>Active</v>
      </c>
      <c r="E1121" s="4" t="str">
        <f>IFERROR(__xludf.DUMMYFUNCTION("""COMPUTED_VALUE"""),"Delivery Services")</f>
        <v>Delivery Services</v>
      </c>
      <c r="F1121" s="4" t="str">
        <f>IFERROR(__xludf.DUMMYFUNCTION("""COMPUTED_VALUE"""),"Minal Patil")</f>
        <v>Minal Patil</v>
      </c>
      <c r="G1121" s="4" t="str">
        <f>IFERROR(__xludf.DUMMYFUNCTION("""COMPUTED_VALUE"""),"Cluster - Devayani")</f>
        <v>Cluster - Devayani</v>
      </c>
      <c r="H1121" s="4" t="str">
        <f>IFERROR(__xludf.DUMMYFUNCTION("""COMPUTED_VALUE"""),"ONIPCIJH9")</f>
        <v>ONIPCIJH9</v>
      </c>
      <c r="I1121" s="5">
        <f>IFERROR(__xludf.DUMMYFUNCTION("""COMPUTED_VALUE"""),41.0)</f>
        <v>41</v>
      </c>
      <c r="J1121" s="4" t="str">
        <f>IFERROR(__xludf.DUMMYFUNCTION("""COMPUTED_VALUE"""),"Tier 2")</f>
        <v>Tier 2</v>
      </c>
      <c r="K1121" s="4" t="str">
        <f>IFERROR(__xludf.DUMMYFUNCTION("""COMPUTED_VALUE"""),"Active")</f>
        <v>Active</v>
      </c>
      <c r="L1121" s="4" t="str">
        <f>IFERROR(__xludf.DUMMYFUNCTION("""COMPUTED_VALUE"""),"Gemini Enterprise Agent Platform")</f>
        <v>Gemini Enterprise Agent Platform</v>
      </c>
    </row>
    <row r="1122">
      <c r="A1122" s="4" t="str">
        <f>IFERROR(__xludf.DUMMYFUNCTION("""COMPUTED_VALUE"""),"DME3369")</f>
        <v>DME3369</v>
      </c>
      <c r="B1122" s="4" t="str">
        <f>IFERROR(__xludf.DUMMYFUNCTION("""COMPUTED_VALUE"""),"Jayesh Sunil Nikumbh")</f>
        <v>Jayesh Sunil Nikumbh</v>
      </c>
      <c r="C1122" s="4" t="str">
        <f>IFERROR(__xludf.DUMMYFUNCTION("""COMPUTED_VALUE"""),"jayesh.nikumbh@onixnet.com")</f>
        <v>jayesh.nikumbh@onixnet.com</v>
      </c>
      <c r="D1122" s="4" t="str">
        <f>IFERROR(__xludf.DUMMYFUNCTION("""COMPUTED_VALUE"""),"Active")</f>
        <v>Active</v>
      </c>
      <c r="E1122" s="4" t="str">
        <f>IFERROR(__xludf.DUMMYFUNCTION("""COMPUTED_VALUE"""),"Delivery Services")</f>
        <v>Delivery Services</v>
      </c>
      <c r="F1122" s="4" t="str">
        <f>IFERROR(__xludf.DUMMYFUNCTION("""COMPUTED_VALUE"""),"Minal Patil")</f>
        <v>Minal Patil</v>
      </c>
      <c r="G1122" s="4" t="str">
        <f>IFERROR(__xludf.DUMMYFUNCTION("""COMPUTED_VALUE"""),"Cluster - Devayani")</f>
        <v>Cluster - Devayani</v>
      </c>
      <c r="H1122" s="4" t="str">
        <f>IFERROR(__xludf.DUMMYFUNCTION("""COMPUTED_VALUE"""),"ONIJNXWI2")</f>
        <v>ONIJNXWI2</v>
      </c>
      <c r="I1122" s="5">
        <f>IFERROR(__xludf.DUMMYFUNCTION("""COMPUTED_VALUE"""),51.0)</f>
        <v>51</v>
      </c>
      <c r="J1122" s="4" t="str">
        <f>IFERROR(__xludf.DUMMYFUNCTION("""COMPUTED_VALUE"""),"Tier 1")</f>
        <v>Tier 1</v>
      </c>
      <c r="K1122" s="4" t="str">
        <f>IFERROR(__xludf.DUMMYFUNCTION("""COMPUTED_VALUE"""),"Active")</f>
        <v>Active</v>
      </c>
      <c r="L1122" s="4" t="str">
        <f>IFERROR(__xludf.DUMMYFUNCTION("""COMPUTED_VALUE"""),"Gemini Enterprise Agent Platform")</f>
        <v>Gemini Enterprise Agent Platform</v>
      </c>
    </row>
    <row r="1123">
      <c r="A1123" s="4" t="str">
        <f>IFERROR(__xludf.DUMMYFUNCTION("""COMPUTED_VALUE"""),"DME3119")</f>
        <v>DME3119</v>
      </c>
      <c r="B1123" s="4" t="str">
        <f>IFERROR(__xludf.DUMMYFUNCTION("""COMPUTED_VALUE"""),"Mohit Matte")</f>
        <v>Mohit Matte</v>
      </c>
      <c r="C1123" s="4" t="str">
        <f>IFERROR(__xludf.DUMMYFUNCTION("""COMPUTED_VALUE"""),"mohit.matte@onixnet.com")</f>
        <v>mohit.matte@onixnet.com</v>
      </c>
      <c r="D1123" s="4" t="str">
        <f>IFERROR(__xludf.DUMMYFUNCTION("""COMPUTED_VALUE"""),"Active")</f>
        <v>Active</v>
      </c>
      <c r="E1123" s="4" t="str">
        <f>IFERROR(__xludf.DUMMYFUNCTION("""COMPUTED_VALUE"""),"Delivery Services")</f>
        <v>Delivery Services</v>
      </c>
      <c r="F1123" s="4" t="str">
        <f>IFERROR(__xludf.DUMMYFUNCTION("""COMPUTED_VALUE"""),"Mangesh Borade")</f>
        <v>Mangesh Borade</v>
      </c>
      <c r="G1123" s="4" t="str">
        <f>IFERROR(__xludf.DUMMYFUNCTION("""COMPUTED_VALUE"""),"Cluster - Devayani")</f>
        <v>Cluster - Devayani</v>
      </c>
      <c r="H1123" s="4" t="str">
        <f>IFERROR(__xludf.DUMMYFUNCTION("""COMPUTED_VALUE"""),"ONIMMVWQ3")</f>
        <v>ONIMMVWQ3</v>
      </c>
      <c r="I1123" s="5">
        <f>IFERROR(__xludf.DUMMYFUNCTION("""COMPUTED_VALUE"""),58.0)</f>
        <v>58</v>
      </c>
      <c r="J1123" s="4" t="str">
        <f>IFERROR(__xludf.DUMMYFUNCTION("""COMPUTED_VALUE"""),"Tier 1")</f>
        <v>Tier 1</v>
      </c>
      <c r="K1123" s="4" t="str">
        <f>IFERROR(__xludf.DUMMYFUNCTION("""COMPUTED_VALUE"""),"Active")</f>
        <v>Active</v>
      </c>
      <c r="L1123" s="4" t="str">
        <f>IFERROR(__xludf.DUMMYFUNCTION("""COMPUTED_VALUE"""),"Gemini Enterprise Agent Platform")</f>
        <v>Gemini Enterprise Agent Platform</v>
      </c>
    </row>
    <row r="1124">
      <c r="A1124" s="4" t="str">
        <f>IFERROR(__xludf.DUMMYFUNCTION("""COMPUTED_VALUE"""),"DME3120")</f>
        <v>DME3120</v>
      </c>
      <c r="B1124" s="4" t="str">
        <f>IFERROR(__xludf.DUMMYFUNCTION("""COMPUTED_VALUE"""),"Ashok Parashar")</f>
        <v>Ashok Parashar</v>
      </c>
      <c r="C1124" s="4" t="str">
        <f>IFERROR(__xludf.DUMMYFUNCTION("""COMPUTED_VALUE"""),"ashok.parashar@onixnet.com")</f>
        <v>ashok.parashar@onixnet.com</v>
      </c>
      <c r="D1124" s="4" t="str">
        <f>IFERROR(__xludf.DUMMYFUNCTION("""COMPUTED_VALUE"""),"Active")</f>
        <v>Active</v>
      </c>
      <c r="E1124" s="4" t="str">
        <f>IFERROR(__xludf.DUMMYFUNCTION("""COMPUTED_VALUE"""),"Delivery Services")</f>
        <v>Delivery Services</v>
      </c>
      <c r="F1124" s="4" t="str">
        <f>IFERROR(__xludf.DUMMYFUNCTION("""COMPUTED_VALUE"""),"Sneha Bhatambrekar")</f>
        <v>Sneha Bhatambrekar</v>
      </c>
      <c r="G1124" s="4" t="str">
        <f>IFERROR(__xludf.DUMMYFUNCTION("""COMPUTED_VALUE"""),"Cluster - Sandeep")</f>
        <v>Cluster - Sandeep</v>
      </c>
      <c r="H1124" s="4" t="str">
        <f>IFERROR(__xludf.DUMMYFUNCTION("""COMPUTED_VALUE"""),"ONIAPLOC0")</f>
        <v>ONIAPLOC0</v>
      </c>
      <c r="I1124" s="5">
        <f>IFERROR(__xludf.DUMMYFUNCTION("""COMPUTED_VALUE"""),11.0)</f>
        <v>11</v>
      </c>
      <c r="J1124" s="4" t="str">
        <f>IFERROR(__xludf.DUMMYFUNCTION("""COMPUTED_VALUE"""),"Tier 4")</f>
        <v>Tier 4</v>
      </c>
      <c r="K1124" s="4" t="str">
        <f>IFERROR(__xludf.DUMMYFUNCTION("""COMPUTED_VALUE"""),"Active")</f>
        <v>Active</v>
      </c>
      <c r="L1124" s="4" t="str">
        <f>IFERROR(__xludf.DUMMYFUNCTION("""COMPUTED_VALUE"""),"Gemini Enterprise Agent Platform")</f>
        <v>Gemini Enterprise Agent Platform</v>
      </c>
    </row>
    <row r="1125">
      <c r="A1125" s="4" t="str">
        <f>IFERROR(__xludf.DUMMYFUNCTION("""COMPUTED_VALUE"""),"DME3121")</f>
        <v>DME3121</v>
      </c>
      <c r="B1125" s="4" t="str">
        <f>IFERROR(__xludf.DUMMYFUNCTION("""COMPUTED_VALUE"""),"Isha Goyal")</f>
        <v>Isha Goyal</v>
      </c>
      <c r="C1125" s="4" t="str">
        <f>IFERROR(__xludf.DUMMYFUNCTION("""COMPUTED_VALUE"""),"isha.goyal@onixnet.com")</f>
        <v>isha.goyal@onixnet.com</v>
      </c>
      <c r="D1125" s="4" t="str">
        <f>IFERROR(__xludf.DUMMYFUNCTION("""COMPUTED_VALUE"""),"Active")</f>
        <v>Active</v>
      </c>
      <c r="E1125" s="4" t="str">
        <f>IFERROR(__xludf.DUMMYFUNCTION("""COMPUTED_VALUE"""),"Product Engineering")</f>
        <v>Product Engineering</v>
      </c>
      <c r="F1125" s="4" t="str">
        <f>IFERROR(__xludf.DUMMYFUNCTION("""COMPUTED_VALUE"""),"Sajid Patel")</f>
        <v>Sajid Patel</v>
      </c>
      <c r="G1125" s="4" t="str">
        <f>IFERROR(__xludf.DUMMYFUNCTION("""COMPUTED_VALUE"""),"Cluster - Mayur")</f>
        <v>Cluster - Mayur</v>
      </c>
      <c r="H1125" s="4" t="str">
        <f>IFERROR(__xludf.DUMMYFUNCTION("""COMPUTED_VALUE"""),"ONIIGSOT3")</f>
        <v>ONIIGSOT3</v>
      </c>
      <c r="I1125" s="5">
        <f>IFERROR(__xludf.DUMMYFUNCTION("""COMPUTED_VALUE"""),15.0)</f>
        <v>15</v>
      </c>
      <c r="J1125" s="4" t="str">
        <f>IFERROR(__xludf.DUMMYFUNCTION("""COMPUTED_VALUE"""),"Tier 4")</f>
        <v>Tier 4</v>
      </c>
      <c r="K1125" s="4" t="str">
        <f>IFERROR(__xludf.DUMMYFUNCTION("""COMPUTED_VALUE"""),"Active")</f>
        <v>Active</v>
      </c>
      <c r="L1125" s="4" t="str">
        <f>IFERROR(__xludf.DUMMYFUNCTION("""COMPUTED_VALUE"""),"Gemini Enterprise Agent Platform")</f>
        <v>Gemini Enterprise Agent Platform</v>
      </c>
    </row>
    <row r="1126">
      <c r="A1126" s="4" t="str">
        <f>IFERROR(__xludf.DUMMYFUNCTION("""COMPUTED_VALUE"""),"DME3122")</f>
        <v>DME3122</v>
      </c>
      <c r="B1126" s="4" t="str">
        <f>IFERROR(__xludf.DUMMYFUNCTION("""COMPUTED_VALUE"""),"Aman Abdul Nabi")</f>
        <v>Aman Abdul Nabi</v>
      </c>
      <c r="C1126" s="4" t="str">
        <f>IFERROR(__xludf.DUMMYFUNCTION("""COMPUTED_VALUE"""),"aman.nabi@onixnet.com")</f>
        <v>aman.nabi@onixnet.com</v>
      </c>
      <c r="D1126" s="4" t="str">
        <f>IFERROR(__xludf.DUMMYFUNCTION("""COMPUTED_VALUE"""),"Active")</f>
        <v>Active</v>
      </c>
      <c r="E1126" s="4" t="str">
        <f>IFERROR(__xludf.DUMMYFUNCTION("""COMPUTED_VALUE"""),"Product Engineering")</f>
        <v>Product Engineering</v>
      </c>
      <c r="F1126" s="4" t="str">
        <f>IFERROR(__xludf.DUMMYFUNCTION("""COMPUTED_VALUE"""),"Kamlesh Kumar")</f>
        <v>Kamlesh Kumar</v>
      </c>
      <c r="G1126" s="4" t="str">
        <f>IFERROR(__xludf.DUMMYFUNCTION("""COMPUTED_VALUE"""),"Cluster - Mayur")</f>
        <v>Cluster - Mayur</v>
      </c>
      <c r="H1126" s="4" t="str">
        <f>IFERROR(__xludf.DUMMYFUNCTION("""COMPUTED_VALUE"""),"ONIANMXZ5")</f>
        <v>ONIANMXZ5</v>
      </c>
      <c r="I1126" s="5">
        <f>IFERROR(__xludf.DUMMYFUNCTION("""COMPUTED_VALUE"""),10.0)</f>
        <v>10</v>
      </c>
      <c r="J1126" s="4" t="str">
        <f>IFERROR(__xludf.DUMMYFUNCTION("""COMPUTED_VALUE"""),"Tier 4")</f>
        <v>Tier 4</v>
      </c>
      <c r="K1126" s="4" t="str">
        <f>IFERROR(__xludf.DUMMYFUNCTION("""COMPUTED_VALUE"""),"Active")</f>
        <v>Active</v>
      </c>
      <c r="L1126" s="4" t="str">
        <f>IFERROR(__xludf.DUMMYFUNCTION("""COMPUTED_VALUE"""),"AI Applications")</f>
        <v>AI Applications</v>
      </c>
    </row>
    <row r="1127">
      <c r="A1127" s="4" t="str">
        <f>IFERROR(__xludf.DUMMYFUNCTION("""COMPUTED_VALUE"""),"DME3123")</f>
        <v>DME3123</v>
      </c>
      <c r="B1127" s="4" t="str">
        <f>IFERROR(__xludf.DUMMYFUNCTION("""COMPUTED_VALUE"""),"Bhakti Yogesh Aher")</f>
        <v>Bhakti Yogesh Aher</v>
      </c>
      <c r="C1127" s="4" t="str">
        <f>IFERROR(__xludf.DUMMYFUNCTION("""COMPUTED_VALUE"""),"bhakti.aher@onixnet.com")</f>
        <v>bhakti.aher@onixnet.com</v>
      </c>
      <c r="D1127" s="4" t="str">
        <f>IFERROR(__xludf.DUMMYFUNCTION("""COMPUTED_VALUE"""),"Active")</f>
        <v>Active</v>
      </c>
      <c r="E1127" s="4" t="str">
        <f>IFERROR(__xludf.DUMMYFUNCTION("""COMPUTED_VALUE"""),"Product Engineering")</f>
        <v>Product Engineering</v>
      </c>
      <c r="F1127" s="4" t="str">
        <f>IFERROR(__xludf.DUMMYFUNCTION("""COMPUTED_VALUE"""),"Kamlesh Kumar")</f>
        <v>Kamlesh Kumar</v>
      </c>
      <c r="G1127" s="4" t="str">
        <f>IFERROR(__xludf.DUMMYFUNCTION("""COMPUTED_VALUE"""),"Cluster - Mayur")</f>
        <v>Cluster - Mayur</v>
      </c>
      <c r="H1127" s="4" t="str">
        <f>IFERROR(__xludf.DUMMYFUNCTION("""COMPUTED_VALUE"""),"ONIBAXUR6")</f>
        <v>ONIBAXUR6</v>
      </c>
      <c r="I1127" s="5">
        <f>IFERROR(__xludf.DUMMYFUNCTION("""COMPUTED_VALUE"""),0.0)</f>
        <v>0</v>
      </c>
      <c r="J1127" s="4" t="str">
        <f>IFERROR(__xludf.DUMMYFUNCTION("""COMPUTED_VALUE"""),"Tier 4")</f>
        <v>Tier 4</v>
      </c>
      <c r="K1127" s="4" t="str">
        <f>IFERROR(__xludf.DUMMYFUNCTION("""COMPUTED_VALUE"""),"ID Created DRP score 0")</f>
        <v>ID Created DRP score 0</v>
      </c>
      <c r="L1127" s="4"/>
    </row>
    <row r="1128">
      <c r="A1128" s="4" t="str">
        <f>IFERROR(__xludf.DUMMYFUNCTION("""COMPUTED_VALUE"""),"DME3124")</f>
        <v>DME3124</v>
      </c>
      <c r="B1128" s="4" t="str">
        <f>IFERROR(__xludf.DUMMYFUNCTION("""COMPUTED_VALUE"""),"Talha Dadarkar")</f>
        <v>Talha Dadarkar</v>
      </c>
      <c r="C1128" s="4" t="str">
        <f>IFERROR(__xludf.DUMMYFUNCTION("""COMPUTED_VALUE"""),"talha.dadarkar@onixnet.com")</f>
        <v>talha.dadarkar@onixnet.com</v>
      </c>
      <c r="D1128" s="4" t="str">
        <f>IFERROR(__xludf.DUMMYFUNCTION("""COMPUTED_VALUE"""),"Active")</f>
        <v>Active</v>
      </c>
      <c r="E1128" s="4" t="str">
        <f>IFERROR(__xludf.DUMMYFUNCTION("""COMPUTED_VALUE"""),"Delivery Services")</f>
        <v>Delivery Services</v>
      </c>
      <c r="F1128" s="4" t="str">
        <f>IFERROR(__xludf.DUMMYFUNCTION("""COMPUTED_VALUE"""),"Noorulla Shaik")</f>
        <v>Noorulla Shaik</v>
      </c>
      <c r="G1128" s="4" t="str">
        <f>IFERROR(__xludf.DUMMYFUNCTION("""COMPUTED_VALUE"""),"Cluster - Kanhaiya")</f>
        <v>Cluster - Kanhaiya</v>
      </c>
      <c r="H1128" s="4" t="str">
        <f>IFERROR(__xludf.DUMMYFUNCTION("""COMPUTED_VALUE"""),"ONITDRWL4")</f>
        <v>ONITDRWL4</v>
      </c>
      <c r="I1128" s="5">
        <f>IFERROR(__xludf.DUMMYFUNCTION("""COMPUTED_VALUE"""),11.0)</f>
        <v>11</v>
      </c>
      <c r="J1128" s="4" t="str">
        <f>IFERROR(__xludf.DUMMYFUNCTION("""COMPUTED_VALUE"""),"Tier 4")</f>
        <v>Tier 4</v>
      </c>
      <c r="K1128" s="4" t="str">
        <f>IFERROR(__xludf.DUMMYFUNCTION("""COMPUTED_VALUE"""),"Active")</f>
        <v>Active</v>
      </c>
      <c r="L1128" s="4" t="str">
        <f>IFERROR(__xludf.DUMMYFUNCTION("""COMPUTED_VALUE"""),"AI Applications")</f>
        <v>AI Applications</v>
      </c>
    </row>
    <row r="1129">
      <c r="A1129" s="4" t="str">
        <f>IFERROR(__xludf.DUMMYFUNCTION("""COMPUTED_VALUE"""),"DME3125")</f>
        <v>DME3125</v>
      </c>
      <c r="B1129" s="4" t="str">
        <f>IFERROR(__xludf.DUMMYFUNCTION("""COMPUTED_VALUE"""),"Priyanka Suraj Parab")</f>
        <v>Priyanka Suraj Parab</v>
      </c>
      <c r="C1129" s="4" t="str">
        <f>IFERROR(__xludf.DUMMYFUNCTION("""COMPUTED_VALUE"""),"priyanka.parab@onixnet.com")</f>
        <v>priyanka.parab@onixnet.com</v>
      </c>
      <c r="D1129" s="4" t="str">
        <f>IFERROR(__xludf.DUMMYFUNCTION("""COMPUTED_VALUE"""),"Active")</f>
        <v>Active</v>
      </c>
      <c r="E1129" s="4" t="str">
        <f>IFERROR(__xludf.DUMMYFUNCTION("""COMPUTED_VALUE"""),"Delivery Services")</f>
        <v>Delivery Services</v>
      </c>
      <c r="F1129" s="4" t="str">
        <f>IFERROR(__xludf.DUMMYFUNCTION("""COMPUTED_VALUE"""),"Chinmay Deshpande")</f>
        <v>Chinmay Deshpande</v>
      </c>
      <c r="G1129" s="4" t="str">
        <f>IFERROR(__xludf.DUMMYFUNCTION("""COMPUTED_VALUE"""),"Cluster - Sagar")</f>
        <v>Cluster - Sagar</v>
      </c>
      <c r="H1129" s="4" t="str">
        <f>IFERROR(__xludf.DUMMYFUNCTION("""COMPUTED_VALUE"""),"ONIPPZNZ4")</f>
        <v>ONIPPZNZ4</v>
      </c>
      <c r="I1129" s="5">
        <f>IFERROR(__xludf.DUMMYFUNCTION("""COMPUTED_VALUE"""),6.0)</f>
        <v>6</v>
      </c>
      <c r="J1129" s="4" t="str">
        <f>IFERROR(__xludf.DUMMYFUNCTION("""COMPUTED_VALUE"""),"Tier 4")</f>
        <v>Tier 4</v>
      </c>
      <c r="K1129" s="4" t="str">
        <f>IFERROR(__xludf.DUMMYFUNCTION("""COMPUTED_VALUE"""),"Active")</f>
        <v>Active</v>
      </c>
      <c r="L1129" s="4" t="str">
        <f>IFERROR(__xludf.DUMMYFUNCTION("""COMPUTED_VALUE"""),"Gemini Enterprise Agent Platform")</f>
        <v>Gemini Enterprise Agent Platform</v>
      </c>
    </row>
    <row r="1130">
      <c r="A1130" s="4" t="str">
        <f>IFERROR(__xludf.DUMMYFUNCTION("""COMPUTED_VALUE"""),"DME3126")</f>
        <v>DME3126</v>
      </c>
      <c r="B1130" s="4" t="str">
        <f>IFERROR(__xludf.DUMMYFUNCTION("""COMPUTED_VALUE"""),"Kajal Gahlyan")</f>
        <v>Kajal Gahlyan</v>
      </c>
      <c r="C1130" s="4" t="str">
        <f>IFERROR(__xludf.DUMMYFUNCTION("""COMPUTED_VALUE"""),"kajal.g@onixnet.com")</f>
        <v>kajal.g@onixnet.com</v>
      </c>
      <c r="D1130" s="4" t="str">
        <f>IFERROR(__xludf.DUMMYFUNCTION("""COMPUTED_VALUE"""),"Active")</f>
        <v>Active</v>
      </c>
      <c r="E1130" s="4" t="str">
        <f>IFERROR(__xludf.DUMMYFUNCTION("""COMPUTED_VALUE"""),"Product Engineering")</f>
        <v>Product Engineering</v>
      </c>
      <c r="F1130" s="4" t="str">
        <f>IFERROR(__xludf.DUMMYFUNCTION("""COMPUTED_VALUE"""),"Sajid Patel")</f>
        <v>Sajid Patel</v>
      </c>
      <c r="G1130" s="4" t="str">
        <f>IFERROR(__xludf.DUMMYFUNCTION("""COMPUTED_VALUE"""),"Cluster - Mayur")</f>
        <v>Cluster - Mayur</v>
      </c>
      <c r="H1130" s="4" t="str">
        <f>IFERROR(__xludf.DUMMYFUNCTION("""COMPUTED_VALUE"""),"ONIKGEMJ9")</f>
        <v>ONIKGEMJ9</v>
      </c>
      <c r="I1130" s="5">
        <f>IFERROR(__xludf.DUMMYFUNCTION("""COMPUTED_VALUE"""),15.0)</f>
        <v>15</v>
      </c>
      <c r="J1130" s="4" t="str">
        <f>IFERROR(__xludf.DUMMYFUNCTION("""COMPUTED_VALUE"""),"Tier 4")</f>
        <v>Tier 4</v>
      </c>
      <c r="K1130" s="4" t="str">
        <f>IFERROR(__xludf.DUMMYFUNCTION("""COMPUTED_VALUE"""),"Active")</f>
        <v>Active</v>
      </c>
      <c r="L1130" s="4" t="str">
        <f>IFERROR(__xludf.DUMMYFUNCTION("""COMPUTED_VALUE"""),"AI Applications")</f>
        <v>AI Applications</v>
      </c>
    </row>
    <row r="1131">
      <c r="A1131" s="4" t="str">
        <f>IFERROR(__xludf.DUMMYFUNCTION("""COMPUTED_VALUE"""),"DME3128")</f>
        <v>DME3128</v>
      </c>
      <c r="B1131" s="4" t="str">
        <f>IFERROR(__xludf.DUMMYFUNCTION("""COMPUTED_VALUE"""),"Amit Khole")</f>
        <v>Amit Khole</v>
      </c>
      <c r="C1131" s="4" t="str">
        <f>IFERROR(__xludf.DUMMYFUNCTION("""COMPUTED_VALUE"""),"amit.khole@onixnet.com")</f>
        <v>amit.khole@onixnet.com</v>
      </c>
      <c r="D1131" s="4" t="str">
        <f>IFERROR(__xludf.DUMMYFUNCTION("""COMPUTED_VALUE"""),"Active")</f>
        <v>Active</v>
      </c>
      <c r="E1131" s="4" t="str">
        <f>IFERROR(__xludf.DUMMYFUNCTION("""COMPUTED_VALUE"""),"Product Engineering")</f>
        <v>Product Engineering</v>
      </c>
      <c r="F1131" s="4" t="str">
        <f>IFERROR(__xludf.DUMMYFUNCTION("""COMPUTED_VALUE"""),"Venkat Shivkumar")</f>
        <v>Venkat Shivkumar</v>
      </c>
      <c r="G1131" s="4" t="str">
        <f>IFERROR(__xludf.DUMMYFUNCTION("""COMPUTED_VALUE"""),"Cluster - Mayur")</f>
        <v>Cluster - Mayur</v>
      </c>
      <c r="H1131" s="4" t="str">
        <f>IFERROR(__xludf.DUMMYFUNCTION("""COMPUTED_VALUE"""),"ONIAKDTR8")</f>
        <v>ONIAKDTR8</v>
      </c>
      <c r="I1131" s="5">
        <f>IFERROR(__xludf.DUMMYFUNCTION("""COMPUTED_VALUE"""),16.0)</f>
        <v>16</v>
      </c>
      <c r="J1131" s="4" t="str">
        <f>IFERROR(__xludf.DUMMYFUNCTION("""COMPUTED_VALUE"""),"Tier 4")</f>
        <v>Tier 4</v>
      </c>
      <c r="K1131" s="4" t="str">
        <f>IFERROR(__xludf.DUMMYFUNCTION("""COMPUTED_VALUE"""),"Active")</f>
        <v>Active</v>
      </c>
      <c r="L1131" s="4" t="str">
        <f>IFERROR(__xludf.DUMMYFUNCTION("""COMPUTED_VALUE"""),"Gemini Enterprise Agent Platform")</f>
        <v>Gemini Enterprise Agent Platform</v>
      </c>
    </row>
    <row r="1132">
      <c r="A1132" s="4" t="str">
        <f>IFERROR(__xludf.DUMMYFUNCTION("""COMPUTED_VALUE"""),"DME3127")</f>
        <v>DME3127</v>
      </c>
      <c r="B1132" s="4" t="str">
        <f>IFERROR(__xludf.DUMMYFUNCTION("""COMPUTED_VALUE"""),"Gouse Basha Shaik")</f>
        <v>Gouse Basha Shaik</v>
      </c>
      <c r="C1132" s="4" t="str">
        <f>IFERROR(__xludf.DUMMYFUNCTION("""COMPUTED_VALUE"""),"gouse.shaik@onixnet.com")</f>
        <v>gouse.shaik@onixnet.com</v>
      </c>
      <c r="D1132" s="4" t="str">
        <f>IFERROR(__xludf.DUMMYFUNCTION("""COMPUTED_VALUE"""),"Active")</f>
        <v>Active</v>
      </c>
      <c r="E1132" s="4" t="str">
        <f>IFERROR(__xludf.DUMMYFUNCTION("""COMPUTED_VALUE"""),"Delivery Services")</f>
        <v>Delivery Services</v>
      </c>
      <c r="F1132" s="4" t="str">
        <f>IFERROR(__xludf.DUMMYFUNCTION("""COMPUTED_VALUE"""),"Chetana Hande")</f>
        <v>Chetana Hande</v>
      </c>
      <c r="G1132" s="4" t="str">
        <f>IFERROR(__xludf.DUMMYFUNCTION("""COMPUTED_VALUE"""),"Cluster - Sagar")</f>
        <v>Cluster - Sagar</v>
      </c>
      <c r="H1132" s="4" t="str">
        <f>IFERROR(__xludf.DUMMYFUNCTION("""COMPUTED_VALUE"""),"ONIGSHNB5")</f>
        <v>ONIGSHNB5</v>
      </c>
      <c r="I1132" s="5">
        <f>IFERROR(__xludf.DUMMYFUNCTION("""COMPUTED_VALUE"""),10.0)</f>
        <v>10</v>
      </c>
      <c r="J1132" s="4" t="str">
        <f>IFERROR(__xludf.DUMMYFUNCTION("""COMPUTED_VALUE"""),"Tier 4")</f>
        <v>Tier 4</v>
      </c>
      <c r="K1132" s="4" t="str">
        <f>IFERROR(__xludf.DUMMYFUNCTION("""COMPUTED_VALUE"""),"Active")</f>
        <v>Active</v>
      </c>
      <c r="L1132" s="4" t="str">
        <f>IFERROR(__xludf.DUMMYFUNCTION("""COMPUTED_VALUE"""),"Gemini Enterprise Agent Platform")</f>
        <v>Gemini Enterprise Agent Platform</v>
      </c>
    </row>
    <row r="1133">
      <c r="A1133" s="4" t="str">
        <f>IFERROR(__xludf.DUMMYFUNCTION("""COMPUTED_VALUE"""),"DME3131")</f>
        <v>DME3131</v>
      </c>
      <c r="B1133" s="4" t="str">
        <f>IFERROR(__xludf.DUMMYFUNCTION("""COMPUTED_VALUE"""),"Amol Subhash Pardeshi")</f>
        <v>Amol Subhash Pardeshi</v>
      </c>
      <c r="C1133" s="4" t="str">
        <f>IFERROR(__xludf.DUMMYFUNCTION("""COMPUTED_VALUE"""),"amol.pardeshi@onixnet.com")</f>
        <v>amol.pardeshi@onixnet.com</v>
      </c>
      <c r="D1133" s="4" t="str">
        <f>IFERROR(__xludf.DUMMYFUNCTION("""COMPUTED_VALUE"""),"Active")</f>
        <v>Active</v>
      </c>
      <c r="E1133" s="4" t="str">
        <f>IFERROR(__xludf.DUMMYFUNCTION("""COMPUTED_VALUE"""),"Product Engineering")</f>
        <v>Product Engineering</v>
      </c>
      <c r="F1133" s="4" t="str">
        <f>IFERROR(__xludf.DUMMYFUNCTION("""COMPUTED_VALUE"""),"Venkat Shivkumar")</f>
        <v>Venkat Shivkumar</v>
      </c>
      <c r="G1133" s="4" t="str">
        <f>IFERROR(__xludf.DUMMYFUNCTION("""COMPUTED_VALUE"""),"Cluster - Mayur")</f>
        <v>Cluster - Mayur</v>
      </c>
      <c r="H1133" s="4" t="str">
        <f>IFERROR(__xludf.DUMMYFUNCTION("""COMPUTED_VALUE"""),"ONIAPDTF8")</f>
        <v>ONIAPDTF8</v>
      </c>
      <c r="I1133" s="5">
        <f>IFERROR(__xludf.DUMMYFUNCTION("""COMPUTED_VALUE"""),10.0)</f>
        <v>10</v>
      </c>
      <c r="J1133" s="4" t="str">
        <f>IFERROR(__xludf.DUMMYFUNCTION("""COMPUTED_VALUE"""),"Tier 4")</f>
        <v>Tier 4</v>
      </c>
      <c r="K1133" s="4" t="str">
        <f>IFERROR(__xludf.DUMMYFUNCTION("""COMPUTED_VALUE"""),"Active")</f>
        <v>Active</v>
      </c>
      <c r="L1133" s="4" t="str">
        <f>IFERROR(__xludf.DUMMYFUNCTION("""COMPUTED_VALUE"""),"AI Applications")</f>
        <v>AI Applications</v>
      </c>
    </row>
    <row r="1134">
      <c r="A1134" s="4" t="str">
        <f>IFERROR(__xludf.DUMMYFUNCTION("""COMPUTED_VALUE"""),"DME3129")</f>
        <v>DME3129</v>
      </c>
      <c r="B1134" s="4" t="str">
        <f>IFERROR(__xludf.DUMMYFUNCTION("""COMPUTED_VALUE"""),"Omkar Jaidev Satpute")</f>
        <v>Omkar Jaidev Satpute</v>
      </c>
      <c r="C1134" s="4" t="str">
        <f>IFERROR(__xludf.DUMMYFUNCTION("""COMPUTED_VALUE"""),"omkar.satpute@onixnet.com")</f>
        <v>omkar.satpute@onixnet.com</v>
      </c>
      <c r="D1134" s="4" t="str">
        <f>IFERROR(__xludf.DUMMYFUNCTION("""COMPUTED_VALUE"""),"Active")</f>
        <v>Active</v>
      </c>
      <c r="E1134" s="4" t="str">
        <f>IFERROR(__xludf.DUMMYFUNCTION("""COMPUTED_VALUE"""),"Delivery Services")</f>
        <v>Delivery Services</v>
      </c>
      <c r="F1134" s="4" t="str">
        <f>IFERROR(__xludf.DUMMYFUNCTION("""COMPUTED_VALUE"""),"Manoj Patil")</f>
        <v>Manoj Patil</v>
      </c>
      <c r="G1134" s="4" t="str">
        <f>IFERROR(__xludf.DUMMYFUNCTION("""COMPUTED_VALUE"""),"Cluster - Shreepad")</f>
        <v>Cluster - Shreepad</v>
      </c>
      <c r="H1134" s="4" t="str">
        <f>IFERROR(__xludf.DUMMYFUNCTION("""COMPUTED_VALUE"""),"ONIOSPEL5")</f>
        <v>ONIOSPEL5</v>
      </c>
      <c r="I1134" s="5">
        <f>IFERROR(__xludf.DUMMYFUNCTION("""COMPUTED_VALUE"""),9.0)</f>
        <v>9</v>
      </c>
      <c r="J1134" s="4" t="str">
        <f>IFERROR(__xludf.DUMMYFUNCTION("""COMPUTED_VALUE"""),"Tier 4")</f>
        <v>Tier 4</v>
      </c>
      <c r="K1134" s="4" t="str">
        <f>IFERROR(__xludf.DUMMYFUNCTION("""COMPUTED_VALUE"""),"Active")</f>
        <v>Active</v>
      </c>
      <c r="L1134" s="4" t="str">
        <f>IFERROR(__xludf.DUMMYFUNCTION("""COMPUTED_VALUE"""),"AI Applications")</f>
        <v>AI Applications</v>
      </c>
    </row>
    <row r="1135">
      <c r="A1135" s="4" t="str">
        <f>IFERROR(__xludf.DUMMYFUNCTION("""COMPUTED_VALUE"""),"DME3130")</f>
        <v>DME3130</v>
      </c>
      <c r="B1135" s="4" t="str">
        <f>IFERROR(__xludf.DUMMYFUNCTION("""COMPUTED_VALUE"""),"Ashwin Ashok Jagtap")</f>
        <v>Ashwin Ashok Jagtap</v>
      </c>
      <c r="C1135" s="4" t="str">
        <f>IFERROR(__xludf.DUMMYFUNCTION("""COMPUTED_VALUE"""),"ashwin.jagtap@onixnet.com")</f>
        <v>ashwin.jagtap@onixnet.com</v>
      </c>
      <c r="D1135" s="4" t="str">
        <f>IFERROR(__xludf.DUMMYFUNCTION("""COMPUTED_VALUE"""),"Active")</f>
        <v>Active</v>
      </c>
      <c r="E1135" s="4" t="str">
        <f>IFERROR(__xludf.DUMMYFUNCTION("""COMPUTED_VALUE"""),"Delivery Services")</f>
        <v>Delivery Services</v>
      </c>
      <c r="F1135" s="4" t="str">
        <f>IFERROR(__xludf.DUMMYFUNCTION("""COMPUTED_VALUE"""),"Ravi Shankar")</f>
        <v>Ravi Shankar</v>
      </c>
      <c r="G1135" s="4" t="str">
        <f>IFERROR(__xludf.DUMMYFUNCTION("""COMPUTED_VALUE"""),"Cluster - Sagar")</f>
        <v>Cluster - Sagar</v>
      </c>
      <c r="H1135" s="4" t="str">
        <f>IFERROR(__xludf.DUMMYFUNCTION("""COMPUTED_VALUE"""),"ONIAJKIZ5")</f>
        <v>ONIAJKIZ5</v>
      </c>
      <c r="I1135" s="5">
        <f>IFERROR(__xludf.DUMMYFUNCTION("""COMPUTED_VALUE"""),5.0)</f>
        <v>5</v>
      </c>
      <c r="J1135" s="4" t="str">
        <f>IFERROR(__xludf.DUMMYFUNCTION("""COMPUTED_VALUE"""),"Tier 4")</f>
        <v>Tier 4</v>
      </c>
      <c r="K1135" s="4" t="str">
        <f>IFERROR(__xludf.DUMMYFUNCTION("""COMPUTED_VALUE"""),"Active")</f>
        <v>Active</v>
      </c>
      <c r="L1135" s="4" t="str">
        <f>IFERROR(__xludf.DUMMYFUNCTION("""COMPUTED_VALUE"""),"BigQuery")</f>
        <v>BigQuery</v>
      </c>
    </row>
    <row r="1136">
      <c r="A1136" s="4" t="str">
        <f>IFERROR(__xludf.DUMMYFUNCTION("""COMPUTED_VALUE"""),"DME3360")</f>
        <v>DME3360</v>
      </c>
      <c r="B1136" s="4" t="str">
        <f>IFERROR(__xludf.DUMMYFUNCTION("""COMPUTED_VALUE"""),"Anup Appasaheb Pere")</f>
        <v>Anup Appasaheb Pere</v>
      </c>
      <c r="C1136" s="4" t="str">
        <f>IFERROR(__xludf.DUMMYFUNCTION("""COMPUTED_VALUE"""),"anup.pere@onixnet.com")</f>
        <v>anup.pere@onixnet.com</v>
      </c>
      <c r="D1136" s="4" t="str">
        <f>IFERROR(__xludf.DUMMYFUNCTION("""COMPUTED_VALUE"""),"Active")</f>
        <v>Active</v>
      </c>
      <c r="E1136" s="4" t="str">
        <f>IFERROR(__xludf.DUMMYFUNCTION("""COMPUTED_VALUE"""),"Delivery Services")</f>
        <v>Delivery Services</v>
      </c>
      <c r="F1136" s="4" t="str">
        <f>IFERROR(__xludf.DUMMYFUNCTION("""COMPUTED_VALUE"""),"Sneha Bhatambrekar")</f>
        <v>Sneha Bhatambrekar</v>
      </c>
      <c r="G1136" s="4" t="str">
        <f>IFERROR(__xludf.DUMMYFUNCTION("""COMPUTED_VALUE"""),"Cluster - Sandeep")</f>
        <v>Cluster - Sandeep</v>
      </c>
      <c r="H1136" s="4" t="str">
        <f>IFERROR(__xludf.DUMMYFUNCTION("""COMPUTED_VALUE"""),"ONIAPXPK0")</f>
        <v>ONIAPXPK0</v>
      </c>
      <c r="I1136" s="5">
        <f>IFERROR(__xludf.DUMMYFUNCTION("""COMPUTED_VALUE"""),10.0)</f>
        <v>10</v>
      </c>
      <c r="J1136" s="4" t="str">
        <f>IFERROR(__xludf.DUMMYFUNCTION("""COMPUTED_VALUE"""),"Tier 4")</f>
        <v>Tier 4</v>
      </c>
      <c r="K1136" s="4" t="str">
        <f>IFERROR(__xludf.DUMMYFUNCTION("""COMPUTED_VALUE"""),"Active")</f>
        <v>Active</v>
      </c>
      <c r="L1136" s="4" t="str">
        <f>IFERROR(__xludf.DUMMYFUNCTION("""COMPUTED_VALUE"""),"AI Applications")</f>
        <v>AI Applications</v>
      </c>
    </row>
    <row r="1137">
      <c r="A1137" s="4" t="str">
        <f>IFERROR(__xludf.DUMMYFUNCTION("""COMPUTED_VALUE"""),"DME3133")</f>
        <v>DME3133</v>
      </c>
      <c r="B1137" s="4" t="str">
        <f>IFERROR(__xludf.DUMMYFUNCTION("""COMPUTED_VALUE"""),"Tanvi Gandhi")</f>
        <v>Tanvi Gandhi</v>
      </c>
      <c r="C1137" s="4" t="str">
        <f>IFERROR(__xludf.DUMMYFUNCTION("""COMPUTED_VALUE"""),"tanvi.gandhi@onixnet.com")</f>
        <v>tanvi.gandhi@onixnet.com</v>
      </c>
      <c r="D1137" s="4" t="str">
        <f>IFERROR(__xludf.DUMMYFUNCTION("""COMPUTED_VALUE"""),"Active")</f>
        <v>Active</v>
      </c>
      <c r="E1137" s="4" t="str">
        <f>IFERROR(__xludf.DUMMYFUNCTION("""COMPUTED_VALUE"""),"Delivery Services")</f>
        <v>Delivery Services</v>
      </c>
      <c r="F1137" s="4" t="str">
        <f>IFERROR(__xludf.DUMMYFUNCTION("""COMPUTED_VALUE"""),"Mangesh Borade")</f>
        <v>Mangesh Borade</v>
      </c>
      <c r="G1137" s="4" t="str">
        <f>IFERROR(__xludf.DUMMYFUNCTION("""COMPUTED_VALUE"""),"Cluster - Devayani")</f>
        <v>Cluster - Devayani</v>
      </c>
      <c r="H1137" s="4" t="str">
        <f>IFERROR(__xludf.DUMMYFUNCTION("""COMPUTED_VALUE"""),"ONITGLLN9")</f>
        <v>ONITGLLN9</v>
      </c>
      <c r="I1137" s="5">
        <f>IFERROR(__xludf.DUMMYFUNCTION("""COMPUTED_VALUE"""),30.0)</f>
        <v>30</v>
      </c>
      <c r="J1137" s="4" t="str">
        <f>IFERROR(__xludf.DUMMYFUNCTION("""COMPUTED_VALUE"""),"Tier 3")</f>
        <v>Tier 3</v>
      </c>
      <c r="K1137" s="4" t="str">
        <f>IFERROR(__xludf.DUMMYFUNCTION("""COMPUTED_VALUE"""),"Active")</f>
        <v>Active</v>
      </c>
      <c r="L1137" s="4" t="str">
        <f>IFERROR(__xludf.DUMMYFUNCTION("""COMPUTED_VALUE"""),"Gemini Enterprise Agent Platform")</f>
        <v>Gemini Enterprise Agent Platform</v>
      </c>
    </row>
    <row r="1138">
      <c r="A1138" s="4" t="str">
        <f>IFERROR(__xludf.DUMMYFUNCTION("""COMPUTED_VALUE"""),"DME3134")</f>
        <v>DME3134</v>
      </c>
      <c r="B1138" s="4" t="str">
        <f>IFERROR(__xludf.DUMMYFUNCTION("""COMPUTED_VALUE"""),"Santu Kumar")</f>
        <v>Santu Kumar</v>
      </c>
      <c r="C1138" s="4" t="str">
        <f>IFERROR(__xludf.DUMMYFUNCTION("""COMPUTED_VALUE"""),"santu.kumar@onixnet.com")</f>
        <v>santu.kumar@onixnet.com</v>
      </c>
      <c r="D1138" s="4" t="str">
        <f>IFERROR(__xludf.DUMMYFUNCTION("""COMPUTED_VALUE"""),"Active")</f>
        <v>Active</v>
      </c>
      <c r="E1138" s="4" t="str">
        <f>IFERROR(__xludf.DUMMYFUNCTION("""COMPUTED_VALUE"""),"Delivery Services")</f>
        <v>Delivery Services</v>
      </c>
      <c r="F1138" s="4" t="str">
        <f>IFERROR(__xludf.DUMMYFUNCTION("""COMPUTED_VALUE"""),"Sneha Bhatambrekar")</f>
        <v>Sneha Bhatambrekar</v>
      </c>
      <c r="G1138" s="4" t="str">
        <f>IFERROR(__xludf.DUMMYFUNCTION("""COMPUTED_VALUE"""),"Cluster - Sandeep")</f>
        <v>Cluster - Sandeep</v>
      </c>
      <c r="H1138" s="4" t="str">
        <f>IFERROR(__xludf.DUMMYFUNCTION("""COMPUTED_VALUE"""),"ONISKNYN8")</f>
        <v>ONISKNYN8</v>
      </c>
      <c r="I1138" s="5">
        <f>IFERROR(__xludf.DUMMYFUNCTION("""COMPUTED_VALUE"""),17.0)</f>
        <v>17</v>
      </c>
      <c r="J1138" s="4" t="str">
        <f>IFERROR(__xludf.DUMMYFUNCTION("""COMPUTED_VALUE"""),"Tier 4")</f>
        <v>Tier 4</v>
      </c>
      <c r="K1138" s="4" t="str">
        <f>IFERROR(__xludf.DUMMYFUNCTION("""COMPUTED_VALUE"""),"Active")</f>
        <v>Active</v>
      </c>
      <c r="L1138" s="4" t="str">
        <f>IFERROR(__xludf.DUMMYFUNCTION("""COMPUTED_VALUE"""),"AI Applications")</f>
        <v>AI Applications</v>
      </c>
    </row>
    <row r="1139">
      <c r="A1139" s="4" t="str">
        <f>IFERROR(__xludf.DUMMYFUNCTION("""COMPUTED_VALUE"""),"DME3361")</f>
        <v>DME3361</v>
      </c>
      <c r="B1139" s="4" t="str">
        <f>IFERROR(__xludf.DUMMYFUNCTION("""COMPUTED_VALUE"""),"Varshita Bheem Reddy")</f>
        <v>Varshita Bheem Reddy</v>
      </c>
      <c r="C1139" s="4" t="str">
        <f>IFERROR(__xludf.DUMMYFUNCTION("""COMPUTED_VALUE"""),"varshita.bheemreddy@onixnet.com")</f>
        <v>varshita.bheemreddy@onixnet.com</v>
      </c>
      <c r="D1139" s="4" t="str">
        <f>IFERROR(__xludf.DUMMYFUNCTION("""COMPUTED_VALUE"""),"Active")</f>
        <v>Active</v>
      </c>
      <c r="E1139" s="4" t="str">
        <f>IFERROR(__xludf.DUMMYFUNCTION("""COMPUTED_VALUE"""),"Product Engineering")</f>
        <v>Product Engineering</v>
      </c>
      <c r="F1139" s="4" t="str">
        <f>IFERROR(__xludf.DUMMYFUNCTION("""COMPUTED_VALUE"""),"Venkat Shivkumar")</f>
        <v>Venkat Shivkumar</v>
      </c>
      <c r="G1139" s="4" t="str">
        <f>IFERROR(__xludf.DUMMYFUNCTION("""COMPUTED_VALUE"""),"Cluster - Mayur")</f>
        <v>Cluster - Mayur</v>
      </c>
      <c r="H1139" s="4" t="str">
        <f>IFERROR(__xludf.DUMMYFUNCTION("""COMPUTED_VALUE"""),"ONIVBGFD6")</f>
        <v>ONIVBGFD6</v>
      </c>
      <c r="I1139" s="5">
        <f>IFERROR(__xludf.DUMMYFUNCTION("""COMPUTED_VALUE"""),0.0)</f>
        <v>0</v>
      </c>
      <c r="J1139" s="4" t="str">
        <f>IFERROR(__xludf.DUMMYFUNCTION("""COMPUTED_VALUE"""),"Tier 4")</f>
        <v>Tier 4</v>
      </c>
      <c r="K1139" s="4" t="str">
        <f>IFERROR(__xludf.DUMMYFUNCTION("""COMPUTED_VALUE"""),"ID Created DRP score 0")</f>
        <v>ID Created DRP score 0</v>
      </c>
      <c r="L1139" s="4"/>
    </row>
    <row r="1140">
      <c r="A1140" s="4" t="str">
        <f>IFERROR(__xludf.DUMMYFUNCTION("""COMPUTED_VALUE"""),"DME3135")</f>
        <v>DME3135</v>
      </c>
      <c r="B1140" s="4" t="str">
        <f>IFERROR(__xludf.DUMMYFUNCTION("""COMPUTED_VALUE"""),"Gauri Santoshrao Pawar")</f>
        <v>Gauri Santoshrao Pawar</v>
      </c>
      <c r="C1140" s="4" t="str">
        <f>IFERROR(__xludf.DUMMYFUNCTION("""COMPUTED_VALUE"""),"gauri.pawar@onixnet.com")</f>
        <v>gauri.pawar@onixnet.com</v>
      </c>
      <c r="D1140" s="4" t="str">
        <f>IFERROR(__xludf.DUMMYFUNCTION("""COMPUTED_VALUE"""),"Active")</f>
        <v>Active</v>
      </c>
      <c r="E1140" s="4" t="str">
        <f>IFERROR(__xludf.DUMMYFUNCTION("""COMPUTED_VALUE"""),"Delivery Services")</f>
        <v>Delivery Services</v>
      </c>
      <c r="F1140" s="4" t="str">
        <f>IFERROR(__xludf.DUMMYFUNCTION("""COMPUTED_VALUE"""),"Jitender Singh")</f>
        <v>Jitender Singh</v>
      </c>
      <c r="G1140" s="4" t="str">
        <f>IFERROR(__xludf.DUMMYFUNCTION("""COMPUTED_VALUE"""),"Cluster - Gaurav")</f>
        <v>Cluster - Gaurav</v>
      </c>
      <c r="H1140" s="4" t="str">
        <f>IFERROR(__xludf.DUMMYFUNCTION("""COMPUTED_VALUE"""),"ONIGPFUE6")</f>
        <v>ONIGPFUE6</v>
      </c>
      <c r="I1140" s="5">
        <f>IFERROR(__xludf.DUMMYFUNCTION("""COMPUTED_VALUE"""),5.0)</f>
        <v>5</v>
      </c>
      <c r="J1140" s="4" t="str">
        <f>IFERROR(__xludf.DUMMYFUNCTION("""COMPUTED_VALUE"""),"Tier 4")</f>
        <v>Tier 4</v>
      </c>
      <c r="K1140" s="4" t="str">
        <f>IFERROR(__xludf.DUMMYFUNCTION("""COMPUTED_VALUE"""),"Active")</f>
        <v>Active</v>
      </c>
      <c r="L1140" s="4" t="str">
        <f>IFERROR(__xludf.DUMMYFUNCTION("""COMPUTED_VALUE"""),"BigQuery")</f>
        <v>BigQuery</v>
      </c>
    </row>
    <row r="1141">
      <c r="A1141" s="4" t="str">
        <f>IFERROR(__xludf.DUMMYFUNCTION("""COMPUTED_VALUE"""),"DME3138")</f>
        <v>DME3138</v>
      </c>
      <c r="B1141" s="4" t="str">
        <f>IFERROR(__xludf.DUMMYFUNCTION("""COMPUTED_VALUE"""),"Saurabh Kirtinandan Joshi")</f>
        <v>Saurabh Kirtinandan Joshi</v>
      </c>
      <c r="C1141" s="4" t="str">
        <f>IFERROR(__xludf.DUMMYFUNCTION("""COMPUTED_VALUE"""),"saurabh.joshi@onixnet.com")</f>
        <v>saurabh.joshi@onixnet.com</v>
      </c>
      <c r="D1141" s="4" t="str">
        <f>IFERROR(__xludf.DUMMYFUNCTION("""COMPUTED_VALUE"""),"Active")</f>
        <v>Active</v>
      </c>
      <c r="E1141" s="4" t="str">
        <f>IFERROR(__xludf.DUMMYFUNCTION("""COMPUTED_VALUE"""),"Delivery Services")</f>
        <v>Delivery Services</v>
      </c>
      <c r="F1141" s="4" t="str">
        <f>IFERROR(__xludf.DUMMYFUNCTION("""COMPUTED_VALUE"""),"Chinmay Deshpande")</f>
        <v>Chinmay Deshpande</v>
      </c>
      <c r="G1141" s="4" t="str">
        <f>IFERROR(__xludf.DUMMYFUNCTION("""COMPUTED_VALUE"""),"Cluster - Sagar")</f>
        <v>Cluster - Sagar</v>
      </c>
      <c r="H1141" s="4" t="str">
        <f>IFERROR(__xludf.DUMMYFUNCTION("""COMPUTED_VALUE"""),"ONISJLVS0")</f>
        <v>ONISJLVS0</v>
      </c>
      <c r="I1141" s="5">
        <f>IFERROR(__xludf.DUMMYFUNCTION("""COMPUTED_VALUE"""),5.0)</f>
        <v>5</v>
      </c>
      <c r="J1141" s="4" t="str">
        <f>IFERROR(__xludf.DUMMYFUNCTION("""COMPUTED_VALUE"""),"Tier 4")</f>
        <v>Tier 4</v>
      </c>
      <c r="K1141" s="4" t="str">
        <f>IFERROR(__xludf.DUMMYFUNCTION("""COMPUTED_VALUE"""),"Active")</f>
        <v>Active</v>
      </c>
      <c r="L1141" s="4" t="str">
        <f>IFERROR(__xludf.DUMMYFUNCTION("""COMPUTED_VALUE"""),"Gemini Enterprise Agent Platform")</f>
        <v>Gemini Enterprise Agent Platform</v>
      </c>
    </row>
    <row r="1142">
      <c r="A1142" s="4" t="str">
        <f>IFERROR(__xludf.DUMMYFUNCTION("""COMPUTED_VALUE"""),"DME3139")</f>
        <v>DME3139</v>
      </c>
      <c r="B1142" s="4" t="str">
        <f>IFERROR(__xludf.DUMMYFUNCTION("""COMPUTED_VALUE"""),"Rahul Singh")</f>
        <v>Rahul Singh</v>
      </c>
      <c r="C1142" s="4" t="str">
        <f>IFERROR(__xludf.DUMMYFUNCTION("""COMPUTED_VALUE"""),"rahul.singh@onixnet.com")</f>
        <v>rahul.singh@onixnet.com</v>
      </c>
      <c r="D1142" s="4" t="str">
        <f>IFERROR(__xludf.DUMMYFUNCTION("""COMPUTED_VALUE"""),"Active")</f>
        <v>Active</v>
      </c>
      <c r="E1142" s="4" t="str">
        <f>IFERROR(__xludf.DUMMYFUNCTION("""COMPUTED_VALUE"""),"Delivery Services")</f>
        <v>Delivery Services</v>
      </c>
      <c r="F1142" s="4" t="str">
        <f>IFERROR(__xludf.DUMMYFUNCTION("""COMPUTED_VALUE"""),"Dinesh Bhamare")</f>
        <v>Dinesh Bhamare</v>
      </c>
      <c r="G1142" s="4" t="str">
        <f>IFERROR(__xludf.DUMMYFUNCTION("""COMPUTED_VALUE"""),"Cluster - Shreepad")</f>
        <v>Cluster - Shreepad</v>
      </c>
      <c r="H1142" s="4" t="str">
        <f>IFERROR(__xludf.DUMMYFUNCTION("""COMPUTED_VALUE"""),"ONIRSNOW1")</f>
        <v>ONIRSNOW1</v>
      </c>
      <c r="I1142" s="5">
        <f>IFERROR(__xludf.DUMMYFUNCTION("""COMPUTED_VALUE"""),14.0)</f>
        <v>14</v>
      </c>
      <c r="J1142" s="4" t="str">
        <f>IFERROR(__xludf.DUMMYFUNCTION("""COMPUTED_VALUE"""),"Tier 4")</f>
        <v>Tier 4</v>
      </c>
      <c r="K1142" s="4" t="str">
        <f>IFERROR(__xludf.DUMMYFUNCTION("""COMPUTED_VALUE"""),"Active")</f>
        <v>Active</v>
      </c>
      <c r="L1142" s="4" t="str">
        <f>IFERROR(__xludf.DUMMYFUNCTION("""COMPUTED_VALUE"""),"Gemini Enterprise")</f>
        <v>Gemini Enterprise</v>
      </c>
    </row>
    <row r="1143">
      <c r="A1143" s="4" t="str">
        <f>IFERROR(__xludf.DUMMYFUNCTION("""COMPUTED_VALUE"""),"DME3395")</f>
        <v>DME3395</v>
      </c>
      <c r="B1143" s="4" t="str">
        <f>IFERROR(__xludf.DUMMYFUNCTION("""COMPUTED_VALUE"""),"Aditya Manik Konde")</f>
        <v>Aditya Manik Konde</v>
      </c>
      <c r="C1143" s="4" t="str">
        <f>IFERROR(__xludf.DUMMYFUNCTION("""COMPUTED_VALUE"""),"aditya.konde@onixnet.com")</f>
        <v>aditya.konde@onixnet.com</v>
      </c>
      <c r="D1143" s="4" t="str">
        <f>IFERROR(__xludf.DUMMYFUNCTION("""COMPUTED_VALUE"""),"Active")</f>
        <v>Active</v>
      </c>
      <c r="E1143" s="4" t="str">
        <f>IFERROR(__xludf.DUMMYFUNCTION("""COMPUTED_VALUE"""),"Delivery Services")</f>
        <v>Delivery Services</v>
      </c>
      <c r="F1143" s="4" t="str">
        <f>IFERROR(__xludf.DUMMYFUNCTION("""COMPUTED_VALUE"""),"Akash Choudhari")</f>
        <v>Akash Choudhari</v>
      </c>
      <c r="G1143" s="4" t="str">
        <f>IFERROR(__xludf.DUMMYFUNCTION("""COMPUTED_VALUE"""),"Cluster - Sandeep")</f>
        <v>Cluster - Sandeep</v>
      </c>
      <c r="H1143" s="4" t="str">
        <f>IFERROR(__xludf.DUMMYFUNCTION("""COMPUTED_VALUE"""),"ONIAKGOS5")</f>
        <v>ONIAKGOS5</v>
      </c>
      <c r="I1143" s="5">
        <f>IFERROR(__xludf.DUMMYFUNCTION("""COMPUTED_VALUE"""),45.0)</f>
        <v>45</v>
      </c>
      <c r="J1143" s="4" t="str">
        <f>IFERROR(__xludf.DUMMYFUNCTION("""COMPUTED_VALUE"""),"Tier 2")</f>
        <v>Tier 2</v>
      </c>
      <c r="K1143" s="4" t="str">
        <f>IFERROR(__xludf.DUMMYFUNCTION("""COMPUTED_VALUE"""),"Active")</f>
        <v>Active</v>
      </c>
      <c r="L1143" s="4" t="str">
        <f>IFERROR(__xludf.DUMMYFUNCTION("""COMPUTED_VALUE"""),"Gemini Enterprise Agent Platform")</f>
        <v>Gemini Enterprise Agent Platform</v>
      </c>
    </row>
    <row r="1144">
      <c r="A1144" s="4" t="str">
        <f>IFERROR(__xludf.DUMMYFUNCTION("""COMPUTED_VALUE"""),"DME3392")</f>
        <v>DME3392</v>
      </c>
      <c r="B1144" s="4" t="str">
        <f>IFERROR(__xludf.DUMMYFUNCTION("""COMPUTED_VALUE"""),"Ashish Rajesh Dwivedi")</f>
        <v>Ashish Rajesh Dwivedi</v>
      </c>
      <c r="C1144" s="4" t="str">
        <f>IFERROR(__xludf.DUMMYFUNCTION("""COMPUTED_VALUE"""),"ashish.dwivedi@onixnet.com")</f>
        <v>ashish.dwivedi@onixnet.com</v>
      </c>
      <c r="D1144" s="4" t="str">
        <f>IFERROR(__xludf.DUMMYFUNCTION("""COMPUTED_VALUE"""),"Active")</f>
        <v>Active</v>
      </c>
      <c r="E1144" s="4" t="str">
        <f>IFERROR(__xludf.DUMMYFUNCTION("""COMPUTED_VALUE"""),"Delivery Services")</f>
        <v>Delivery Services</v>
      </c>
      <c r="F1144" s="4" t="str">
        <f>IFERROR(__xludf.DUMMYFUNCTION("""COMPUTED_VALUE"""),"Minal Patil")</f>
        <v>Minal Patil</v>
      </c>
      <c r="G1144" s="4" t="str">
        <f>IFERROR(__xludf.DUMMYFUNCTION("""COMPUTED_VALUE"""),"Cluster - Devayani")</f>
        <v>Cluster - Devayani</v>
      </c>
      <c r="H1144" s="4" t="str">
        <f>IFERROR(__xludf.DUMMYFUNCTION("""COMPUTED_VALUE"""),"ONIADGGZ3")</f>
        <v>ONIADGGZ3</v>
      </c>
      <c r="I1144" s="5">
        <f>IFERROR(__xludf.DUMMYFUNCTION("""COMPUTED_VALUE"""),55.0)</f>
        <v>55</v>
      </c>
      <c r="J1144" s="4" t="str">
        <f>IFERROR(__xludf.DUMMYFUNCTION("""COMPUTED_VALUE"""),"Tier 1")</f>
        <v>Tier 1</v>
      </c>
      <c r="K1144" s="4" t="str">
        <f>IFERROR(__xludf.DUMMYFUNCTION("""COMPUTED_VALUE"""),"Active")</f>
        <v>Active</v>
      </c>
      <c r="L1144" s="4" t="str">
        <f>IFERROR(__xludf.DUMMYFUNCTION("""COMPUTED_VALUE"""),"Gemini Enterprise Agent Platform")</f>
        <v>Gemini Enterprise Agent Platform</v>
      </c>
    </row>
    <row r="1145">
      <c r="A1145" s="4" t="str">
        <f>IFERROR(__xludf.DUMMYFUNCTION("""COMPUTED_VALUE"""),"DME3393")</f>
        <v>DME3393</v>
      </c>
      <c r="B1145" s="4" t="str">
        <f>IFERROR(__xludf.DUMMYFUNCTION("""COMPUTED_VALUE"""),"Manav Ramesh Kokne")</f>
        <v>Manav Ramesh Kokne</v>
      </c>
      <c r="C1145" s="4" t="str">
        <f>IFERROR(__xludf.DUMMYFUNCTION("""COMPUTED_VALUE"""),"manav.kokne@onixnet.com")</f>
        <v>manav.kokne@onixnet.com</v>
      </c>
      <c r="D1145" s="4" t="str">
        <f>IFERROR(__xludf.DUMMYFUNCTION("""COMPUTED_VALUE"""),"Active")</f>
        <v>Active</v>
      </c>
      <c r="E1145" s="4" t="str">
        <f>IFERROR(__xludf.DUMMYFUNCTION("""COMPUTED_VALUE"""),"Delivery Services")</f>
        <v>Delivery Services</v>
      </c>
      <c r="F1145" s="4" t="str">
        <f>IFERROR(__xludf.DUMMYFUNCTION("""COMPUTED_VALUE"""),"Akash Choudhari")</f>
        <v>Akash Choudhari</v>
      </c>
      <c r="G1145" s="4" t="str">
        <f>IFERROR(__xludf.DUMMYFUNCTION("""COMPUTED_VALUE"""),"Cluster - Sandeep")</f>
        <v>Cluster - Sandeep</v>
      </c>
      <c r="H1145" s="4" t="str">
        <f>IFERROR(__xludf.DUMMYFUNCTION("""COMPUTED_VALUE"""),"ONIMKDOC0")</f>
        <v>ONIMKDOC0</v>
      </c>
      <c r="I1145" s="5">
        <f>IFERROR(__xludf.DUMMYFUNCTION("""COMPUTED_VALUE"""),41.0)</f>
        <v>41</v>
      </c>
      <c r="J1145" s="4" t="str">
        <f>IFERROR(__xludf.DUMMYFUNCTION("""COMPUTED_VALUE"""),"Tier 2")</f>
        <v>Tier 2</v>
      </c>
      <c r="K1145" s="4" t="str">
        <f>IFERROR(__xludf.DUMMYFUNCTION("""COMPUTED_VALUE"""),"Active")</f>
        <v>Active</v>
      </c>
      <c r="L1145" s="4" t="str">
        <f>IFERROR(__xludf.DUMMYFUNCTION("""COMPUTED_VALUE"""),"Gemini Enterprise Agent Platform")</f>
        <v>Gemini Enterprise Agent Platform</v>
      </c>
    </row>
    <row r="1146">
      <c r="A1146" s="4" t="str">
        <f>IFERROR(__xludf.DUMMYFUNCTION("""COMPUTED_VALUE"""),"DME3394")</f>
        <v>DME3394</v>
      </c>
      <c r="B1146" s="4" t="str">
        <f>IFERROR(__xludf.DUMMYFUNCTION("""COMPUTED_VALUE"""),"Sonali Anil Chaudhari")</f>
        <v>Sonali Anil Chaudhari</v>
      </c>
      <c r="C1146" s="4" t="str">
        <f>IFERROR(__xludf.DUMMYFUNCTION("""COMPUTED_VALUE"""),"sonali.chaudhari@onixnet.com")</f>
        <v>sonali.chaudhari@onixnet.com</v>
      </c>
      <c r="D1146" s="4" t="str">
        <f>IFERROR(__xludf.DUMMYFUNCTION("""COMPUTED_VALUE"""),"Active")</f>
        <v>Active</v>
      </c>
      <c r="E1146" s="4" t="str">
        <f>IFERROR(__xludf.DUMMYFUNCTION("""COMPUTED_VALUE"""),"Delivery Services")</f>
        <v>Delivery Services</v>
      </c>
      <c r="F1146" s="4" t="str">
        <f>IFERROR(__xludf.DUMMYFUNCTION("""COMPUTED_VALUE"""),"Minal Patil")</f>
        <v>Minal Patil</v>
      </c>
      <c r="G1146" s="4" t="str">
        <f>IFERROR(__xludf.DUMMYFUNCTION("""COMPUTED_VALUE"""),"Cluster - Devayani")</f>
        <v>Cluster - Devayani</v>
      </c>
      <c r="H1146" s="4" t="str">
        <f>IFERROR(__xludf.DUMMYFUNCTION("""COMPUTED_VALUE"""),"ONISCHKV5")</f>
        <v>ONISCHKV5</v>
      </c>
      <c r="I1146" s="5">
        <f>IFERROR(__xludf.DUMMYFUNCTION("""COMPUTED_VALUE"""),52.0)</f>
        <v>52</v>
      </c>
      <c r="J1146" s="4" t="str">
        <f>IFERROR(__xludf.DUMMYFUNCTION("""COMPUTED_VALUE"""),"Tier 1")</f>
        <v>Tier 1</v>
      </c>
      <c r="K1146" s="4" t="str">
        <f>IFERROR(__xludf.DUMMYFUNCTION("""COMPUTED_VALUE"""),"Active")</f>
        <v>Active</v>
      </c>
      <c r="L1146" s="4" t="str">
        <f>IFERROR(__xludf.DUMMYFUNCTION("""COMPUTED_VALUE"""),"Gemini Enterprise Agent Platform")</f>
        <v>Gemini Enterprise Agent Platform</v>
      </c>
    </row>
    <row r="1147">
      <c r="A1147" s="4" t="str">
        <f>IFERROR(__xludf.DUMMYFUNCTION("""COMPUTED_VALUE"""),"ONIX838")</f>
        <v>ONIX838</v>
      </c>
      <c r="B1147" s="4" t="str">
        <f>IFERROR(__xludf.DUMMYFUNCTION("""COMPUTED_VALUE"""),"Sagar Shete")</f>
        <v>Sagar Shete</v>
      </c>
      <c r="C1147" s="4" t="str">
        <f>IFERROR(__xludf.DUMMYFUNCTION("""COMPUTED_VALUE"""),"sagar.shete@onixnet.com")</f>
        <v>sagar.shete@onixnet.com</v>
      </c>
      <c r="D1147" s="4" t="str">
        <f>IFERROR(__xludf.DUMMYFUNCTION("""COMPUTED_VALUE"""),"Active")</f>
        <v>Active</v>
      </c>
      <c r="E1147" s="4" t="str">
        <f>IFERROR(__xludf.DUMMYFUNCTION("""COMPUTED_VALUE"""),"Delivery Management")</f>
        <v>Delivery Management</v>
      </c>
      <c r="F1147" s="4" t="str">
        <f>IFERROR(__xludf.DUMMYFUNCTION("""COMPUTED_VALUE"""),"Neeraj Arora")</f>
        <v>Neeraj Arora</v>
      </c>
      <c r="G1147" s="4" t="str">
        <f>IFERROR(__xludf.DUMMYFUNCTION("""COMPUTED_VALUE"""),"Portfolio - Kanth")</f>
        <v>Portfolio - Kanth</v>
      </c>
      <c r="H1147" s="4" t="str">
        <f>IFERROR(__xludf.DUMMYFUNCTION("""COMPUTED_VALUE"""),"ONISSSXC0")</f>
        <v>ONISSSXC0</v>
      </c>
      <c r="I1147" s="5">
        <f>IFERROR(__xludf.DUMMYFUNCTION("""COMPUTED_VALUE"""),10.0)</f>
        <v>10</v>
      </c>
      <c r="J1147" s="4" t="str">
        <f>IFERROR(__xludf.DUMMYFUNCTION("""COMPUTED_VALUE"""),"Tier 4")</f>
        <v>Tier 4</v>
      </c>
      <c r="K1147" s="4" t="str">
        <f>IFERROR(__xludf.DUMMYFUNCTION("""COMPUTED_VALUE"""),"Active")</f>
        <v>Active</v>
      </c>
      <c r="L1147" s="4" t="str">
        <f>IFERROR(__xludf.DUMMYFUNCTION("""COMPUTED_VALUE"""),"Google Kubernetes Engine")</f>
        <v>Google Kubernetes Engine</v>
      </c>
    </row>
    <row r="1148">
      <c r="A1148" s="4" t="str">
        <f>IFERROR(__xludf.DUMMYFUNCTION("""COMPUTED_VALUE"""),"ONIX843")</f>
        <v>ONIX843</v>
      </c>
      <c r="B1148" s="4" t="str">
        <f>IFERROR(__xludf.DUMMYFUNCTION("""COMPUTED_VALUE"""),"Vedant Rajesh Patni")</f>
        <v>Vedant Rajesh Patni</v>
      </c>
      <c r="C1148" s="4" t="str">
        <f>IFERROR(__xludf.DUMMYFUNCTION("""COMPUTED_VALUE"""),"vedant.patni@onixnet.com")</f>
        <v>vedant.patni@onixnet.com</v>
      </c>
      <c r="D1148" s="4" t="str">
        <f>IFERROR(__xludf.DUMMYFUNCTION("""COMPUTED_VALUE"""),"Active")</f>
        <v>Active</v>
      </c>
      <c r="E1148" s="4" t="str">
        <f>IFERROR(__xludf.DUMMYFUNCTION("""COMPUTED_VALUE"""),"Delivery")</f>
        <v>Delivery</v>
      </c>
      <c r="F1148" s="4" t="str">
        <f>IFERROR(__xludf.DUMMYFUNCTION("""COMPUTED_VALUE"""),"LeePatrick McIntire")</f>
        <v>LeePatrick McIntire</v>
      </c>
      <c r="G1148" s="4" t="str">
        <f>IFERROR(__xludf.DUMMYFUNCTION("""COMPUTED_VALUE"""),"Portfolio - Thomas (AI)")</f>
        <v>Portfolio - Thomas (AI)</v>
      </c>
      <c r="H1148" s="4" t="str">
        <f>IFERROR(__xludf.DUMMYFUNCTION("""COMPUTED_VALUE"""),"ONIVPSQG6")</f>
        <v>ONIVPSQG6</v>
      </c>
      <c r="I1148" s="5">
        <f>IFERROR(__xludf.DUMMYFUNCTION("""COMPUTED_VALUE"""),0.0)</f>
        <v>0</v>
      </c>
      <c r="J1148" s="4" t="str">
        <f>IFERROR(__xludf.DUMMYFUNCTION("""COMPUTED_VALUE"""),"Tier 4")</f>
        <v>Tier 4</v>
      </c>
      <c r="K1148" s="4" t="str">
        <f>IFERROR(__xludf.DUMMYFUNCTION("""COMPUTED_VALUE"""),"ID Created DRP score 0")</f>
        <v>ID Created DRP score 0</v>
      </c>
      <c r="L1148" s="4"/>
    </row>
    <row r="1149">
      <c r="A1149" s="4" t="str">
        <f>IFERROR(__xludf.DUMMYFUNCTION("""COMPUTED_VALUE"""),"ONIX841")</f>
        <v>ONIX841</v>
      </c>
      <c r="B1149" s="4" t="str">
        <f>IFERROR(__xludf.DUMMYFUNCTION("""COMPUTED_VALUE"""),"Matthew Jones")</f>
        <v>Matthew Jones</v>
      </c>
      <c r="C1149" s="4" t="str">
        <f>IFERROR(__xludf.DUMMYFUNCTION("""COMPUTED_VALUE"""),"matt.jones@onixnet.com")</f>
        <v>matt.jones@onixnet.com</v>
      </c>
      <c r="D1149" s="4" t="str">
        <f>IFERROR(__xludf.DUMMYFUNCTION("""COMPUTED_VALUE"""),"Active")</f>
        <v>Active</v>
      </c>
      <c r="E1149" s="4" t="str">
        <f>IFERROR(__xludf.DUMMYFUNCTION("""COMPUTED_VALUE"""),"Delivery")</f>
        <v>Delivery</v>
      </c>
      <c r="F1149" s="4" t="str">
        <f>IFERROR(__xludf.DUMMYFUNCTION("""COMPUTED_VALUE"""),"Anurag Mynam")</f>
        <v>Anurag Mynam</v>
      </c>
      <c r="G1149" s="4" t="str">
        <f>IFERROR(__xludf.DUMMYFUNCTION("""COMPUTED_VALUE"""),"Portfolio - Thomas (AI)")</f>
        <v>Portfolio - Thomas (AI)</v>
      </c>
      <c r="H1149" s="4" t="str">
        <f>IFERROR(__xludf.DUMMYFUNCTION("""COMPUTED_VALUE"""),"ONIMJZQM5")</f>
        <v>ONIMJZQM5</v>
      </c>
      <c r="I1149" s="5">
        <f>IFERROR(__xludf.DUMMYFUNCTION("""COMPUTED_VALUE"""),9.0)</f>
        <v>9</v>
      </c>
      <c r="J1149" s="4" t="str">
        <f>IFERROR(__xludf.DUMMYFUNCTION("""COMPUTED_VALUE"""),"Tier 4")</f>
        <v>Tier 4</v>
      </c>
      <c r="K1149" s="4" t="str">
        <f>IFERROR(__xludf.DUMMYFUNCTION("""COMPUTED_VALUE"""),"Active")</f>
        <v>Active</v>
      </c>
      <c r="L1149" s="4"/>
    </row>
    <row r="1150">
      <c r="A1150" s="4" t="str">
        <f>IFERROR(__xludf.DUMMYFUNCTION("""COMPUTED_VALUE"""),"DME3141")</f>
        <v>DME3141</v>
      </c>
      <c r="B1150" s="4" t="str">
        <f>IFERROR(__xludf.DUMMYFUNCTION("""COMPUTED_VALUE"""),"Bhushan Masal")</f>
        <v>Bhushan Masal</v>
      </c>
      <c r="C1150" s="4" t="str">
        <f>IFERROR(__xludf.DUMMYFUNCTION("""COMPUTED_VALUE"""),"bhushan.masal@onixnet.com")</f>
        <v>bhushan.masal@onixnet.com</v>
      </c>
      <c r="D1150" s="4" t="str">
        <f>IFERROR(__xludf.DUMMYFUNCTION("""COMPUTED_VALUE"""),"Active")</f>
        <v>Active</v>
      </c>
      <c r="E1150" s="4" t="str">
        <f>IFERROR(__xludf.DUMMYFUNCTION("""COMPUTED_VALUE"""),"Delivery Services")</f>
        <v>Delivery Services</v>
      </c>
      <c r="F1150" s="4" t="str">
        <f>IFERROR(__xludf.DUMMYFUNCTION("""COMPUTED_VALUE"""),"Sneha Bhatambrekar")</f>
        <v>Sneha Bhatambrekar</v>
      </c>
      <c r="G1150" s="4" t="str">
        <f>IFERROR(__xludf.DUMMYFUNCTION("""COMPUTED_VALUE"""),"Cluster - Sandeep")</f>
        <v>Cluster - Sandeep</v>
      </c>
      <c r="H1150" s="4" t="str">
        <f>IFERROR(__xludf.DUMMYFUNCTION("""COMPUTED_VALUE"""),"ONIBMIDW8")</f>
        <v>ONIBMIDW8</v>
      </c>
      <c r="I1150" s="5">
        <f>IFERROR(__xludf.DUMMYFUNCTION("""COMPUTED_VALUE"""),15.0)</f>
        <v>15</v>
      </c>
      <c r="J1150" s="4" t="str">
        <f>IFERROR(__xludf.DUMMYFUNCTION("""COMPUTED_VALUE"""),"Tier 4")</f>
        <v>Tier 4</v>
      </c>
      <c r="K1150" s="4" t="str">
        <f>IFERROR(__xludf.DUMMYFUNCTION("""COMPUTED_VALUE"""),"Active")</f>
        <v>Active</v>
      </c>
      <c r="L1150" s="4" t="str">
        <f>IFERROR(__xludf.DUMMYFUNCTION("""COMPUTED_VALUE"""),"AI Applications")</f>
        <v>AI Applications</v>
      </c>
    </row>
    <row r="1151">
      <c r="A1151" s="4" t="str">
        <f>IFERROR(__xludf.DUMMYFUNCTION("""COMPUTED_VALUE"""),"DME3142")</f>
        <v>DME3142</v>
      </c>
      <c r="B1151" s="4" t="str">
        <f>IFERROR(__xludf.DUMMYFUNCTION("""COMPUTED_VALUE"""),"Sudhish Vijayakumaran Nair")</f>
        <v>Sudhish Vijayakumaran Nair</v>
      </c>
      <c r="C1151" s="4" t="str">
        <f>IFERROR(__xludf.DUMMYFUNCTION("""COMPUTED_VALUE"""),"sudhish.nair@onixnet.com")</f>
        <v>sudhish.nair@onixnet.com</v>
      </c>
      <c r="D1151" s="4" t="str">
        <f>IFERROR(__xludf.DUMMYFUNCTION("""COMPUTED_VALUE"""),"Active")</f>
        <v>Active</v>
      </c>
      <c r="E1151" s="4" t="str">
        <f>IFERROR(__xludf.DUMMYFUNCTION("""COMPUTED_VALUE"""),"Delivery Services")</f>
        <v>Delivery Services</v>
      </c>
      <c r="F1151" s="4" t="str">
        <f>IFERROR(__xludf.DUMMYFUNCTION("""COMPUTED_VALUE"""),"Varun Katyal")</f>
        <v>Varun Katyal</v>
      </c>
      <c r="G1151" s="4" t="str">
        <f>IFERROR(__xludf.DUMMYFUNCTION("""COMPUTED_VALUE"""),"Cluster - Varun")</f>
        <v>Cluster - Varun</v>
      </c>
      <c r="H1151" s="4" t="str">
        <f>IFERROR(__xludf.DUMMYFUNCTION("""COMPUTED_VALUE"""),"ONISNIYW2")</f>
        <v>ONISNIYW2</v>
      </c>
      <c r="I1151" s="5">
        <f>IFERROR(__xludf.DUMMYFUNCTION("""COMPUTED_VALUE"""),5.0)</f>
        <v>5</v>
      </c>
      <c r="J1151" s="4" t="str">
        <f>IFERROR(__xludf.DUMMYFUNCTION("""COMPUTED_VALUE"""),"Tier 4")</f>
        <v>Tier 4</v>
      </c>
      <c r="K1151" s="4" t="str">
        <f>IFERROR(__xludf.DUMMYFUNCTION("""COMPUTED_VALUE"""),"Active")</f>
        <v>Active</v>
      </c>
      <c r="L1151" s="4"/>
    </row>
    <row r="1152">
      <c r="A1152" s="4" t="str">
        <f>IFERROR(__xludf.DUMMYFUNCTION("""COMPUTED_VALUE"""),"DME3143")</f>
        <v>DME3143</v>
      </c>
      <c r="B1152" s="4" t="str">
        <f>IFERROR(__xludf.DUMMYFUNCTION("""COMPUTED_VALUE"""),"Gaurav Kar")</f>
        <v>Gaurav Kar</v>
      </c>
      <c r="C1152" s="4" t="str">
        <f>IFERROR(__xludf.DUMMYFUNCTION("""COMPUTED_VALUE"""),"gaurav.kar@onixnet.com")</f>
        <v>gaurav.kar@onixnet.com</v>
      </c>
      <c r="D1152" s="4" t="str">
        <f>IFERROR(__xludf.DUMMYFUNCTION("""COMPUTED_VALUE"""),"Active")</f>
        <v>Active</v>
      </c>
      <c r="E1152" s="4" t="str">
        <f>IFERROR(__xludf.DUMMYFUNCTION("""COMPUTED_VALUE"""),"Delivery Services")</f>
        <v>Delivery Services</v>
      </c>
      <c r="F1152" s="4" t="str">
        <f>IFERROR(__xludf.DUMMYFUNCTION("""COMPUTED_VALUE"""),"Rahul Sonawane")</f>
        <v>Rahul Sonawane</v>
      </c>
      <c r="G1152" s="4" t="str">
        <f>IFERROR(__xludf.DUMMYFUNCTION("""COMPUTED_VALUE"""),"Cluster - Sagar")</f>
        <v>Cluster - Sagar</v>
      </c>
      <c r="H1152" s="4" t="str">
        <f>IFERROR(__xludf.DUMMYFUNCTION("""COMPUTED_VALUE"""),"ONIGKEFW4")</f>
        <v>ONIGKEFW4</v>
      </c>
      <c r="I1152" s="5">
        <f>IFERROR(__xludf.DUMMYFUNCTION("""COMPUTED_VALUE"""),0.0)</f>
        <v>0</v>
      </c>
      <c r="J1152" s="4" t="str">
        <f>IFERROR(__xludf.DUMMYFUNCTION("""COMPUTED_VALUE"""),"Tier 4")</f>
        <v>Tier 4</v>
      </c>
      <c r="K1152" s="4" t="str">
        <f>IFERROR(__xludf.DUMMYFUNCTION("""COMPUTED_VALUE"""),"ID Created DRP score 0")</f>
        <v>ID Created DRP score 0</v>
      </c>
      <c r="L1152" s="4"/>
    </row>
    <row r="1153">
      <c r="A1153" s="4" t="str">
        <f>IFERROR(__xludf.DUMMYFUNCTION("""COMPUTED_VALUE"""),"DME3144")</f>
        <v>DME3144</v>
      </c>
      <c r="B1153" s="4" t="str">
        <f>IFERROR(__xludf.DUMMYFUNCTION("""COMPUTED_VALUE"""),"Suraj Sanjay Misal")</f>
        <v>Suraj Sanjay Misal</v>
      </c>
      <c r="C1153" s="4" t="str">
        <f>IFERROR(__xludf.DUMMYFUNCTION("""COMPUTED_VALUE"""),"suraj.misal@onixnet.com")</f>
        <v>suraj.misal@onixnet.com</v>
      </c>
      <c r="D1153" s="4" t="str">
        <f>IFERROR(__xludf.DUMMYFUNCTION("""COMPUTED_VALUE"""),"Active")</f>
        <v>Active</v>
      </c>
      <c r="E1153" s="4" t="str">
        <f>IFERROR(__xludf.DUMMYFUNCTION("""COMPUTED_VALUE"""),"Delivery Services")</f>
        <v>Delivery Services</v>
      </c>
      <c r="F1153" s="4" t="str">
        <f>IFERROR(__xludf.DUMMYFUNCTION("""COMPUTED_VALUE"""),"Sunny Mathur")</f>
        <v>Sunny Mathur</v>
      </c>
      <c r="G1153" s="4" t="str">
        <f>IFERROR(__xludf.DUMMYFUNCTION("""COMPUTED_VALUE"""),"Cluster - Sagar")</f>
        <v>Cluster - Sagar</v>
      </c>
      <c r="H1153" s="4" t="str">
        <f>IFERROR(__xludf.DUMMYFUNCTION("""COMPUTED_VALUE"""),"ONISMTQT0")</f>
        <v>ONISMTQT0</v>
      </c>
      <c r="I1153" s="5">
        <f>IFERROR(__xludf.DUMMYFUNCTION("""COMPUTED_VALUE"""),9.0)</f>
        <v>9</v>
      </c>
      <c r="J1153" s="4" t="str">
        <f>IFERROR(__xludf.DUMMYFUNCTION("""COMPUTED_VALUE"""),"Tier 4")</f>
        <v>Tier 4</v>
      </c>
      <c r="K1153" s="4" t="str">
        <f>IFERROR(__xludf.DUMMYFUNCTION("""COMPUTED_VALUE"""),"Active")</f>
        <v>Active</v>
      </c>
      <c r="L1153" s="4" t="str">
        <f>IFERROR(__xludf.DUMMYFUNCTION("""COMPUTED_VALUE"""),"BigQuery")</f>
        <v>BigQuery</v>
      </c>
    </row>
    <row r="1154">
      <c r="A1154" s="4" t="str">
        <f>IFERROR(__xludf.DUMMYFUNCTION("""COMPUTED_VALUE"""),"DMC1113")</f>
        <v>DMC1113</v>
      </c>
      <c r="B1154" s="4" t="str">
        <f>IFERROR(__xludf.DUMMYFUNCTION("""COMPUTED_VALUE"""),"Ajay Choudhary")</f>
        <v>Ajay Choudhary</v>
      </c>
      <c r="C1154" s="4" t="str">
        <f>IFERROR(__xludf.DUMMYFUNCTION("""COMPUTED_VALUE"""),"ajay.choudhary@onixnet.us")</f>
        <v>ajay.choudhary@onixnet.us</v>
      </c>
      <c r="D1154" s="4" t="str">
        <f>IFERROR(__xludf.DUMMYFUNCTION("""COMPUTED_VALUE"""),"Active")</f>
        <v>Active</v>
      </c>
      <c r="E1154" s="4" t="str">
        <f>IFERROR(__xludf.DUMMYFUNCTION("""COMPUTED_VALUE"""),"Delivery Services")</f>
        <v>Delivery Services</v>
      </c>
      <c r="F1154" s="4" t="str">
        <f>IFERROR(__xludf.DUMMYFUNCTION("""COMPUTED_VALUE"""),"Mayur Tawhare")</f>
        <v>Mayur Tawhare</v>
      </c>
      <c r="G1154" s="4" t="str">
        <f>IFERROR(__xludf.DUMMYFUNCTION("""COMPUTED_VALUE"""),"Cluster - Varun")</f>
        <v>Cluster - Varun</v>
      </c>
      <c r="H1154" s="4" t="str">
        <f>IFERROR(__xludf.DUMMYFUNCTION("""COMPUTED_VALUE"""),"ONIACHNP0")</f>
        <v>ONIACHNP0</v>
      </c>
      <c r="I1154" s="5">
        <f>IFERROR(__xludf.DUMMYFUNCTION("""COMPUTED_VALUE"""),9.0)</f>
        <v>9</v>
      </c>
      <c r="J1154" s="4" t="str">
        <f>IFERROR(__xludf.DUMMYFUNCTION("""COMPUTED_VALUE"""),"Tier 4")</f>
        <v>Tier 4</v>
      </c>
      <c r="K1154" s="4" t="str">
        <f>IFERROR(__xludf.DUMMYFUNCTION("""COMPUTED_VALUE"""),"Active")</f>
        <v>Active</v>
      </c>
      <c r="L1154" s="4"/>
    </row>
    <row r="1155">
      <c r="A1155" s="4" t="str">
        <f>IFERROR(__xludf.DUMMYFUNCTION("""COMPUTED_VALUE"""),"DME3146")</f>
        <v>DME3146</v>
      </c>
      <c r="B1155" s="4" t="str">
        <f>IFERROR(__xludf.DUMMYFUNCTION("""COMPUTED_VALUE"""),"Dattatray Rajaram Patil")</f>
        <v>Dattatray Rajaram Patil</v>
      </c>
      <c r="C1155" s="4" t="str">
        <f>IFERROR(__xludf.DUMMYFUNCTION("""COMPUTED_VALUE"""),"dattatray.patil@onixnet.com")</f>
        <v>dattatray.patil@onixnet.com</v>
      </c>
      <c r="D1155" s="4" t="str">
        <f>IFERROR(__xludf.DUMMYFUNCTION("""COMPUTED_VALUE"""),"Active")</f>
        <v>Active</v>
      </c>
      <c r="E1155" s="4" t="str">
        <f>IFERROR(__xludf.DUMMYFUNCTION("""COMPUTED_VALUE"""),"Delivery Services")</f>
        <v>Delivery Services</v>
      </c>
      <c r="F1155" s="4" t="str">
        <f>IFERROR(__xludf.DUMMYFUNCTION("""COMPUTED_VALUE"""),"Manoj Patil")</f>
        <v>Manoj Patil</v>
      </c>
      <c r="G1155" s="4" t="str">
        <f>IFERROR(__xludf.DUMMYFUNCTION("""COMPUTED_VALUE"""),"Cluster - Shreepad")</f>
        <v>Cluster - Shreepad</v>
      </c>
      <c r="H1155" s="4" t="str">
        <f>IFERROR(__xludf.DUMMYFUNCTION("""COMPUTED_VALUE"""),"ONIDPTLB1")</f>
        <v>ONIDPTLB1</v>
      </c>
      <c r="I1155" s="5">
        <f>IFERROR(__xludf.DUMMYFUNCTION("""COMPUTED_VALUE"""),5.0)</f>
        <v>5</v>
      </c>
      <c r="J1155" s="4" t="str">
        <f>IFERROR(__xludf.DUMMYFUNCTION("""COMPUTED_VALUE"""),"Tier 4")</f>
        <v>Tier 4</v>
      </c>
      <c r="K1155" s="4" t="str">
        <f>IFERROR(__xludf.DUMMYFUNCTION("""COMPUTED_VALUE"""),"Active")</f>
        <v>Active</v>
      </c>
      <c r="L1155" s="4" t="str">
        <f>IFERROR(__xludf.DUMMYFUNCTION("""COMPUTED_VALUE"""),"Gemini Enterprise Agent Platform")</f>
        <v>Gemini Enterprise Agent Platform</v>
      </c>
    </row>
    <row r="1156">
      <c r="A1156" s="4" t="str">
        <f>IFERROR(__xludf.DUMMYFUNCTION("""COMPUTED_VALUE"""),"DME3148")</f>
        <v>DME3148</v>
      </c>
      <c r="B1156" s="4" t="str">
        <f>IFERROR(__xludf.DUMMYFUNCTION("""COMPUTED_VALUE"""),"Kapil K")</f>
        <v>Kapil K</v>
      </c>
      <c r="C1156" s="4" t="str">
        <f>IFERROR(__xludf.DUMMYFUNCTION("""COMPUTED_VALUE"""),"kapil.k@onixnet.com")</f>
        <v>kapil.k@onixnet.com</v>
      </c>
      <c r="D1156" s="4" t="str">
        <f>IFERROR(__xludf.DUMMYFUNCTION("""COMPUTED_VALUE"""),"Active")</f>
        <v>Active</v>
      </c>
      <c r="E1156" s="4" t="str">
        <f>IFERROR(__xludf.DUMMYFUNCTION("""COMPUTED_VALUE"""),"Delivery Services")</f>
        <v>Delivery Services</v>
      </c>
      <c r="F1156" s="4" t="str">
        <f>IFERROR(__xludf.DUMMYFUNCTION("""COMPUTED_VALUE"""),"Mayur Kasar")</f>
        <v>Mayur Kasar</v>
      </c>
      <c r="G1156" s="4" t="str">
        <f>IFERROR(__xludf.DUMMYFUNCTION("""COMPUTED_VALUE"""),"Cluster - Varun")</f>
        <v>Cluster - Varun</v>
      </c>
      <c r="H1156" s="4" t="str">
        <f>IFERROR(__xludf.DUMMYFUNCTION("""COMPUTED_VALUE"""),"ONIKKAWF0")</f>
        <v>ONIKKAWF0</v>
      </c>
      <c r="I1156" s="5">
        <f>IFERROR(__xludf.DUMMYFUNCTION("""COMPUTED_VALUE"""),44.0)</f>
        <v>44</v>
      </c>
      <c r="J1156" s="4" t="str">
        <f>IFERROR(__xludf.DUMMYFUNCTION("""COMPUTED_VALUE"""),"Tier 2")</f>
        <v>Tier 2</v>
      </c>
      <c r="K1156" s="4" t="str">
        <f>IFERROR(__xludf.DUMMYFUNCTION("""COMPUTED_VALUE"""),"Active")</f>
        <v>Active</v>
      </c>
      <c r="L1156" s="4" t="str">
        <f>IFERROR(__xludf.DUMMYFUNCTION("""COMPUTED_VALUE"""),"Apigee API Management")</f>
        <v>Apigee API Management</v>
      </c>
    </row>
    <row r="1157">
      <c r="A1157" s="4" t="str">
        <f>IFERROR(__xludf.DUMMYFUNCTION("""COMPUTED_VALUE"""),"DME3149")</f>
        <v>DME3149</v>
      </c>
      <c r="B1157" s="4" t="str">
        <f>IFERROR(__xludf.DUMMYFUNCTION("""COMPUTED_VALUE"""),"Chirag Narhari Patil")</f>
        <v>Chirag Narhari Patil</v>
      </c>
      <c r="C1157" s="4" t="str">
        <f>IFERROR(__xludf.DUMMYFUNCTION("""COMPUTED_VALUE"""),"chirag.patil@onixnet.com")</f>
        <v>chirag.patil@onixnet.com</v>
      </c>
      <c r="D1157" s="4" t="str">
        <f>IFERROR(__xludf.DUMMYFUNCTION("""COMPUTED_VALUE"""),"Active")</f>
        <v>Active</v>
      </c>
      <c r="E1157" s="4" t="str">
        <f>IFERROR(__xludf.DUMMYFUNCTION("""COMPUTED_VALUE"""),"Delivery Services")</f>
        <v>Delivery Services</v>
      </c>
      <c r="F1157" s="4" t="str">
        <f>IFERROR(__xludf.DUMMYFUNCTION("""COMPUTED_VALUE"""),"Lanyo Francis")</f>
        <v>Lanyo Francis</v>
      </c>
      <c r="G1157" s="4" t="str">
        <f>IFERROR(__xludf.DUMMYFUNCTION("""COMPUTED_VALUE"""),"Cluster - Devayani")</f>
        <v>Cluster - Devayani</v>
      </c>
      <c r="H1157" s="4" t="str">
        <f>IFERROR(__xludf.DUMMYFUNCTION("""COMPUTED_VALUE"""),"ONICPEQB2")</f>
        <v>ONICPEQB2</v>
      </c>
      <c r="I1157" s="5">
        <f>IFERROR(__xludf.DUMMYFUNCTION("""COMPUTED_VALUE"""),40.0)</f>
        <v>40</v>
      </c>
      <c r="J1157" s="4" t="str">
        <f>IFERROR(__xludf.DUMMYFUNCTION("""COMPUTED_VALUE"""),"Tier 2")</f>
        <v>Tier 2</v>
      </c>
      <c r="K1157" s="4" t="str">
        <f>IFERROR(__xludf.DUMMYFUNCTION("""COMPUTED_VALUE"""),"Active")</f>
        <v>Active</v>
      </c>
      <c r="L1157" s="4" t="str">
        <f>IFERROR(__xludf.DUMMYFUNCTION("""COMPUTED_VALUE"""),"Gemini Enterprise Agent Platform")</f>
        <v>Gemini Enterprise Agent Platform</v>
      </c>
    </row>
    <row r="1158">
      <c r="A1158" s="4" t="str">
        <f>IFERROR(__xludf.DUMMYFUNCTION("""COMPUTED_VALUE"""),"DME3145")</f>
        <v>DME3145</v>
      </c>
      <c r="B1158" s="4" t="str">
        <f>IFERROR(__xludf.DUMMYFUNCTION("""COMPUTED_VALUE"""),"Ashok Kumar Reddy Badu")</f>
        <v>Ashok Kumar Reddy Badu</v>
      </c>
      <c r="C1158" s="4" t="str">
        <f>IFERROR(__xludf.DUMMYFUNCTION("""COMPUTED_VALUE"""),"ashokreddy.badu@onixnet.com")</f>
        <v>ashokreddy.badu@onixnet.com</v>
      </c>
      <c r="D1158" s="4" t="str">
        <f>IFERROR(__xludf.DUMMYFUNCTION("""COMPUTED_VALUE"""),"Active")</f>
        <v>Active</v>
      </c>
      <c r="E1158" s="4" t="str">
        <f>IFERROR(__xludf.DUMMYFUNCTION("""COMPUTED_VALUE"""),"Delivery Services")</f>
        <v>Delivery Services</v>
      </c>
      <c r="F1158" s="4" t="str">
        <f>IFERROR(__xludf.DUMMYFUNCTION("""COMPUTED_VALUE"""),"Indrajit Omprakash Bhagat")</f>
        <v>Indrajit Omprakash Bhagat</v>
      </c>
      <c r="G1158" s="4" t="str">
        <f>IFERROR(__xludf.DUMMYFUNCTION("""COMPUTED_VALUE"""),"Cluster - Varun")</f>
        <v>Cluster - Varun</v>
      </c>
      <c r="H1158" s="4" t="str">
        <f>IFERROR(__xludf.DUMMYFUNCTION("""COMPUTED_VALUE"""),"ONIABRMS3")</f>
        <v>ONIABRMS3</v>
      </c>
      <c r="I1158" s="5">
        <f>IFERROR(__xludf.DUMMYFUNCTION("""COMPUTED_VALUE"""),5.0)</f>
        <v>5</v>
      </c>
      <c r="J1158" s="4" t="str">
        <f>IFERROR(__xludf.DUMMYFUNCTION("""COMPUTED_VALUE"""),"Tier 4")</f>
        <v>Tier 4</v>
      </c>
      <c r="K1158" s="4" t="str">
        <f>IFERROR(__xludf.DUMMYFUNCTION("""COMPUTED_VALUE"""),"Active")</f>
        <v>Active</v>
      </c>
      <c r="L1158" s="4" t="str">
        <f>IFERROR(__xludf.DUMMYFUNCTION("""COMPUTED_VALUE"""),"Google Distributed Cloud")</f>
        <v>Google Distributed Cloud</v>
      </c>
    </row>
    <row r="1159">
      <c r="A1159" s="4" t="str">
        <f>IFERROR(__xludf.DUMMYFUNCTION("""COMPUTED_VALUE"""),"DME3150")</f>
        <v>DME3150</v>
      </c>
      <c r="B1159" s="4" t="str">
        <f>IFERROR(__xludf.DUMMYFUNCTION("""COMPUTED_VALUE"""),"Sai Shankar Boga")</f>
        <v>Sai Shankar Boga</v>
      </c>
      <c r="C1159" s="4" t="str">
        <f>IFERROR(__xludf.DUMMYFUNCTION("""COMPUTED_VALUE"""),"saishankar.boga@onixnet.com")</f>
        <v>saishankar.boga@onixnet.com</v>
      </c>
      <c r="D1159" s="4" t="str">
        <f>IFERROR(__xludf.DUMMYFUNCTION("""COMPUTED_VALUE"""),"Active")</f>
        <v>Active</v>
      </c>
      <c r="E1159" s="4" t="str">
        <f>IFERROR(__xludf.DUMMYFUNCTION("""COMPUTED_VALUE"""),"Delivery Services")</f>
        <v>Delivery Services</v>
      </c>
      <c r="F1159" s="4" t="str">
        <f>IFERROR(__xludf.DUMMYFUNCTION("""COMPUTED_VALUE"""),"Haroon Azeem")</f>
        <v>Haroon Azeem</v>
      </c>
      <c r="G1159" s="4" t="str">
        <f>IFERROR(__xludf.DUMMYFUNCTION("""COMPUTED_VALUE"""),"Cluster - Shreepad")</f>
        <v>Cluster - Shreepad</v>
      </c>
      <c r="H1159" s="4" t="str">
        <f>IFERROR(__xludf.DUMMYFUNCTION("""COMPUTED_VALUE"""),"ONISBORM7")</f>
        <v>ONISBORM7</v>
      </c>
      <c r="I1159" s="5">
        <f>IFERROR(__xludf.DUMMYFUNCTION("""COMPUTED_VALUE"""),43.0)</f>
        <v>43</v>
      </c>
      <c r="J1159" s="4" t="str">
        <f>IFERROR(__xludf.DUMMYFUNCTION("""COMPUTED_VALUE"""),"Tier 2")</f>
        <v>Tier 2</v>
      </c>
      <c r="K1159" s="4" t="str">
        <f>IFERROR(__xludf.DUMMYFUNCTION("""COMPUTED_VALUE"""),"Active")</f>
        <v>Active</v>
      </c>
      <c r="L1159" s="4" t="str">
        <f>IFERROR(__xludf.DUMMYFUNCTION("""COMPUTED_VALUE"""),"Gemini Enterprise Agent Platform")</f>
        <v>Gemini Enterprise Agent Platform</v>
      </c>
    </row>
    <row r="1160">
      <c r="A1160" s="4" t="str">
        <f>IFERROR(__xludf.DUMMYFUNCTION("""COMPUTED_VALUE"""),"DME3151")</f>
        <v>DME3151</v>
      </c>
      <c r="B1160" s="4" t="str">
        <f>IFERROR(__xludf.DUMMYFUNCTION("""COMPUTED_VALUE"""),"Aaradhy Vijaywat")</f>
        <v>Aaradhy Vijaywat</v>
      </c>
      <c r="C1160" s="4" t="str">
        <f>IFERROR(__xludf.DUMMYFUNCTION("""COMPUTED_VALUE"""),"aaradhy.vijaywat@onixnet.com")</f>
        <v>aaradhy.vijaywat@onixnet.com</v>
      </c>
      <c r="D1160" s="4" t="str">
        <f>IFERROR(__xludf.DUMMYFUNCTION("""COMPUTED_VALUE"""),"Active")</f>
        <v>Active</v>
      </c>
      <c r="E1160" s="4" t="str">
        <f>IFERROR(__xludf.DUMMYFUNCTION("""COMPUTED_VALUE"""),"Delivery Services")</f>
        <v>Delivery Services</v>
      </c>
      <c r="F1160" s="4" t="str">
        <f>IFERROR(__xludf.DUMMYFUNCTION("""COMPUTED_VALUE"""),"Sneha Bhatambrekar")</f>
        <v>Sneha Bhatambrekar</v>
      </c>
      <c r="G1160" s="4" t="str">
        <f>IFERROR(__xludf.DUMMYFUNCTION("""COMPUTED_VALUE"""),"Cluster - Sandeep")</f>
        <v>Cluster - Sandeep</v>
      </c>
      <c r="H1160" s="4" t="str">
        <f>IFERROR(__xludf.DUMMYFUNCTION("""COMPUTED_VALUE"""),"ONIAVYAX8")</f>
        <v>ONIAVYAX8</v>
      </c>
      <c r="I1160" s="5">
        <f>IFERROR(__xludf.DUMMYFUNCTION("""COMPUTED_VALUE"""),15.0)</f>
        <v>15</v>
      </c>
      <c r="J1160" s="4" t="str">
        <f>IFERROR(__xludf.DUMMYFUNCTION("""COMPUTED_VALUE"""),"Tier 4")</f>
        <v>Tier 4</v>
      </c>
      <c r="K1160" s="4" t="str">
        <f>IFERROR(__xludf.DUMMYFUNCTION("""COMPUTED_VALUE"""),"Active")</f>
        <v>Active</v>
      </c>
      <c r="L1160" s="4" t="str">
        <f>IFERROR(__xludf.DUMMYFUNCTION("""COMPUTED_VALUE"""),"BigQuery")</f>
        <v>BigQuery</v>
      </c>
    </row>
    <row r="1161">
      <c r="A1161" s="4" t="str">
        <f>IFERROR(__xludf.DUMMYFUNCTION("""COMPUTED_VALUE"""),"DME3152")</f>
        <v>DME3152</v>
      </c>
      <c r="B1161" s="4" t="str">
        <f>IFERROR(__xludf.DUMMYFUNCTION("""COMPUTED_VALUE"""),"Amol Sunil Shinde")</f>
        <v>Amol Sunil Shinde</v>
      </c>
      <c r="C1161" s="4" t="str">
        <f>IFERROR(__xludf.DUMMYFUNCTION("""COMPUTED_VALUE"""),"amol.shinde@onixnet.com")</f>
        <v>amol.shinde@onixnet.com</v>
      </c>
      <c r="D1161" s="4" t="str">
        <f>IFERROR(__xludf.DUMMYFUNCTION("""COMPUTED_VALUE"""),"Active")</f>
        <v>Active</v>
      </c>
      <c r="E1161" s="4" t="str">
        <f>IFERROR(__xludf.DUMMYFUNCTION("""COMPUTED_VALUE"""),"Delivery Services")</f>
        <v>Delivery Services</v>
      </c>
      <c r="F1161" s="4" t="str">
        <f>IFERROR(__xludf.DUMMYFUNCTION("""COMPUTED_VALUE"""),"Manoj Patil")</f>
        <v>Manoj Patil</v>
      </c>
      <c r="G1161" s="4" t="str">
        <f>IFERROR(__xludf.DUMMYFUNCTION("""COMPUTED_VALUE"""),"Cluster - Shreepad")</f>
        <v>Cluster - Shreepad</v>
      </c>
      <c r="H1161" s="4" t="str">
        <f>IFERROR(__xludf.DUMMYFUNCTION("""COMPUTED_VALUE"""),"ONIASIXY3")</f>
        <v>ONIASIXY3</v>
      </c>
      <c r="I1161" s="5">
        <f>IFERROR(__xludf.DUMMYFUNCTION("""COMPUTED_VALUE"""),14.0)</f>
        <v>14</v>
      </c>
      <c r="J1161" s="4" t="str">
        <f>IFERROR(__xludf.DUMMYFUNCTION("""COMPUTED_VALUE"""),"Tier 4")</f>
        <v>Tier 4</v>
      </c>
      <c r="K1161" s="4" t="str">
        <f>IFERROR(__xludf.DUMMYFUNCTION("""COMPUTED_VALUE"""),"Active")</f>
        <v>Active</v>
      </c>
      <c r="L1161" s="4" t="str">
        <f>IFERROR(__xludf.DUMMYFUNCTION("""COMPUTED_VALUE"""),"Cloud SQL")</f>
        <v>Cloud SQL</v>
      </c>
    </row>
    <row r="1162">
      <c r="A1162" s="4" t="str">
        <f>IFERROR(__xludf.DUMMYFUNCTION("""COMPUTED_VALUE"""),"DME3155")</f>
        <v>DME3155</v>
      </c>
      <c r="B1162" s="4" t="str">
        <f>IFERROR(__xludf.DUMMYFUNCTION("""COMPUTED_VALUE"""),"Aakash Vinod Tolani")</f>
        <v>Aakash Vinod Tolani</v>
      </c>
      <c r="C1162" s="4" t="str">
        <f>IFERROR(__xludf.DUMMYFUNCTION("""COMPUTED_VALUE"""),"aakash.tolani@onixnet.com")</f>
        <v>aakash.tolani@onixnet.com</v>
      </c>
      <c r="D1162" s="4" t="str">
        <f>IFERROR(__xludf.DUMMYFUNCTION("""COMPUTED_VALUE"""),"Active")</f>
        <v>Active</v>
      </c>
      <c r="E1162" s="4" t="str">
        <f>IFERROR(__xludf.DUMMYFUNCTION("""COMPUTED_VALUE"""),"Delivery Services")</f>
        <v>Delivery Services</v>
      </c>
      <c r="F1162" s="4" t="str">
        <f>IFERROR(__xludf.DUMMYFUNCTION("""COMPUTED_VALUE"""),"Shreepad Dhok")</f>
        <v>Shreepad Dhok</v>
      </c>
      <c r="G1162" s="4" t="str">
        <f>IFERROR(__xludf.DUMMYFUNCTION("""COMPUTED_VALUE"""),"Cluster - Shreepad")</f>
        <v>Cluster - Shreepad</v>
      </c>
      <c r="H1162" s="4" t="str">
        <f>IFERROR(__xludf.DUMMYFUNCTION("""COMPUTED_VALUE"""),"ONIATIEI9")</f>
        <v>ONIATIEI9</v>
      </c>
      <c r="I1162" s="5">
        <f>IFERROR(__xludf.DUMMYFUNCTION("""COMPUTED_VALUE"""),5.0)</f>
        <v>5</v>
      </c>
      <c r="J1162" s="4" t="str">
        <f>IFERROR(__xludf.DUMMYFUNCTION("""COMPUTED_VALUE"""),"Tier 4")</f>
        <v>Tier 4</v>
      </c>
      <c r="K1162" s="4" t="str">
        <f>IFERROR(__xludf.DUMMYFUNCTION("""COMPUTED_VALUE"""),"Active")</f>
        <v>Active</v>
      </c>
      <c r="L1162" s="4" t="str">
        <f>IFERROR(__xludf.DUMMYFUNCTION("""COMPUTED_VALUE"""),"Gemini Enterprise Agent Platform")</f>
        <v>Gemini Enterprise Agent Platform</v>
      </c>
    </row>
    <row r="1163">
      <c r="A1163" s="4" t="str">
        <f>IFERROR(__xludf.DUMMYFUNCTION("""COMPUTED_VALUE"""),"DME3156")</f>
        <v>DME3156</v>
      </c>
      <c r="B1163" s="4" t="str">
        <f>IFERROR(__xludf.DUMMYFUNCTION("""COMPUTED_VALUE"""),"Boddu Raj kumar")</f>
        <v>Boddu Raj kumar</v>
      </c>
      <c r="C1163" s="4" t="str">
        <f>IFERROR(__xludf.DUMMYFUNCTION("""COMPUTED_VALUE"""),"rajkumar.boddu@onixnet.com")</f>
        <v>rajkumar.boddu@onixnet.com</v>
      </c>
      <c r="D1163" s="4" t="str">
        <f>IFERROR(__xludf.DUMMYFUNCTION("""COMPUTED_VALUE"""),"Active")</f>
        <v>Active</v>
      </c>
      <c r="E1163" s="4" t="str">
        <f>IFERROR(__xludf.DUMMYFUNCTION("""COMPUTED_VALUE"""),"Delivery Services")</f>
        <v>Delivery Services</v>
      </c>
      <c r="F1163" s="4" t="str">
        <f>IFERROR(__xludf.DUMMYFUNCTION("""COMPUTED_VALUE"""),"Dinesh Bhamare")</f>
        <v>Dinesh Bhamare</v>
      </c>
      <c r="G1163" s="4" t="str">
        <f>IFERROR(__xludf.DUMMYFUNCTION("""COMPUTED_VALUE"""),"Cluster - Shreepad")</f>
        <v>Cluster - Shreepad</v>
      </c>
      <c r="H1163" s="4" t="str">
        <f>IFERROR(__xludf.DUMMYFUNCTION("""COMPUTED_VALUE"""),"ONIBRGXE8")</f>
        <v>ONIBRGXE8</v>
      </c>
      <c r="I1163" s="5">
        <f>IFERROR(__xludf.DUMMYFUNCTION("""COMPUTED_VALUE"""),5.0)</f>
        <v>5</v>
      </c>
      <c r="J1163" s="4" t="str">
        <f>IFERROR(__xludf.DUMMYFUNCTION("""COMPUTED_VALUE"""),"Tier 4")</f>
        <v>Tier 4</v>
      </c>
      <c r="K1163" s="4" t="str">
        <f>IFERROR(__xludf.DUMMYFUNCTION("""COMPUTED_VALUE"""),"Active")</f>
        <v>Active</v>
      </c>
      <c r="L1163" s="4" t="str">
        <f>IFERROR(__xludf.DUMMYFUNCTION("""COMPUTED_VALUE"""),"BigQuery")</f>
        <v>BigQuery</v>
      </c>
    </row>
    <row r="1164">
      <c r="A1164" s="4" t="str">
        <f>IFERROR(__xludf.DUMMYFUNCTION("""COMPUTED_VALUE"""),"DME3157")</f>
        <v>DME3157</v>
      </c>
      <c r="B1164" s="4" t="str">
        <f>IFERROR(__xludf.DUMMYFUNCTION("""COMPUTED_VALUE"""),"Saurabh Sanjay Magar")</f>
        <v>Saurabh Sanjay Magar</v>
      </c>
      <c r="C1164" s="4" t="str">
        <f>IFERROR(__xludf.DUMMYFUNCTION("""COMPUTED_VALUE"""),"saurabh.magar1@onixnet.com")</f>
        <v>saurabh.magar1@onixnet.com</v>
      </c>
      <c r="D1164" s="4" t="str">
        <f>IFERROR(__xludf.DUMMYFUNCTION("""COMPUTED_VALUE"""),"Active")</f>
        <v>Active</v>
      </c>
      <c r="E1164" s="4" t="str">
        <f>IFERROR(__xludf.DUMMYFUNCTION("""COMPUTED_VALUE"""),"Delivery Services")</f>
        <v>Delivery Services</v>
      </c>
      <c r="F1164" s="4" t="str">
        <f>IFERROR(__xludf.DUMMYFUNCTION("""COMPUTED_VALUE"""),"Indrajit Omprakash Bhagat")</f>
        <v>Indrajit Omprakash Bhagat</v>
      </c>
      <c r="G1164" s="4" t="str">
        <f>IFERROR(__xludf.DUMMYFUNCTION("""COMPUTED_VALUE"""),"Cluster - Varun")</f>
        <v>Cluster - Varun</v>
      </c>
      <c r="H1164" s="4" t="str">
        <f>IFERROR(__xludf.DUMMYFUNCTION("""COMPUTED_VALUE"""),"ONISMMLZ7")</f>
        <v>ONISMMLZ7</v>
      </c>
      <c r="I1164" s="5">
        <f>IFERROR(__xludf.DUMMYFUNCTION("""COMPUTED_VALUE"""),0.0)</f>
        <v>0</v>
      </c>
      <c r="J1164" s="4" t="str">
        <f>IFERROR(__xludf.DUMMYFUNCTION("""COMPUTED_VALUE"""),"Tier 4")</f>
        <v>Tier 4</v>
      </c>
      <c r="K1164" s="4" t="str">
        <f>IFERROR(__xludf.DUMMYFUNCTION("""COMPUTED_VALUE"""),"ID Created DRP score 0")</f>
        <v>ID Created DRP score 0</v>
      </c>
      <c r="L1164" s="4"/>
    </row>
    <row r="1165">
      <c r="A1165" s="4" t="str">
        <f>IFERROR(__xludf.DUMMYFUNCTION("""COMPUTED_VALUE"""),"DME3160")</f>
        <v>DME3160</v>
      </c>
      <c r="B1165" s="4" t="str">
        <f>IFERROR(__xludf.DUMMYFUNCTION("""COMPUTED_VALUE"""),"Akula Chandra Vardhan")</f>
        <v>Akula Chandra Vardhan</v>
      </c>
      <c r="C1165" s="4" t="str">
        <f>IFERROR(__xludf.DUMMYFUNCTION("""COMPUTED_VALUE"""),"chandra.akula@onixnet.com")</f>
        <v>chandra.akula@onixnet.com</v>
      </c>
      <c r="D1165" s="4" t="str">
        <f>IFERROR(__xludf.DUMMYFUNCTION("""COMPUTED_VALUE"""),"Active")</f>
        <v>Active</v>
      </c>
      <c r="E1165" s="4" t="str">
        <f>IFERROR(__xludf.DUMMYFUNCTION("""COMPUTED_VALUE"""),"Delivery Services")</f>
        <v>Delivery Services</v>
      </c>
      <c r="F1165" s="4" t="str">
        <f>IFERROR(__xludf.DUMMYFUNCTION("""COMPUTED_VALUE"""),"Sadupati Ashok Kumar")</f>
        <v>Sadupati Ashok Kumar</v>
      </c>
      <c r="G1165" s="4" t="str">
        <f>IFERROR(__xludf.DUMMYFUNCTION("""COMPUTED_VALUE"""),"Cluster - Shreepad")</f>
        <v>Cluster - Shreepad</v>
      </c>
      <c r="H1165" s="4" t="str">
        <f>IFERROR(__xludf.DUMMYFUNCTION("""COMPUTED_VALUE"""),"ONICAARO7")</f>
        <v>ONICAARO7</v>
      </c>
      <c r="I1165" s="5">
        <f>IFERROR(__xludf.DUMMYFUNCTION("""COMPUTED_VALUE"""),7.0)</f>
        <v>7</v>
      </c>
      <c r="J1165" s="4" t="str">
        <f>IFERROR(__xludf.DUMMYFUNCTION("""COMPUTED_VALUE"""),"Tier 4")</f>
        <v>Tier 4</v>
      </c>
      <c r="K1165" s="4" t="str">
        <f>IFERROR(__xludf.DUMMYFUNCTION("""COMPUTED_VALUE"""),"Active")</f>
        <v>Active</v>
      </c>
      <c r="L1165" s="4" t="str">
        <f>IFERROR(__xludf.DUMMYFUNCTION("""COMPUTED_VALUE"""),"BigQuery")</f>
        <v>BigQuery</v>
      </c>
    </row>
    <row r="1166">
      <c r="A1166" s="4" t="str">
        <f>IFERROR(__xludf.DUMMYFUNCTION("""COMPUTED_VALUE"""),"DME3161")</f>
        <v>DME3161</v>
      </c>
      <c r="B1166" s="4" t="str">
        <f>IFERROR(__xludf.DUMMYFUNCTION("""COMPUTED_VALUE"""),"Vallepu Nagasai")</f>
        <v>Vallepu Nagasai</v>
      </c>
      <c r="C1166" s="4" t="str">
        <f>IFERROR(__xludf.DUMMYFUNCTION("""COMPUTED_VALUE"""),"vallepu.nagasai@onixnet.com")</f>
        <v>vallepu.nagasai@onixnet.com</v>
      </c>
      <c r="D1166" s="4" t="str">
        <f>IFERROR(__xludf.DUMMYFUNCTION("""COMPUTED_VALUE"""),"Active")</f>
        <v>Active</v>
      </c>
      <c r="E1166" s="4" t="str">
        <f>IFERROR(__xludf.DUMMYFUNCTION("""COMPUTED_VALUE"""),"Delivery Services")</f>
        <v>Delivery Services</v>
      </c>
      <c r="F1166" s="4" t="str">
        <f>IFERROR(__xludf.DUMMYFUNCTION("""COMPUTED_VALUE"""),"Syam Prasad Gera")</f>
        <v>Syam Prasad Gera</v>
      </c>
      <c r="G1166" s="4" t="str">
        <f>IFERROR(__xludf.DUMMYFUNCTION("""COMPUTED_VALUE"""),"Cluster - Shreepad")</f>
        <v>Cluster - Shreepad</v>
      </c>
      <c r="H1166" s="4" t="str">
        <f>IFERROR(__xludf.DUMMYFUNCTION("""COMPUTED_VALUE"""),"ONIVNCPA0")</f>
        <v>ONIVNCPA0</v>
      </c>
      <c r="I1166" s="5">
        <f>IFERROR(__xludf.DUMMYFUNCTION("""COMPUTED_VALUE"""),8.0)</f>
        <v>8</v>
      </c>
      <c r="J1166" s="4" t="str">
        <f>IFERROR(__xludf.DUMMYFUNCTION("""COMPUTED_VALUE"""),"Tier 4")</f>
        <v>Tier 4</v>
      </c>
      <c r="K1166" s="4" t="str">
        <f>IFERROR(__xludf.DUMMYFUNCTION("""COMPUTED_VALUE"""),"Active")</f>
        <v>Active</v>
      </c>
      <c r="L1166" s="4" t="str">
        <f>IFERROR(__xludf.DUMMYFUNCTION("""COMPUTED_VALUE"""),"Gemini Enterprise Agent Platform")</f>
        <v>Gemini Enterprise Agent Platform</v>
      </c>
    </row>
    <row r="1167">
      <c r="A1167" s="4" t="str">
        <f>IFERROR(__xludf.DUMMYFUNCTION("""COMPUTED_VALUE"""),"DMC1121")</f>
        <v>DMC1121</v>
      </c>
      <c r="B1167" s="4" t="str">
        <f>IFERROR(__xludf.DUMMYFUNCTION("""COMPUTED_VALUE"""),"Abhishek Gupta")</f>
        <v>Abhishek Gupta</v>
      </c>
      <c r="C1167" s="4" t="str">
        <f>IFERROR(__xludf.DUMMYFUNCTION("""COMPUTED_VALUE"""),"abhishek.gupta@onixnet.us")</f>
        <v>abhishek.gupta@onixnet.us</v>
      </c>
      <c r="D1167" s="4" t="str">
        <f>IFERROR(__xludf.DUMMYFUNCTION("""COMPUTED_VALUE"""),"Active")</f>
        <v>Active</v>
      </c>
      <c r="E1167" s="4" t="str">
        <f>IFERROR(__xludf.DUMMYFUNCTION("""COMPUTED_VALUE"""),"Delivery Services")</f>
        <v>Delivery Services</v>
      </c>
      <c r="F1167" s="4" t="str">
        <f>IFERROR(__xludf.DUMMYFUNCTION("""COMPUTED_VALUE"""),"Mayur Tawhare")</f>
        <v>Mayur Tawhare</v>
      </c>
      <c r="G1167" s="4" t="str">
        <f>IFERROR(__xludf.DUMMYFUNCTION("""COMPUTED_VALUE"""),"Cluster - Varun")</f>
        <v>Cluster - Varun</v>
      </c>
      <c r="H1167" s="4" t="str">
        <f>IFERROR(__xludf.DUMMYFUNCTION("""COMPUTED_VALUE"""),"ONIAGOQG7")</f>
        <v>ONIAGOQG7</v>
      </c>
      <c r="I1167" s="5">
        <f>IFERROR(__xludf.DUMMYFUNCTION("""COMPUTED_VALUE"""),5.0)</f>
        <v>5</v>
      </c>
      <c r="J1167" s="4" t="str">
        <f>IFERROR(__xludf.DUMMYFUNCTION("""COMPUTED_VALUE"""),"Tier 4")</f>
        <v>Tier 4</v>
      </c>
      <c r="K1167" s="4" t="str">
        <f>IFERROR(__xludf.DUMMYFUNCTION("""COMPUTED_VALUE"""),"Active")</f>
        <v>Active</v>
      </c>
      <c r="L1167" s="4" t="str">
        <f>IFERROR(__xludf.DUMMYFUNCTION("""COMPUTED_VALUE"""),"Gemini Enterprise Agent Platform")</f>
        <v>Gemini Enterprise Agent Platform</v>
      </c>
    </row>
    <row r="1168">
      <c r="A1168" s="4" t="str">
        <f>IFERROR(__xludf.DUMMYFUNCTION("""COMPUTED_VALUE"""),"DME3162")</f>
        <v>DME3162</v>
      </c>
      <c r="B1168" s="4" t="str">
        <f>IFERROR(__xludf.DUMMYFUNCTION("""COMPUTED_VALUE"""),"Jitendra Shivaji Yadav")</f>
        <v>Jitendra Shivaji Yadav</v>
      </c>
      <c r="C1168" s="4" t="str">
        <f>IFERROR(__xludf.DUMMYFUNCTION("""COMPUTED_VALUE"""),"jitendra.yadav@onixnet.com")</f>
        <v>jitendra.yadav@onixnet.com</v>
      </c>
      <c r="D1168" s="4" t="str">
        <f>IFERROR(__xludf.DUMMYFUNCTION("""COMPUTED_VALUE"""),"Active")</f>
        <v>Active</v>
      </c>
      <c r="E1168" s="4" t="str">
        <f>IFERROR(__xludf.DUMMYFUNCTION("""COMPUTED_VALUE"""),"Delivery Services")</f>
        <v>Delivery Services</v>
      </c>
      <c r="F1168" s="4" t="str">
        <f>IFERROR(__xludf.DUMMYFUNCTION("""COMPUTED_VALUE"""),"Varun Katyal")</f>
        <v>Varun Katyal</v>
      </c>
      <c r="G1168" s="4" t="str">
        <f>IFERROR(__xludf.DUMMYFUNCTION("""COMPUTED_VALUE"""),"Cluster - Varun")</f>
        <v>Cluster - Varun</v>
      </c>
      <c r="H1168" s="4" t="str">
        <f>IFERROR(__xludf.DUMMYFUNCTION("""COMPUTED_VALUE"""),"ONIJYALB3")</f>
        <v>ONIJYALB3</v>
      </c>
      <c r="I1168" s="5">
        <f>IFERROR(__xludf.DUMMYFUNCTION("""COMPUTED_VALUE"""),9.0)</f>
        <v>9</v>
      </c>
      <c r="J1168" s="4" t="str">
        <f>IFERROR(__xludf.DUMMYFUNCTION("""COMPUTED_VALUE"""),"Tier 4")</f>
        <v>Tier 4</v>
      </c>
      <c r="K1168" s="4" t="str">
        <f>IFERROR(__xludf.DUMMYFUNCTION("""COMPUTED_VALUE"""),"Active")</f>
        <v>Active</v>
      </c>
      <c r="L1168" s="4" t="str">
        <f>IFERROR(__xludf.DUMMYFUNCTION("""COMPUTED_VALUE"""),"Gemini Enterprise Agent Platform")</f>
        <v>Gemini Enterprise Agent Platform</v>
      </c>
    </row>
    <row r="1169">
      <c r="A1169" s="4" t="str">
        <f>IFERROR(__xludf.DUMMYFUNCTION("""COMPUTED_VALUE"""),"DMGR0001")</f>
        <v>DMGR0001</v>
      </c>
      <c r="B1169" s="4" t="str">
        <f>IFERROR(__xludf.DUMMYFUNCTION("""COMPUTED_VALUE"""),"Narpati Jha")</f>
        <v>Narpati Jha</v>
      </c>
      <c r="C1169" s="4" t="str">
        <f>IFERROR(__xludf.DUMMYFUNCTION("""COMPUTED_VALUE"""),"narpati.jha@onixnet.com")</f>
        <v>narpati.jha@onixnet.com</v>
      </c>
      <c r="D1169" s="4" t="str">
        <f>IFERROR(__xludf.DUMMYFUNCTION("""COMPUTED_VALUE"""),"Active")</f>
        <v>Active</v>
      </c>
      <c r="E1169" s="4" t="str">
        <f>IFERROR(__xludf.DUMMYFUNCTION("""COMPUTED_VALUE"""),"Delivery Services")</f>
        <v>Delivery Services</v>
      </c>
      <c r="F1169" s="4" t="str">
        <f>IFERROR(__xludf.DUMMYFUNCTION("""COMPUTED_VALUE"""),"Siddharth Bhandari")</f>
        <v>Siddharth Bhandari</v>
      </c>
      <c r="G1169" s="4" t="str">
        <f>IFERROR(__xludf.DUMMYFUNCTION("""COMPUTED_VALUE"""),"Portfolio - Siddharth")</f>
        <v>Portfolio - Siddharth</v>
      </c>
      <c r="H1169" s="4" t="str">
        <f>IFERROR(__xludf.DUMMYFUNCTION("""COMPUTED_VALUE"""),"ONINJMJP6")</f>
        <v>ONINJMJP6</v>
      </c>
      <c r="I1169" s="5">
        <f>IFERROR(__xludf.DUMMYFUNCTION("""COMPUTED_VALUE"""),0.0)</f>
        <v>0</v>
      </c>
      <c r="J1169" s="4" t="str">
        <f>IFERROR(__xludf.DUMMYFUNCTION("""COMPUTED_VALUE"""),"Tier 4")</f>
        <v>Tier 4</v>
      </c>
      <c r="K1169" s="4" t="str">
        <f>IFERROR(__xludf.DUMMYFUNCTION("""COMPUTED_VALUE"""),"ID Created DRP score 0")</f>
        <v>ID Created DRP score 0</v>
      </c>
      <c r="L1169" s="4"/>
    </row>
    <row r="1170">
      <c r="A1170" s="4" t="str">
        <f>IFERROR(__xludf.DUMMYFUNCTION("""COMPUTED_VALUE"""),"DMGR0002")</f>
        <v>DMGR0002</v>
      </c>
      <c r="B1170" s="4" t="str">
        <f>IFERROR(__xludf.DUMMYFUNCTION("""COMPUTED_VALUE"""),"Varun Rauthan")</f>
        <v>Varun Rauthan</v>
      </c>
      <c r="C1170" s="4" t="str">
        <f>IFERROR(__xludf.DUMMYFUNCTION("""COMPUTED_VALUE"""),"varun.rauthan@onixnet.com")</f>
        <v>varun.rauthan@onixnet.com</v>
      </c>
      <c r="D1170" s="4" t="str">
        <f>IFERROR(__xludf.DUMMYFUNCTION("""COMPUTED_VALUE"""),"Active")</f>
        <v>Active</v>
      </c>
      <c r="E1170" s="4" t="str">
        <f>IFERROR(__xludf.DUMMYFUNCTION("""COMPUTED_VALUE"""),"Delivery Services")</f>
        <v>Delivery Services</v>
      </c>
      <c r="F1170" s="4" t="str">
        <f>IFERROR(__xludf.DUMMYFUNCTION("""COMPUTED_VALUE"""),"Siddharth Bhandari")</f>
        <v>Siddharth Bhandari</v>
      </c>
      <c r="G1170" s="4" t="str">
        <f>IFERROR(__xludf.DUMMYFUNCTION("""COMPUTED_VALUE"""),"Portfolio - Siddharth")</f>
        <v>Portfolio - Siddharth</v>
      </c>
      <c r="H1170" s="4" t="str">
        <f>IFERROR(__xludf.DUMMYFUNCTION("""COMPUTED_VALUE"""),"ONIVRBTA1")</f>
        <v>ONIVRBTA1</v>
      </c>
      <c r="I1170" s="5">
        <f>IFERROR(__xludf.DUMMYFUNCTION("""COMPUTED_VALUE"""),55.0)</f>
        <v>55</v>
      </c>
      <c r="J1170" s="4" t="str">
        <f>IFERROR(__xludf.DUMMYFUNCTION("""COMPUTED_VALUE"""),"Tier 1")</f>
        <v>Tier 1</v>
      </c>
      <c r="K1170" s="4" t="str">
        <f>IFERROR(__xludf.DUMMYFUNCTION("""COMPUTED_VALUE"""),"Active")</f>
        <v>Active</v>
      </c>
      <c r="L1170" s="4" t="str">
        <f>IFERROR(__xludf.DUMMYFUNCTION("""COMPUTED_VALUE"""),"BigQuery")</f>
        <v>BigQuery</v>
      </c>
    </row>
    <row r="1171">
      <c r="A1171" s="4" t="str">
        <f>IFERROR(__xludf.DUMMYFUNCTION("""COMPUTED_VALUE"""),"DME3167")</f>
        <v>DME3167</v>
      </c>
      <c r="B1171" s="4" t="str">
        <f>IFERROR(__xludf.DUMMYFUNCTION("""COMPUTED_VALUE"""),"AJAY CHOUBEY")</f>
        <v>AJAY CHOUBEY</v>
      </c>
      <c r="C1171" s="4" t="str">
        <f>IFERROR(__xludf.DUMMYFUNCTION("""COMPUTED_VALUE"""),"ajay.choubey@onixnet.com")</f>
        <v>ajay.choubey@onixnet.com</v>
      </c>
      <c r="D1171" s="4" t="str">
        <f>IFERROR(__xludf.DUMMYFUNCTION("""COMPUTED_VALUE"""),"Active")</f>
        <v>Active</v>
      </c>
      <c r="E1171" s="4" t="str">
        <f>IFERROR(__xludf.DUMMYFUNCTION("""COMPUTED_VALUE"""),"Delivery Services")</f>
        <v>Delivery Services</v>
      </c>
      <c r="F1171" s="4" t="str">
        <f>IFERROR(__xludf.DUMMYFUNCTION("""COMPUTED_VALUE"""),"Shubhendu Shubhendu")</f>
        <v>Shubhendu Shubhendu</v>
      </c>
      <c r="G1171" s="4" t="str">
        <f>IFERROR(__xludf.DUMMYFUNCTION("""COMPUTED_VALUE"""),"Cluster - Kanhaiya")</f>
        <v>Cluster - Kanhaiya</v>
      </c>
      <c r="H1171" s="4" t="str">
        <f>IFERROR(__xludf.DUMMYFUNCTION("""COMPUTED_VALUE"""),"ONIACHTK6")</f>
        <v>ONIACHTK6</v>
      </c>
      <c r="I1171" s="5">
        <f>IFERROR(__xludf.DUMMYFUNCTION("""COMPUTED_VALUE"""),0.0)</f>
        <v>0</v>
      </c>
      <c r="J1171" s="4" t="str">
        <f>IFERROR(__xludf.DUMMYFUNCTION("""COMPUTED_VALUE"""),"Tier 4")</f>
        <v>Tier 4</v>
      </c>
      <c r="K1171" s="4" t="str">
        <f>IFERROR(__xludf.DUMMYFUNCTION("""COMPUTED_VALUE"""),"ID Created DRP score 0")</f>
        <v>ID Created DRP score 0</v>
      </c>
      <c r="L1171" s="4"/>
    </row>
    <row r="1172">
      <c r="A1172" s="4" t="str">
        <f>IFERROR(__xludf.DUMMYFUNCTION("""COMPUTED_VALUE"""),"DME3169")</f>
        <v>DME3169</v>
      </c>
      <c r="B1172" s="4" t="str">
        <f>IFERROR(__xludf.DUMMYFUNCTION("""COMPUTED_VALUE"""),"Arti Bhausaheb Dhone")</f>
        <v>Arti Bhausaheb Dhone</v>
      </c>
      <c r="C1172" s="4" t="str">
        <f>IFERROR(__xludf.DUMMYFUNCTION("""COMPUTED_VALUE"""),"arti.dhone@onixnet.com")</f>
        <v>arti.dhone@onixnet.com</v>
      </c>
      <c r="D1172" s="4" t="str">
        <f>IFERROR(__xludf.DUMMYFUNCTION("""COMPUTED_VALUE"""),"Active")</f>
        <v>Active</v>
      </c>
      <c r="E1172" s="4" t="str">
        <f>IFERROR(__xludf.DUMMYFUNCTION("""COMPUTED_VALUE"""),"Delivery Services")</f>
        <v>Delivery Services</v>
      </c>
      <c r="F1172" s="4" t="str">
        <f>IFERROR(__xludf.DUMMYFUNCTION("""COMPUTED_VALUE"""),"Rahul Shelake")</f>
        <v>Rahul Shelake</v>
      </c>
      <c r="G1172" s="4" t="str">
        <f>IFERROR(__xludf.DUMMYFUNCTION("""COMPUTED_VALUE"""),"Cluster - Sagar")</f>
        <v>Cluster - Sagar</v>
      </c>
      <c r="H1172" s="4" t="str">
        <f>IFERROR(__xludf.DUMMYFUNCTION("""COMPUTED_VALUE"""),"ONIADSQF2")</f>
        <v>ONIADSQF2</v>
      </c>
      <c r="I1172" s="5">
        <f>IFERROR(__xludf.DUMMYFUNCTION("""COMPUTED_VALUE"""),0.0)</f>
        <v>0</v>
      </c>
      <c r="J1172" s="4" t="str">
        <f>IFERROR(__xludf.DUMMYFUNCTION("""COMPUTED_VALUE"""),"Tier 4")</f>
        <v>Tier 4</v>
      </c>
      <c r="K1172" s="4" t="str">
        <f>IFERROR(__xludf.DUMMYFUNCTION("""COMPUTED_VALUE"""),"ID Created DRP score 0")</f>
        <v>ID Created DRP score 0</v>
      </c>
      <c r="L1172" s="4"/>
    </row>
    <row r="1173">
      <c r="A1173" s="4" t="str">
        <f>IFERROR(__xludf.DUMMYFUNCTION("""COMPUTED_VALUE"""),"DME3170")</f>
        <v>DME3170</v>
      </c>
      <c r="B1173" s="4" t="str">
        <f>IFERROR(__xludf.DUMMYFUNCTION("""COMPUTED_VALUE"""),"Aslah Faseel K")</f>
        <v>Aslah Faseel K</v>
      </c>
      <c r="C1173" s="4" t="str">
        <f>IFERROR(__xludf.DUMMYFUNCTION("""COMPUTED_VALUE"""),"aslahfaseel.k@onixnet.com")</f>
        <v>aslahfaseel.k@onixnet.com</v>
      </c>
      <c r="D1173" s="4" t="str">
        <f>IFERROR(__xludf.DUMMYFUNCTION("""COMPUTED_VALUE"""),"Active")</f>
        <v>Active</v>
      </c>
      <c r="E1173" s="4" t="str">
        <f>IFERROR(__xludf.DUMMYFUNCTION("""COMPUTED_VALUE"""),"Delivery Services")</f>
        <v>Delivery Services</v>
      </c>
      <c r="F1173" s="4" t="str">
        <f>IFERROR(__xludf.DUMMYFUNCTION("""COMPUTED_VALUE"""),"Vedant Bhogawade")</f>
        <v>Vedant Bhogawade</v>
      </c>
      <c r="G1173" s="4" t="str">
        <f>IFERROR(__xludf.DUMMYFUNCTION("""COMPUTED_VALUE"""),"Cluster - Varun")</f>
        <v>Cluster - Varun</v>
      </c>
      <c r="H1173" s="4" t="str">
        <f>IFERROR(__xludf.DUMMYFUNCTION("""COMPUTED_VALUE"""),"ONIAFFCC1")</f>
        <v>ONIAFFCC1</v>
      </c>
      <c r="I1173" s="5">
        <f>IFERROR(__xludf.DUMMYFUNCTION("""COMPUTED_VALUE"""),19.0)</f>
        <v>19</v>
      </c>
      <c r="J1173" s="4" t="str">
        <f>IFERROR(__xludf.DUMMYFUNCTION("""COMPUTED_VALUE"""),"Tier 4")</f>
        <v>Tier 4</v>
      </c>
      <c r="K1173" s="4" t="str">
        <f>IFERROR(__xludf.DUMMYFUNCTION("""COMPUTED_VALUE"""),"Active")</f>
        <v>Active</v>
      </c>
      <c r="L1173" s="4" t="str">
        <f>IFERROR(__xludf.DUMMYFUNCTION("""COMPUTED_VALUE"""),"Gemini Enterprise Agent Platform")</f>
        <v>Gemini Enterprise Agent Platform</v>
      </c>
    </row>
    <row r="1174">
      <c r="A1174" s="4" t="str">
        <f>IFERROR(__xludf.DUMMYFUNCTION("""COMPUTED_VALUE"""),"DME3164")</f>
        <v>DME3164</v>
      </c>
      <c r="B1174" s="4" t="str">
        <f>IFERROR(__xludf.DUMMYFUNCTION("""COMPUTED_VALUE"""),"Kakumani Thirupathi Naidu")</f>
        <v>Kakumani Thirupathi Naidu</v>
      </c>
      <c r="C1174" s="4" t="str">
        <f>IFERROR(__xludf.DUMMYFUNCTION("""COMPUTED_VALUE"""),"thirupathi.kakumani@onixnet.com")</f>
        <v>thirupathi.kakumani@onixnet.com</v>
      </c>
      <c r="D1174" s="4" t="str">
        <f>IFERROR(__xludf.DUMMYFUNCTION("""COMPUTED_VALUE"""),"Active")</f>
        <v>Active</v>
      </c>
      <c r="E1174" s="4" t="str">
        <f>IFERROR(__xludf.DUMMYFUNCTION("""COMPUTED_VALUE"""),"Delivery Services")</f>
        <v>Delivery Services</v>
      </c>
      <c r="F1174" s="4" t="str">
        <f>IFERROR(__xludf.DUMMYFUNCTION("""COMPUTED_VALUE"""),"Jitender Singh")</f>
        <v>Jitender Singh</v>
      </c>
      <c r="G1174" s="4" t="str">
        <f>IFERROR(__xludf.DUMMYFUNCTION("""COMPUTED_VALUE"""),"Cluster - Gaurav")</f>
        <v>Cluster - Gaurav</v>
      </c>
      <c r="H1174" s="4" t="str">
        <f>IFERROR(__xludf.DUMMYFUNCTION("""COMPUTED_VALUE"""),"ONITKBBV6")</f>
        <v>ONITKBBV6</v>
      </c>
      <c r="I1174" s="5">
        <f>IFERROR(__xludf.DUMMYFUNCTION("""COMPUTED_VALUE"""),25.0)</f>
        <v>25</v>
      </c>
      <c r="J1174" s="4" t="str">
        <f>IFERROR(__xludf.DUMMYFUNCTION("""COMPUTED_VALUE"""),"Tier 3")</f>
        <v>Tier 3</v>
      </c>
      <c r="K1174" s="4" t="str">
        <f>IFERROR(__xludf.DUMMYFUNCTION("""COMPUTED_VALUE"""),"Active")</f>
        <v>Active</v>
      </c>
      <c r="L1174" s="4" t="str">
        <f>IFERROR(__xludf.DUMMYFUNCTION("""COMPUTED_VALUE"""),"Gemini Enterprise Agent Platform")</f>
        <v>Gemini Enterprise Agent Platform</v>
      </c>
    </row>
    <row r="1175">
      <c r="A1175" s="4" t="str">
        <f>IFERROR(__xludf.DUMMYFUNCTION("""COMPUTED_VALUE"""),"DME3166")</f>
        <v>DME3166</v>
      </c>
      <c r="B1175" s="4" t="str">
        <f>IFERROR(__xludf.DUMMYFUNCTION("""COMPUTED_VALUE"""),"Mayurkumar Manikrao Dhakne")</f>
        <v>Mayurkumar Manikrao Dhakne</v>
      </c>
      <c r="C1175" s="4" t="str">
        <f>IFERROR(__xludf.DUMMYFUNCTION("""COMPUTED_VALUE"""),"mayurkumar.dhakne@onixnet.com")</f>
        <v>mayurkumar.dhakne@onixnet.com</v>
      </c>
      <c r="D1175" s="4" t="str">
        <f>IFERROR(__xludf.DUMMYFUNCTION("""COMPUTED_VALUE"""),"Active")</f>
        <v>Active</v>
      </c>
      <c r="E1175" s="4" t="str">
        <f>IFERROR(__xludf.DUMMYFUNCTION("""COMPUTED_VALUE"""),"Delivery Services")</f>
        <v>Delivery Services</v>
      </c>
      <c r="F1175" s="4" t="str">
        <f>IFERROR(__xludf.DUMMYFUNCTION("""COMPUTED_VALUE"""),"Punam S Paliwal")</f>
        <v>Punam S Paliwal</v>
      </c>
      <c r="G1175" s="4" t="str">
        <f>IFERROR(__xludf.DUMMYFUNCTION("""COMPUTED_VALUE"""),"Cluster - Sagar")</f>
        <v>Cluster - Sagar</v>
      </c>
      <c r="H1175" s="4" t="str">
        <f>IFERROR(__xludf.DUMMYFUNCTION("""COMPUTED_VALUE"""),"ONIMDEYC4")</f>
        <v>ONIMDEYC4</v>
      </c>
      <c r="I1175" s="5">
        <f>IFERROR(__xludf.DUMMYFUNCTION("""COMPUTED_VALUE"""),5.0)</f>
        <v>5</v>
      </c>
      <c r="J1175" s="4" t="str">
        <f>IFERROR(__xludf.DUMMYFUNCTION("""COMPUTED_VALUE"""),"Tier 4")</f>
        <v>Tier 4</v>
      </c>
      <c r="K1175" s="4" t="str">
        <f>IFERROR(__xludf.DUMMYFUNCTION("""COMPUTED_VALUE"""),"Active")</f>
        <v>Active</v>
      </c>
      <c r="L1175" s="4" t="str">
        <f>IFERROR(__xludf.DUMMYFUNCTION("""COMPUTED_VALUE"""),"Gemini Enterprise Agent Platform")</f>
        <v>Gemini Enterprise Agent Platform</v>
      </c>
    </row>
    <row r="1176">
      <c r="A1176" s="4" t="str">
        <f>IFERROR(__xludf.DUMMYFUNCTION("""COMPUTED_VALUE"""),"DME3165")</f>
        <v>DME3165</v>
      </c>
      <c r="B1176" s="4" t="str">
        <f>IFERROR(__xludf.DUMMYFUNCTION("""COMPUTED_VALUE"""),"Nidhi Sunil Kumar")</f>
        <v>Nidhi Sunil Kumar</v>
      </c>
      <c r="C1176" s="4" t="str">
        <f>IFERROR(__xludf.DUMMYFUNCTION("""COMPUTED_VALUE"""),"nidhi.kumar@onixnet.com")</f>
        <v>nidhi.kumar@onixnet.com</v>
      </c>
      <c r="D1176" s="4" t="str">
        <f>IFERROR(__xludf.DUMMYFUNCTION("""COMPUTED_VALUE"""),"Active")</f>
        <v>Active</v>
      </c>
      <c r="E1176" s="4" t="str">
        <f>IFERROR(__xludf.DUMMYFUNCTION("""COMPUTED_VALUE"""),"Delivery Services")</f>
        <v>Delivery Services</v>
      </c>
      <c r="F1176" s="4" t="str">
        <f>IFERROR(__xludf.DUMMYFUNCTION("""COMPUTED_VALUE"""),"Mangesh Borade")</f>
        <v>Mangesh Borade</v>
      </c>
      <c r="G1176" s="4" t="str">
        <f>IFERROR(__xludf.DUMMYFUNCTION("""COMPUTED_VALUE"""),"Cluster - Devayani")</f>
        <v>Cluster - Devayani</v>
      </c>
      <c r="H1176" s="4" t="str">
        <f>IFERROR(__xludf.DUMMYFUNCTION("""COMPUTED_VALUE"""),"ONINKIVZ9")</f>
        <v>ONINKIVZ9</v>
      </c>
      <c r="I1176" s="5">
        <f>IFERROR(__xludf.DUMMYFUNCTION("""COMPUTED_VALUE"""),32.0)</f>
        <v>32</v>
      </c>
      <c r="J1176" s="4" t="str">
        <f>IFERROR(__xludf.DUMMYFUNCTION("""COMPUTED_VALUE"""),"Tier 3")</f>
        <v>Tier 3</v>
      </c>
      <c r="K1176" s="4" t="str">
        <f>IFERROR(__xludf.DUMMYFUNCTION("""COMPUTED_VALUE"""),"Active")</f>
        <v>Active</v>
      </c>
      <c r="L1176" s="4" t="str">
        <f>IFERROR(__xludf.DUMMYFUNCTION("""COMPUTED_VALUE"""),"Gemini Enterprise")</f>
        <v>Gemini Enterprise</v>
      </c>
    </row>
    <row r="1177">
      <c r="A1177" s="4" t="str">
        <f>IFERROR(__xludf.DUMMYFUNCTION("""COMPUTED_VALUE"""),"DME3168")</f>
        <v>DME3168</v>
      </c>
      <c r="B1177" s="4" t="str">
        <f>IFERROR(__xludf.DUMMYFUNCTION("""COMPUTED_VALUE"""),"Perugu Veera Krishna")</f>
        <v>Perugu Veera Krishna</v>
      </c>
      <c r="C1177" s="4" t="str">
        <f>IFERROR(__xludf.DUMMYFUNCTION("""COMPUTED_VALUE"""),"veera.perugu@onixnet.com")</f>
        <v>veera.perugu@onixnet.com</v>
      </c>
      <c r="D1177" s="4" t="str">
        <f>IFERROR(__xludf.DUMMYFUNCTION("""COMPUTED_VALUE"""),"Active")</f>
        <v>Active</v>
      </c>
      <c r="E1177" s="4" t="str">
        <f>IFERROR(__xludf.DUMMYFUNCTION("""COMPUTED_VALUE"""),"Delivery Services")</f>
        <v>Delivery Services</v>
      </c>
      <c r="F1177" s="4" t="str">
        <f>IFERROR(__xludf.DUMMYFUNCTION("""COMPUTED_VALUE"""),"Indrajit Omprakash Bhagat")</f>
        <v>Indrajit Omprakash Bhagat</v>
      </c>
      <c r="G1177" s="4" t="str">
        <f>IFERROR(__xludf.DUMMYFUNCTION("""COMPUTED_VALUE"""),"Cluster - Varun")</f>
        <v>Cluster - Varun</v>
      </c>
      <c r="H1177" s="4"/>
      <c r="I1177" s="5"/>
      <c r="J1177" s="4"/>
      <c r="K1177" s="4" t="str">
        <f>IFERROR(__xludf.DUMMYFUNCTION("""COMPUTED_VALUE"""),"ID Not Created")</f>
        <v>ID Not Created</v>
      </c>
      <c r="L1177" s="4"/>
    </row>
    <row r="1178">
      <c r="A1178" s="4" t="str">
        <f>IFERROR(__xludf.DUMMYFUNCTION("""COMPUTED_VALUE"""),"DME3163")</f>
        <v>DME3163</v>
      </c>
      <c r="B1178" s="4" t="str">
        <f>IFERROR(__xludf.DUMMYFUNCTION("""COMPUTED_VALUE"""),"Rushabh Umesh Sharma")</f>
        <v>Rushabh Umesh Sharma</v>
      </c>
      <c r="C1178" s="4" t="str">
        <f>IFERROR(__xludf.DUMMYFUNCTION("""COMPUTED_VALUE"""),"rushabh.sharma@onixnet.com")</f>
        <v>rushabh.sharma@onixnet.com</v>
      </c>
      <c r="D1178" s="4" t="str">
        <f>IFERROR(__xludf.DUMMYFUNCTION("""COMPUTED_VALUE"""),"Active")</f>
        <v>Active</v>
      </c>
      <c r="E1178" s="4" t="str">
        <f>IFERROR(__xludf.DUMMYFUNCTION("""COMPUTED_VALUE"""),"Delivery Services")</f>
        <v>Delivery Services</v>
      </c>
      <c r="F1178" s="4" t="str">
        <f>IFERROR(__xludf.DUMMYFUNCTION("""COMPUTED_VALUE"""),"Mayur Kasar")</f>
        <v>Mayur Kasar</v>
      </c>
      <c r="G1178" s="4" t="str">
        <f>IFERROR(__xludf.DUMMYFUNCTION("""COMPUTED_VALUE"""),"Cluster - Varun")</f>
        <v>Cluster - Varun</v>
      </c>
      <c r="H1178" s="4" t="str">
        <f>IFERROR(__xludf.DUMMYFUNCTION("""COMPUTED_VALUE"""),"ONIRSEZG2")</f>
        <v>ONIRSEZG2</v>
      </c>
      <c r="I1178" s="5">
        <f>IFERROR(__xludf.DUMMYFUNCTION("""COMPUTED_VALUE"""),15.0)</f>
        <v>15</v>
      </c>
      <c r="J1178" s="4" t="str">
        <f>IFERROR(__xludf.DUMMYFUNCTION("""COMPUTED_VALUE"""),"Tier 4")</f>
        <v>Tier 4</v>
      </c>
      <c r="K1178" s="4" t="str">
        <f>IFERROR(__xludf.DUMMYFUNCTION("""COMPUTED_VALUE"""),"Active")</f>
        <v>Active</v>
      </c>
      <c r="L1178" s="4" t="str">
        <f>IFERROR(__xludf.DUMMYFUNCTION("""COMPUTED_VALUE"""),"Dataproc")</f>
        <v>Dataproc</v>
      </c>
    </row>
    <row r="1179">
      <c r="A1179" s="4" t="str">
        <f>IFERROR(__xludf.DUMMYFUNCTION("""COMPUTED_VALUE"""),"DME3171")</f>
        <v>DME3171</v>
      </c>
      <c r="B1179" s="4" t="str">
        <f>IFERROR(__xludf.DUMMYFUNCTION("""COMPUTED_VALUE"""),"Chandni Nandlal Ahuja")</f>
        <v>Chandni Nandlal Ahuja</v>
      </c>
      <c r="C1179" s="4" t="str">
        <f>IFERROR(__xludf.DUMMYFUNCTION("""COMPUTED_VALUE"""),"chandni.ahuja@onixnet.com")</f>
        <v>chandni.ahuja@onixnet.com</v>
      </c>
      <c r="D1179" s="4" t="str">
        <f>IFERROR(__xludf.DUMMYFUNCTION("""COMPUTED_VALUE"""),"Active")</f>
        <v>Active</v>
      </c>
      <c r="E1179" s="4" t="str">
        <f>IFERROR(__xludf.DUMMYFUNCTION("""COMPUTED_VALUE"""),"Delivery Services")</f>
        <v>Delivery Services</v>
      </c>
      <c r="F1179" s="4" t="str">
        <f>IFERROR(__xludf.DUMMYFUNCTION("""COMPUTED_VALUE"""),"Vedant Bhogawade")</f>
        <v>Vedant Bhogawade</v>
      </c>
      <c r="G1179" s="4" t="str">
        <f>IFERROR(__xludf.DUMMYFUNCTION("""COMPUTED_VALUE"""),"Cluster - Varun")</f>
        <v>Cluster - Varun</v>
      </c>
      <c r="H1179" s="4" t="str">
        <f>IFERROR(__xludf.DUMMYFUNCTION("""COMPUTED_VALUE"""),"ONICAGCF2")</f>
        <v>ONICAGCF2</v>
      </c>
      <c r="I1179" s="5">
        <f>IFERROR(__xludf.DUMMYFUNCTION("""COMPUTED_VALUE"""),5.0)</f>
        <v>5</v>
      </c>
      <c r="J1179" s="4" t="str">
        <f>IFERROR(__xludf.DUMMYFUNCTION("""COMPUTED_VALUE"""),"Tier 4")</f>
        <v>Tier 4</v>
      </c>
      <c r="K1179" s="4" t="str">
        <f>IFERROR(__xludf.DUMMYFUNCTION("""COMPUTED_VALUE"""),"Active")</f>
        <v>Active</v>
      </c>
      <c r="L1179" s="4" t="str">
        <f>IFERROR(__xludf.DUMMYFUNCTION("""COMPUTED_VALUE"""),"Gemini Enterprise Agent Platform")</f>
        <v>Gemini Enterprise Agent Platform</v>
      </c>
    </row>
    <row r="1180">
      <c r="A1180" s="4" t="str">
        <f>IFERROR(__xludf.DUMMYFUNCTION("""COMPUTED_VALUE"""),"DME3175")</f>
        <v>DME3175</v>
      </c>
      <c r="B1180" s="4" t="str">
        <f>IFERROR(__xludf.DUMMYFUNCTION("""COMPUTED_VALUE"""),"Namit Ajaykumar Uzagare")</f>
        <v>Namit Ajaykumar Uzagare</v>
      </c>
      <c r="C1180" s="4" t="str">
        <f>IFERROR(__xludf.DUMMYFUNCTION("""COMPUTED_VALUE"""),"namit.uzagare@onixnet.com")</f>
        <v>namit.uzagare@onixnet.com</v>
      </c>
      <c r="D1180" s="4" t="str">
        <f>IFERROR(__xludf.DUMMYFUNCTION("""COMPUTED_VALUE"""),"Active")</f>
        <v>Active</v>
      </c>
      <c r="E1180" s="4" t="str">
        <f>IFERROR(__xludf.DUMMYFUNCTION("""COMPUTED_VALUE"""),"Delivery Services")</f>
        <v>Delivery Services</v>
      </c>
      <c r="F1180" s="4" t="str">
        <f>IFERROR(__xludf.DUMMYFUNCTION("""COMPUTED_VALUE"""),"Anubhav Sharma")</f>
        <v>Anubhav Sharma</v>
      </c>
      <c r="G1180" s="4" t="str">
        <f>IFERROR(__xludf.DUMMYFUNCTION("""COMPUTED_VALUE"""),"Cluster - Varun")</f>
        <v>Cluster - Varun</v>
      </c>
      <c r="H1180" s="4"/>
      <c r="I1180" s="5"/>
      <c r="J1180" s="4"/>
      <c r="K1180" s="4" t="str">
        <f>IFERROR(__xludf.DUMMYFUNCTION("""COMPUTED_VALUE"""),"ID Not Created")</f>
        <v>ID Not Created</v>
      </c>
      <c r="L1180" s="4"/>
    </row>
    <row r="1181">
      <c r="A1181" s="4" t="str">
        <f>IFERROR(__xludf.DUMMYFUNCTION("""COMPUTED_VALUE"""),"DME3172")</f>
        <v>DME3172</v>
      </c>
      <c r="B1181" s="4" t="str">
        <f>IFERROR(__xludf.DUMMYFUNCTION("""COMPUTED_VALUE"""),"Pragya Kushwah")</f>
        <v>Pragya Kushwah</v>
      </c>
      <c r="C1181" s="4" t="str">
        <f>IFERROR(__xludf.DUMMYFUNCTION("""COMPUTED_VALUE"""),"pragya.kushwah@onixnet.com")</f>
        <v>pragya.kushwah@onixnet.com</v>
      </c>
      <c r="D1181" s="4" t="str">
        <f>IFERROR(__xludf.DUMMYFUNCTION("""COMPUTED_VALUE"""),"Active")</f>
        <v>Active</v>
      </c>
      <c r="E1181" s="4" t="str">
        <f>IFERROR(__xludf.DUMMYFUNCTION("""COMPUTED_VALUE"""),"Delivery Services")</f>
        <v>Delivery Services</v>
      </c>
      <c r="F1181" s="4" t="str">
        <f>IFERROR(__xludf.DUMMYFUNCTION("""COMPUTED_VALUE"""),"Dinesh Bhamare")</f>
        <v>Dinesh Bhamare</v>
      </c>
      <c r="G1181" s="4" t="str">
        <f>IFERROR(__xludf.DUMMYFUNCTION("""COMPUTED_VALUE"""),"Cluster - Shreepad")</f>
        <v>Cluster - Shreepad</v>
      </c>
      <c r="H1181" s="4" t="str">
        <f>IFERROR(__xludf.DUMMYFUNCTION("""COMPUTED_VALUE"""),"ONIPKPOT4")</f>
        <v>ONIPKPOT4</v>
      </c>
      <c r="I1181" s="5">
        <f>IFERROR(__xludf.DUMMYFUNCTION("""COMPUTED_VALUE"""),11.0)</f>
        <v>11</v>
      </c>
      <c r="J1181" s="4" t="str">
        <f>IFERROR(__xludf.DUMMYFUNCTION("""COMPUTED_VALUE"""),"Tier 4")</f>
        <v>Tier 4</v>
      </c>
      <c r="K1181" s="4" t="str">
        <f>IFERROR(__xludf.DUMMYFUNCTION("""COMPUTED_VALUE"""),"Active")</f>
        <v>Active</v>
      </c>
      <c r="L1181" s="4" t="str">
        <f>IFERROR(__xludf.DUMMYFUNCTION("""COMPUTED_VALUE"""),"BigQuery")</f>
        <v>BigQuery</v>
      </c>
    </row>
    <row r="1182">
      <c r="A1182" s="4" t="str">
        <f>IFERROR(__xludf.DUMMYFUNCTION("""COMPUTED_VALUE"""),"DME3174")</f>
        <v>DME3174</v>
      </c>
      <c r="B1182" s="4" t="str">
        <f>IFERROR(__xludf.DUMMYFUNCTION("""COMPUTED_VALUE"""),"Tirupathi Ranga Sai Kiran")</f>
        <v>Tirupathi Ranga Sai Kiran</v>
      </c>
      <c r="C1182" s="4" t="str">
        <f>IFERROR(__xludf.DUMMYFUNCTION("""COMPUTED_VALUE"""),"ranga.tirupathi@onixnet.com")</f>
        <v>ranga.tirupathi@onixnet.com</v>
      </c>
      <c r="D1182" s="4" t="str">
        <f>IFERROR(__xludf.DUMMYFUNCTION("""COMPUTED_VALUE"""),"Active")</f>
        <v>Active</v>
      </c>
      <c r="E1182" s="4" t="str">
        <f>IFERROR(__xludf.DUMMYFUNCTION("""COMPUTED_VALUE"""),"Delivery Services")</f>
        <v>Delivery Services</v>
      </c>
      <c r="F1182" s="4" t="str">
        <f>IFERROR(__xludf.DUMMYFUNCTION("""COMPUTED_VALUE"""),"Sadupati Ashok Kumar")</f>
        <v>Sadupati Ashok Kumar</v>
      </c>
      <c r="G1182" s="4" t="str">
        <f>IFERROR(__xludf.DUMMYFUNCTION("""COMPUTED_VALUE"""),"Cluster - Shreepad")</f>
        <v>Cluster - Shreepad</v>
      </c>
      <c r="H1182" s="4" t="str">
        <f>IFERROR(__xludf.DUMMYFUNCTION("""COMPUTED_VALUE"""),"ONIRSYDC6")</f>
        <v>ONIRSYDC6</v>
      </c>
      <c r="I1182" s="5">
        <f>IFERROR(__xludf.DUMMYFUNCTION("""COMPUTED_VALUE"""),6.0)</f>
        <v>6</v>
      </c>
      <c r="J1182" s="4" t="str">
        <f>IFERROR(__xludf.DUMMYFUNCTION("""COMPUTED_VALUE"""),"Tier 4")</f>
        <v>Tier 4</v>
      </c>
      <c r="K1182" s="4" t="str">
        <f>IFERROR(__xludf.DUMMYFUNCTION("""COMPUTED_VALUE"""),"Active")</f>
        <v>Active</v>
      </c>
      <c r="L1182" s="4" t="str">
        <f>IFERROR(__xludf.DUMMYFUNCTION("""COMPUTED_VALUE"""),"Gemini Enterprise Agent Platform")</f>
        <v>Gemini Enterprise Agent Platform</v>
      </c>
    </row>
    <row r="1183">
      <c r="A1183" s="4" t="str">
        <f>IFERROR(__xludf.DUMMYFUNCTION("""COMPUTED_VALUE"""),"DME3173")</f>
        <v>DME3173</v>
      </c>
      <c r="B1183" s="4" t="str">
        <f>IFERROR(__xludf.DUMMYFUNCTION("""COMPUTED_VALUE"""),"Vikramsingh Bhagatsingh Wagh")</f>
        <v>Vikramsingh Bhagatsingh Wagh</v>
      </c>
      <c r="C1183" s="4" t="str">
        <f>IFERROR(__xludf.DUMMYFUNCTION("""COMPUTED_VALUE"""),"vikramsingh.wagh@onixnet.com")</f>
        <v>vikramsingh.wagh@onixnet.com</v>
      </c>
      <c r="D1183" s="4" t="str">
        <f>IFERROR(__xludf.DUMMYFUNCTION("""COMPUTED_VALUE"""),"Active")</f>
        <v>Active</v>
      </c>
      <c r="E1183" s="4" t="str">
        <f>IFERROR(__xludf.DUMMYFUNCTION("""COMPUTED_VALUE"""),"Delivery Services")</f>
        <v>Delivery Services</v>
      </c>
      <c r="F1183" s="4" t="str">
        <f>IFERROR(__xludf.DUMMYFUNCTION("""COMPUTED_VALUE"""),"Vedant Bhogawade")</f>
        <v>Vedant Bhogawade</v>
      </c>
      <c r="G1183" s="4" t="str">
        <f>IFERROR(__xludf.DUMMYFUNCTION("""COMPUTED_VALUE"""),"Cluster - Varun")</f>
        <v>Cluster - Varun</v>
      </c>
      <c r="H1183" s="4" t="str">
        <f>IFERROR(__xludf.DUMMYFUNCTION("""COMPUTED_VALUE"""),"ONIVWJDU1")</f>
        <v>ONIVWJDU1</v>
      </c>
      <c r="I1183" s="5">
        <f>IFERROR(__xludf.DUMMYFUNCTION("""COMPUTED_VALUE"""),18.0)</f>
        <v>18</v>
      </c>
      <c r="J1183" s="4" t="str">
        <f>IFERROR(__xludf.DUMMYFUNCTION("""COMPUTED_VALUE"""),"Tier 4")</f>
        <v>Tier 4</v>
      </c>
      <c r="K1183" s="4" t="str">
        <f>IFERROR(__xludf.DUMMYFUNCTION("""COMPUTED_VALUE"""),"Active")</f>
        <v>Active</v>
      </c>
      <c r="L1183" s="4" t="str">
        <f>IFERROR(__xludf.DUMMYFUNCTION("""COMPUTED_VALUE"""),"BigQuery")</f>
        <v>BigQuery</v>
      </c>
    </row>
    <row r="1184">
      <c r="A1184" s="4" t="str">
        <f>IFERROR(__xludf.DUMMYFUNCTION("""COMPUTED_VALUE"""),"DME3179")</f>
        <v>DME3179</v>
      </c>
      <c r="B1184" s="4" t="str">
        <f>IFERROR(__xludf.DUMMYFUNCTION("""COMPUTED_VALUE"""),"Mahesh Mahaveer Hundekar")</f>
        <v>Mahesh Mahaveer Hundekar</v>
      </c>
      <c r="C1184" s="4" t="str">
        <f>IFERROR(__xludf.DUMMYFUNCTION("""COMPUTED_VALUE"""),"mahesh.hundekar@onixnet.com")</f>
        <v>mahesh.hundekar@onixnet.com</v>
      </c>
      <c r="D1184" s="4" t="str">
        <f>IFERROR(__xludf.DUMMYFUNCTION("""COMPUTED_VALUE"""),"Active")</f>
        <v>Active</v>
      </c>
      <c r="E1184" s="4" t="str">
        <f>IFERROR(__xludf.DUMMYFUNCTION("""COMPUTED_VALUE"""),"Delivery Services")</f>
        <v>Delivery Services</v>
      </c>
      <c r="F1184" s="4" t="str">
        <f>IFERROR(__xludf.DUMMYFUNCTION("""COMPUTED_VALUE"""),"Anubhav Sharma")</f>
        <v>Anubhav Sharma</v>
      </c>
      <c r="G1184" s="4" t="str">
        <f>IFERROR(__xludf.DUMMYFUNCTION("""COMPUTED_VALUE"""),"Cluster - Varun")</f>
        <v>Cluster - Varun</v>
      </c>
      <c r="H1184" s="4" t="str">
        <f>IFERROR(__xludf.DUMMYFUNCTION("""COMPUTED_VALUE"""),"ONIMHNWM7")</f>
        <v>ONIMHNWM7</v>
      </c>
      <c r="I1184" s="5">
        <f>IFERROR(__xludf.DUMMYFUNCTION("""COMPUTED_VALUE"""),5.0)</f>
        <v>5</v>
      </c>
      <c r="J1184" s="4" t="str">
        <f>IFERROR(__xludf.DUMMYFUNCTION("""COMPUTED_VALUE"""),"Tier 4")</f>
        <v>Tier 4</v>
      </c>
      <c r="K1184" s="4" t="str">
        <f>IFERROR(__xludf.DUMMYFUNCTION("""COMPUTED_VALUE"""),"Active")</f>
        <v>Active</v>
      </c>
      <c r="L1184" s="4" t="str">
        <f>IFERROR(__xludf.DUMMYFUNCTION("""COMPUTED_VALUE"""),"Gemini Enterprise Agent Platform")</f>
        <v>Gemini Enterprise Agent Platform</v>
      </c>
    </row>
    <row r="1185">
      <c r="A1185" s="4" t="str">
        <f>IFERROR(__xludf.DUMMYFUNCTION("""COMPUTED_VALUE"""),"DME3178")</f>
        <v>DME3178</v>
      </c>
      <c r="B1185" s="4" t="str">
        <f>IFERROR(__xludf.DUMMYFUNCTION("""COMPUTED_VALUE"""),"Nishant Rakesh Srivastav")</f>
        <v>Nishant Rakesh Srivastav</v>
      </c>
      <c r="C1185" s="4" t="str">
        <f>IFERROR(__xludf.DUMMYFUNCTION("""COMPUTED_VALUE"""),"nishant.srivastav@onixnet.com")</f>
        <v>nishant.srivastav@onixnet.com</v>
      </c>
      <c r="D1185" s="4" t="str">
        <f>IFERROR(__xludf.DUMMYFUNCTION("""COMPUTED_VALUE"""),"Active")</f>
        <v>Active</v>
      </c>
      <c r="E1185" s="4" t="str">
        <f>IFERROR(__xludf.DUMMYFUNCTION("""COMPUTED_VALUE"""),"Delivery Services")</f>
        <v>Delivery Services</v>
      </c>
      <c r="F1185" s="4" t="str">
        <f>IFERROR(__xludf.DUMMYFUNCTION("""COMPUTED_VALUE"""),"Sheela Sawant")</f>
        <v>Sheela Sawant</v>
      </c>
      <c r="G1185" s="4" t="str">
        <f>IFERROR(__xludf.DUMMYFUNCTION("""COMPUTED_VALUE"""),"Cluster - Sandeep")</f>
        <v>Cluster - Sandeep</v>
      </c>
      <c r="H1185" s="4" t="str">
        <f>IFERROR(__xludf.DUMMYFUNCTION("""COMPUTED_VALUE"""),"ONINSPIV2")</f>
        <v>ONINSPIV2</v>
      </c>
      <c r="I1185" s="5">
        <f>IFERROR(__xludf.DUMMYFUNCTION("""COMPUTED_VALUE"""),15.0)</f>
        <v>15</v>
      </c>
      <c r="J1185" s="4" t="str">
        <f>IFERROR(__xludf.DUMMYFUNCTION("""COMPUTED_VALUE"""),"Tier 4")</f>
        <v>Tier 4</v>
      </c>
      <c r="K1185" s="4" t="str">
        <f>IFERROR(__xludf.DUMMYFUNCTION("""COMPUTED_VALUE"""),"Active")</f>
        <v>Active</v>
      </c>
      <c r="L1185" s="4" t="str">
        <f>IFERROR(__xludf.DUMMYFUNCTION("""COMPUTED_VALUE"""),"Gemini Enterprise Agent Platform")</f>
        <v>Gemini Enterprise Agent Platform</v>
      </c>
    </row>
    <row r="1186">
      <c r="A1186" s="4" t="str">
        <f>IFERROR(__xludf.DUMMYFUNCTION("""COMPUTED_VALUE"""),"DME3177")</f>
        <v>DME3177</v>
      </c>
      <c r="B1186" s="4" t="str">
        <f>IFERROR(__xludf.DUMMYFUNCTION("""COMPUTED_VALUE"""),"Sanjay Balu Mandale")</f>
        <v>Sanjay Balu Mandale</v>
      </c>
      <c r="C1186" s="4" t="str">
        <f>IFERROR(__xludf.DUMMYFUNCTION("""COMPUTED_VALUE"""),"sanjay.mandale@onixnet.com")</f>
        <v>sanjay.mandale@onixnet.com</v>
      </c>
      <c r="D1186" s="4" t="str">
        <f>IFERROR(__xludf.DUMMYFUNCTION("""COMPUTED_VALUE"""),"Active")</f>
        <v>Active</v>
      </c>
      <c r="E1186" s="4" t="str">
        <f>IFERROR(__xludf.DUMMYFUNCTION("""COMPUTED_VALUE"""),"Delivery Services")</f>
        <v>Delivery Services</v>
      </c>
      <c r="F1186" s="4" t="str">
        <f>IFERROR(__xludf.DUMMYFUNCTION("""COMPUTED_VALUE"""),"Anubhav Sharma")</f>
        <v>Anubhav Sharma</v>
      </c>
      <c r="G1186" s="4" t="str">
        <f>IFERROR(__xludf.DUMMYFUNCTION("""COMPUTED_VALUE"""),"Cluster - Varun")</f>
        <v>Cluster - Varun</v>
      </c>
      <c r="H1186" s="4"/>
      <c r="I1186" s="5"/>
      <c r="J1186" s="4"/>
      <c r="K1186" s="4" t="str">
        <f>IFERROR(__xludf.DUMMYFUNCTION("""COMPUTED_VALUE"""),"ID Not Created")</f>
        <v>ID Not Created</v>
      </c>
      <c r="L1186" s="4"/>
    </row>
    <row r="1187">
      <c r="A1187" s="4" t="str">
        <f>IFERROR(__xludf.DUMMYFUNCTION("""COMPUTED_VALUE"""),"DME3184")</f>
        <v>DME3184</v>
      </c>
      <c r="B1187" s="4" t="str">
        <f>IFERROR(__xludf.DUMMYFUNCTION("""COMPUTED_VALUE"""),"Amit Kundu")</f>
        <v>Amit Kundu</v>
      </c>
      <c r="C1187" s="4" t="str">
        <f>IFERROR(__xludf.DUMMYFUNCTION("""COMPUTED_VALUE"""),"amit.kundu@onixnet.com")</f>
        <v>amit.kundu@onixnet.com</v>
      </c>
      <c r="D1187" s="4" t="str">
        <f>IFERROR(__xludf.DUMMYFUNCTION("""COMPUTED_VALUE"""),"Active")</f>
        <v>Active</v>
      </c>
      <c r="E1187" s="4" t="str">
        <f>IFERROR(__xludf.DUMMYFUNCTION("""COMPUTED_VALUE"""),"Delivery Services")</f>
        <v>Delivery Services</v>
      </c>
      <c r="F1187" s="4" t="str">
        <f>IFERROR(__xludf.DUMMYFUNCTION("""COMPUTED_VALUE"""),"Priyanka Parab")</f>
        <v>Priyanka Parab</v>
      </c>
      <c r="G1187" s="4" t="str">
        <f>IFERROR(__xludf.DUMMYFUNCTION("""COMPUTED_VALUE"""),"Cluster - Sagar")</f>
        <v>Cluster - Sagar</v>
      </c>
      <c r="H1187" s="4" t="str">
        <f>IFERROR(__xludf.DUMMYFUNCTION("""COMPUTED_VALUE"""),"ONIAKCAU2")</f>
        <v>ONIAKCAU2</v>
      </c>
      <c r="I1187" s="5">
        <f>IFERROR(__xludf.DUMMYFUNCTION("""COMPUTED_VALUE"""),5.0)</f>
        <v>5</v>
      </c>
      <c r="J1187" s="4" t="str">
        <f>IFERROR(__xludf.DUMMYFUNCTION("""COMPUTED_VALUE"""),"Tier 4")</f>
        <v>Tier 4</v>
      </c>
      <c r="K1187" s="4" t="str">
        <f>IFERROR(__xludf.DUMMYFUNCTION("""COMPUTED_VALUE"""),"Active")</f>
        <v>Active</v>
      </c>
      <c r="L1187" s="4" t="str">
        <f>IFERROR(__xludf.DUMMYFUNCTION("""COMPUTED_VALUE"""),"Gemini Enterprise Agent Platform")</f>
        <v>Gemini Enterprise Agent Platform</v>
      </c>
    </row>
    <row r="1188">
      <c r="A1188" s="4" t="str">
        <f>IFERROR(__xludf.DUMMYFUNCTION("""COMPUTED_VALUE"""),"DME3180")</f>
        <v>DME3180</v>
      </c>
      <c r="B1188" s="4" t="str">
        <f>IFERROR(__xludf.DUMMYFUNCTION("""COMPUTED_VALUE"""),"Amit Shersingh Chauhan")</f>
        <v>Amit Shersingh Chauhan</v>
      </c>
      <c r="C1188" s="4" t="str">
        <f>IFERROR(__xludf.DUMMYFUNCTION("""COMPUTED_VALUE"""),"amit.chauhan@onixnet.com")</f>
        <v>amit.chauhan@onixnet.com</v>
      </c>
      <c r="D1188" s="4" t="str">
        <f>IFERROR(__xludf.DUMMYFUNCTION("""COMPUTED_VALUE"""),"Active")</f>
        <v>Active</v>
      </c>
      <c r="E1188" s="4" t="str">
        <f>IFERROR(__xludf.DUMMYFUNCTION("""COMPUTED_VALUE"""),"Product Engineering")</f>
        <v>Product Engineering</v>
      </c>
      <c r="F1188" s="4" t="str">
        <f>IFERROR(__xludf.DUMMYFUNCTION("""COMPUTED_VALUE"""),"Pooja Kore")</f>
        <v>Pooja Kore</v>
      </c>
      <c r="G1188" s="4" t="str">
        <f>IFERROR(__xludf.DUMMYFUNCTION("""COMPUTED_VALUE"""),"Cluster - Mayur")</f>
        <v>Cluster - Mayur</v>
      </c>
      <c r="H1188" s="4" t="str">
        <f>IFERROR(__xludf.DUMMYFUNCTION("""COMPUTED_VALUE"""),"ONIACCWA0")</f>
        <v>ONIACCWA0</v>
      </c>
      <c r="I1188" s="5">
        <f>IFERROR(__xludf.DUMMYFUNCTION("""COMPUTED_VALUE"""),8.0)</f>
        <v>8</v>
      </c>
      <c r="J1188" s="4" t="str">
        <f>IFERROR(__xludf.DUMMYFUNCTION("""COMPUTED_VALUE"""),"Tier 4")</f>
        <v>Tier 4</v>
      </c>
      <c r="K1188" s="4" t="str">
        <f>IFERROR(__xludf.DUMMYFUNCTION("""COMPUTED_VALUE"""),"Active")</f>
        <v>Active</v>
      </c>
      <c r="L1188" s="4"/>
    </row>
    <row r="1189">
      <c r="A1189" s="4" t="str">
        <f>IFERROR(__xludf.DUMMYFUNCTION("""COMPUTED_VALUE"""),"DME3183")</f>
        <v>DME3183</v>
      </c>
      <c r="B1189" s="4" t="str">
        <f>IFERROR(__xludf.DUMMYFUNCTION("""COMPUTED_VALUE"""),"Nikita Sandip Gaikwad")</f>
        <v>Nikita Sandip Gaikwad</v>
      </c>
      <c r="C1189" s="4" t="str">
        <f>IFERROR(__xludf.DUMMYFUNCTION("""COMPUTED_VALUE"""),"nikita.gaikwad@onixnet.com")</f>
        <v>nikita.gaikwad@onixnet.com</v>
      </c>
      <c r="D1189" s="4" t="str">
        <f>IFERROR(__xludf.DUMMYFUNCTION("""COMPUTED_VALUE"""),"Active")</f>
        <v>Active</v>
      </c>
      <c r="E1189" s="4" t="str">
        <f>IFERROR(__xludf.DUMMYFUNCTION("""COMPUTED_VALUE"""),"Delivery Services")</f>
        <v>Delivery Services</v>
      </c>
      <c r="F1189" s="4" t="str">
        <f>IFERROR(__xludf.DUMMYFUNCTION("""COMPUTED_VALUE"""),"Ashwini Kumar")</f>
        <v>Ashwini Kumar</v>
      </c>
      <c r="G1189" s="4" t="str">
        <f>IFERROR(__xludf.DUMMYFUNCTION("""COMPUTED_VALUE"""),"Cluster - Kanhaiya")</f>
        <v>Cluster - Kanhaiya</v>
      </c>
      <c r="H1189" s="4" t="str">
        <f>IFERROR(__xludf.DUMMYFUNCTION("""COMPUTED_VALUE"""),"ONINGXID5")</f>
        <v>ONINGXID5</v>
      </c>
      <c r="I1189" s="5">
        <f>IFERROR(__xludf.DUMMYFUNCTION("""COMPUTED_VALUE"""),9.0)</f>
        <v>9</v>
      </c>
      <c r="J1189" s="4" t="str">
        <f>IFERROR(__xludf.DUMMYFUNCTION("""COMPUTED_VALUE"""),"Tier 4")</f>
        <v>Tier 4</v>
      </c>
      <c r="K1189" s="4" t="str">
        <f>IFERROR(__xludf.DUMMYFUNCTION("""COMPUTED_VALUE"""),"Active")</f>
        <v>Active</v>
      </c>
      <c r="L1189" s="4" t="str">
        <f>IFERROR(__xludf.DUMMYFUNCTION("""COMPUTED_VALUE"""),"Dataflow")</f>
        <v>Dataflow</v>
      </c>
    </row>
    <row r="1190">
      <c r="A1190" s="4" t="str">
        <f>IFERROR(__xludf.DUMMYFUNCTION("""COMPUTED_VALUE"""),"DME3182")</f>
        <v>DME3182</v>
      </c>
      <c r="B1190" s="4" t="str">
        <f>IFERROR(__xludf.DUMMYFUNCTION("""COMPUTED_VALUE"""),"Susanta Kumar Banerjee")</f>
        <v>Susanta Kumar Banerjee</v>
      </c>
      <c r="C1190" s="4" t="str">
        <f>IFERROR(__xludf.DUMMYFUNCTION("""COMPUTED_VALUE"""),"susanta.banerjee@onixnet.com")</f>
        <v>susanta.banerjee@onixnet.com</v>
      </c>
      <c r="D1190" s="4" t="str">
        <f>IFERROR(__xludf.DUMMYFUNCTION("""COMPUTED_VALUE"""),"Active")</f>
        <v>Active</v>
      </c>
      <c r="E1190" s="4" t="str">
        <f>IFERROR(__xludf.DUMMYFUNCTION("""COMPUTED_VALUE"""),"Delivery Services")</f>
        <v>Delivery Services</v>
      </c>
      <c r="F1190" s="4" t="str">
        <f>IFERROR(__xludf.DUMMYFUNCTION("""COMPUTED_VALUE"""),"Anubhav Sharma")</f>
        <v>Anubhav Sharma</v>
      </c>
      <c r="G1190" s="4" t="str">
        <f>IFERROR(__xludf.DUMMYFUNCTION("""COMPUTED_VALUE"""),"Cluster - Varun")</f>
        <v>Cluster - Varun</v>
      </c>
      <c r="H1190" s="4" t="str">
        <f>IFERROR(__xludf.DUMMYFUNCTION("""COMPUTED_VALUE"""),"ONISBVWX6")</f>
        <v>ONISBVWX6</v>
      </c>
      <c r="I1190" s="5">
        <f>IFERROR(__xludf.DUMMYFUNCTION("""COMPUTED_VALUE"""),20.0)</f>
        <v>20</v>
      </c>
      <c r="J1190" s="4" t="str">
        <f>IFERROR(__xludf.DUMMYFUNCTION("""COMPUTED_VALUE"""),"Tier 3")</f>
        <v>Tier 3</v>
      </c>
      <c r="K1190" s="4" t="str">
        <f>IFERROR(__xludf.DUMMYFUNCTION("""COMPUTED_VALUE"""),"Active")</f>
        <v>Active</v>
      </c>
      <c r="L1190" s="4" t="str">
        <f>IFERROR(__xludf.DUMMYFUNCTION("""COMPUTED_VALUE"""),"AlloyDB for PostgreSQL")</f>
        <v>AlloyDB for PostgreSQL</v>
      </c>
    </row>
    <row r="1191">
      <c r="A1191" s="4" t="str">
        <f>IFERROR(__xludf.DUMMYFUNCTION("""COMPUTED_VALUE"""),"DMC1131")</f>
        <v>DMC1131</v>
      </c>
      <c r="B1191" s="4" t="str">
        <f>IFERROR(__xludf.DUMMYFUNCTION("""COMPUTED_VALUE"""),"Modi Biren Bipinkumar")</f>
        <v>Modi Biren Bipinkumar</v>
      </c>
      <c r="C1191" s="4" t="str">
        <f>IFERROR(__xludf.DUMMYFUNCTION("""COMPUTED_VALUE"""),"biren.modi@onixnet.us")</f>
        <v>biren.modi@onixnet.us</v>
      </c>
      <c r="D1191" s="4" t="str">
        <f>IFERROR(__xludf.DUMMYFUNCTION("""COMPUTED_VALUE"""),"Active")</f>
        <v>Active</v>
      </c>
      <c r="E1191" s="4" t="str">
        <f>IFERROR(__xludf.DUMMYFUNCTION("""COMPUTED_VALUE"""),"Delivery Services")</f>
        <v>Delivery Services</v>
      </c>
      <c r="F1191" s="4" t="str">
        <f>IFERROR(__xludf.DUMMYFUNCTION("""COMPUTED_VALUE"""),"Mayur Tawhare")</f>
        <v>Mayur Tawhare</v>
      </c>
      <c r="G1191" s="4" t="str">
        <f>IFERROR(__xludf.DUMMYFUNCTION("""COMPUTED_VALUE"""),"Cluster - Varun")</f>
        <v>Cluster - Varun</v>
      </c>
      <c r="H1191" s="4" t="str">
        <f>IFERROR(__xludf.DUMMYFUNCTION("""COMPUTED_VALUE"""),"ONIBMQPZ6")</f>
        <v>ONIBMQPZ6</v>
      </c>
      <c r="I1191" s="5">
        <f>IFERROR(__xludf.DUMMYFUNCTION("""COMPUTED_VALUE"""),9.0)</f>
        <v>9</v>
      </c>
      <c r="J1191" s="4" t="str">
        <f>IFERROR(__xludf.DUMMYFUNCTION("""COMPUTED_VALUE"""),"Tier 4")</f>
        <v>Tier 4</v>
      </c>
      <c r="K1191" s="4" t="str">
        <f>IFERROR(__xludf.DUMMYFUNCTION("""COMPUTED_VALUE"""),"Active")</f>
        <v>Active</v>
      </c>
      <c r="L1191" s="4" t="str">
        <f>IFERROR(__xludf.DUMMYFUNCTION("""COMPUTED_VALUE"""),"AI Applications")</f>
        <v>AI Applications</v>
      </c>
    </row>
    <row r="1192">
      <c r="A1192" s="4" t="str">
        <f>IFERROR(__xludf.DUMMYFUNCTION("""COMPUTED_VALUE"""),"DME3185")</f>
        <v>DME3185</v>
      </c>
      <c r="B1192" s="4" t="str">
        <f>IFERROR(__xludf.DUMMYFUNCTION("""COMPUTED_VALUE"""),"Suraj Rajaram Mane")</f>
        <v>Suraj Rajaram Mane</v>
      </c>
      <c r="C1192" s="4" t="str">
        <f>IFERROR(__xludf.DUMMYFUNCTION("""COMPUTED_VALUE"""),"suraj.mane@onixnet.com")</f>
        <v>suraj.mane@onixnet.com</v>
      </c>
      <c r="D1192" s="4" t="str">
        <f>IFERROR(__xludf.DUMMYFUNCTION("""COMPUTED_VALUE"""),"Active")</f>
        <v>Active</v>
      </c>
      <c r="E1192" s="4" t="str">
        <f>IFERROR(__xludf.DUMMYFUNCTION("""COMPUTED_VALUE"""),"Eagle Assessment")</f>
        <v>Eagle Assessment</v>
      </c>
      <c r="F1192" s="4" t="str">
        <f>IFERROR(__xludf.DUMMYFUNCTION("""COMPUTED_VALUE"""),"Amruta Shreerang Urane")</f>
        <v>Amruta Shreerang Urane</v>
      </c>
      <c r="G1192" s="4" t="str">
        <f>IFERROR(__xludf.DUMMYFUNCTION("""COMPUTED_VALUE"""),"Cluster - Kalpa")</f>
        <v>Cluster - Kalpa</v>
      </c>
      <c r="H1192" s="4" t="str">
        <f>IFERROR(__xludf.DUMMYFUNCTION("""COMPUTED_VALUE"""),"ONISMIPX8")</f>
        <v>ONISMIPX8</v>
      </c>
      <c r="I1192" s="5">
        <f>IFERROR(__xludf.DUMMYFUNCTION("""COMPUTED_VALUE"""),10.0)</f>
        <v>10</v>
      </c>
      <c r="J1192" s="4" t="str">
        <f>IFERROR(__xludf.DUMMYFUNCTION("""COMPUTED_VALUE"""),"Tier 4")</f>
        <v>Tier 4</v>
      </c>
      <c r="K1192" s="4" t="str">
        <f>IFERROR(__xludf.DUMMYFUNCTION("""COMPUTED_VALUE"""),"Active")</f>
        <v>Active</v>
      </c>
      <c r="L1192" s="4" t="str">
        <f>IFERROR(__xludf.DUMMYFUNCTION("""COMPUTED_VALUE"""),"GECX - CX Agent Studio")</f>
        <v>GECX - CX Agent Studio</v>
      </c>
    </row>
    <row r="1193">
      <c r="A1193" s="4" t="str">
        <f>IFERROR(__xludf.DUMMYFUNCTION("""COMPUTED_VALUE"""),"DME3186")</f>
        <v>DME3186</v>
      </c>
      <c r="B1193" s="4" t="str">
        <f>IFERROR(__xludf.DUMMYFUNCTION("""COMPUTED_VALUE"""),"Ajaykumar Boda")</f>
        <v>Ajaykumar Boda</v>
      </c>
      <c r="C1193" s="4" t="str">
        <f>IFERROR(__xludf.DUMMYFUNCTION("""COMPUTED_VALUE"""),"ajaykumar.boda@onixnet.com")</f>
        <v>ajaykumar.boda@onixnet.com</v>
      </c>
      <c r="D1193" s="4" t="str">
        <f>IFERROR(__xludf.DUMMYFUNCTION("""COMPUTED_VALUE"""),"Active")</f>
        <v>Active</v>
      </c>
      <c r="E1193" s="4" t="str">
        <f>IFERROR(__xludf.DUMMYFUNCTION("""COMPUTED_VALUE"""),"Delivery Services")</f>
        <v>Delivery Services</v>
      </c>
      <c r="F1193" s="4" t="str">
        <f>IFERROR(__xludf.DUMMYFUNCTION("""COMPUTED_VALUE"""),"Manoj Patil")</f>
        <v>Manoj Patil</v>
      </c>
      <c r="G1193" s="4" t="str">
        <f>IFERROR(__xludf.DUMMYFUNCTION("""COMPUTED_VALUE"""),"Cluster - Shreepad")</f>
        <v>Cluster - Shreepad</v>
      </c>
      <c r="H1193" s="4" t="str">
        <f>IFERROR(__xludf.DUMMYFUNCTION("""COMPUTED_VALUE"""),"ONIABICA3")</f>
        <v>ONIABICA3</v>
      </c>
      <c r="I1193" s="5">
        <f>IFERROR(__xludf.DUMMYFUNCTION("""COMPUTED_VALUE"""),15.0)</f>
        <v>15</v>
      </c>
      <c r="J1193" s="4" t="str">
        <f>IFERROR(__xludf.DUMMYFUNCTION("""COMPUTED_VALUE"""),"Tier 4")</f>
        <v>Tier 4</v>
      </c>
      <c r="K1193" s="4" t="str">
        <f>IFERROR(__xludf.DUMMYFUNCTION("""COMPUTED_VALUE"""),"Active")</f>
        <v>Active</v>
      </c>
      <c r="L1193" s="4" t="str">
        <f>IFERROR(__xludf.DUMMYFUNCTION("""COMPUTED_VALUE"""),"Google Compute Engine")</f>
        <v>Google Compute Engine</v>
      </c>
    </row>
    <row r="1194">
      <c r="A1194" s="4" t="str">
        <f>IFERROR(__xludf.DUMMYFUNCTION("""COMPUTED_VALUE"""),"DME3188")</f>
        <v>DME3188</v>
      </c>
      <c r="B1194" s="4" t="str">
        <f>IFERROR(__xludf.DUMMYFUNCTION("""COMPUTED_VALUE"""),"Kunal Kisan Lokhande")</f>
        <v>Kunal Kisan Lokhande</v>
      </c>
      <c r="C1194" s="4" t="str">
        <f>IFERROR(__xludf.DUMMYFUNCTION("""COMPUTED_VALUE"""),"kunal.lokhande@onixnet.com")</f>
        <v>kunal.lokhande@onixnet.com</v>
      </c>
      <c r="D1194" s="4" t="str">
        <f>IFERROR(__xludf.DUMMYFUNCTION("""COMPUTED_VALUE"""),"Active")</f>
        <v>Active</v>
      </c>
      <c r="E1194" s="4" t="str">
        <f>IFERROR(__xludf.DUMMYFUNCTION("""COMPUTED_VALUE"""),"Delivery Services")</f>
        <v>Delivery Services</v>
      </c>
      <c r="F1194" s="4" t="str">
        <f>IFERROR(__xludf.DUMMYFUNCTION("""COMPUTED_VALUE"""),"Manoj Patil")</f>
        <v>Manoj Patil</v>
      </c>
      <c r="G1194" s="4" t="str">
        <f>IFERROR(__xludf.DUMMYFUNCTION("""COMPUTED_VALUE"""),"Cluster - Shreepad")</f>
        <v>Cluster - Shreepad</v>
      </c>
      <c r="H1194" s="4" t="str">
        <f>IFERROR(__xludf.DUMMYFUNCTION("""COMPUTED_VALUE"""),"ONIKLEDV0")</f>
        <v>ONIKLEDV0</v>
      </c>
      <c r="I1194" s="5">
        <f>IFERROR(__xludf.DUMMYFUNCTION("""COMPUTED_VALUE"""),10.0)</f>
        <v>10</v>
      </c>
      <c r="J1194" s="4" t="str">
        <f>IFERROR(__xludf.DUMMYFUNCTION("""COMPUTED_VALUE"""),"Tier 4")</f>
        <v>Tier 4</v>
      </c>
      <c r="K1194" s="4" t="str">
        <f>IFERROR(__xludf.DUMMYFUNCTION("""COMPUTED_VALUE"""),"Active")</f>
        <v>Active</v>
      </c>
      <c r="L1194" s="4" t="str">
        <f>IFERROR(__xludf.DUMMYFUNCTION("""COMPUTED_VALUE"""),"Cloud SQL")</f>
        <v>Cloud SQL</v>
      </c>
    </row>
    <row r="1195">
      <c r="A1195" s="4" t="str">
        <f>IFERROR(__xludf.DUMMYFUNCTION("""COMPUTED_VALUE"""),"ONIX854")</f>
        <v>ONIX854</v>
      </c>
      <c r="B1195" s="4" t="str">
        <f>IFERROR(__xludf.DUMMYFUNCTION("""COMPUTED_VALUE"""),"Ajay Ranipeta")</f>
        <v>Ajay Ranipeta</v>
      </c>
      <c r="C1195" s="4" t="str">
        <f>IFERROR(__xludf.DUMMYFUNCTION("""COMPUTED_VALUE"""),"ajay.ranipeta@onixnet.com")</f>
        <v>ajay.ranipeta@onixnet.com</v>
      </c>
      <c r="D1195" s="4" t="str">
        <f>IFERROR(__xludf.DUMMYFUNCTION("""COMPUTED_VALUE"""),"Active")</f>
        <v>Active</v>
      </c>
      <c r="E1195" s="4" t="str">
        <f>IFERROR(__xludf.DUMMYFUNCTION("""COMPUTED_VALUE"""),"Maps")</f>
        <v>Maps</v>
      </c>
      <c r="F1195" s="4" t="str">
        <f>IFERROR(__xludf.DUMMYFUNCTION("""COMPUTED_VALUE"""),"Scott Fleming")</f>
        <v>Scott Fleming</v>
      </c>
      <c r="G1195" s="4" t="str">
        <f>IFERROR(__xludf.DUMMYFUNCTION("""COMPUTED_VALUE"""),"Portfolio - Scott")</f>
        <v>Portfolio - Scott</v>
      </c>
      <c r="H1195" s="4" t="str">
        <f>IFERROR(__xludf.DUMMYFUNCTION("""COMPUTED_VALUE"""),"ONIARBVA1")</f>
        <v>ONIARBVA1</v>
      </c>
      <c r="I1195" s="5">
        <f>IFERROR(__xludf.DUMMYFUNCTION("""COMPUTED_VALUE"""),34.0)</f>
        <v>34</v>
      </c>
      <c r="J1195" s="4" t="str">
        <f>IFERROR(__xludf.DUMMYFUNCTION("""COMPUTED_VALUE"""),"Tier 3")</f>
        <v>Tier 3</v>
      </c>
      <c r="K1195" s="4" t="str">
        <f>IFERROR(__xludf.DUMMYFUNCTION("""COMPUTED_VALUE"""),"Active")</f>
        <v>Active</v>
      </c>
      <c r="L1195" s="4" t="str">
        <f>IFERROR(__xludf.DUMMYFUNCTION("""COMPUTED_VALUE"""),"Google Kubernetes Engine")</f>
        <v>Google Kubernetes Engine</v>
      </c>
    </row>
    <row r="1196">
      <c r="A1196" s="4" t="str">
        <f>IFERROR(__xludf.DUMMYFUNCTION("""COMPUTED_VALUE"""),"ONIX849")</f>
        <v>ONIX849</v>
      </c>
      <c r="B1196" s="4" t="str">
        <f>IFERROR(__xludf.DUMMYFUNCTION("""COMPUTED_VALUE"""),"Akeem Lawrence")</f>
        <v>Akeem Lawrence</v>
      </c>
      <c r="C1196" s="4" t="str">
        <f>IFERROR(__xludf.DUMMYFUNCTION("""COMPUTED_VALUE"""),"akeem.lawrence@onixnet.com")</f>
        <v>akeem.lawrence@onixnet.com</v>
      </c>
      <c r="D1196" s="4" t="str">
        <f>IFERROR(__xludf.DUMMYFUNCTION("""COMPUTED_VALUE"""),"Active")</f>
        <v>Active</v>
      </c>
      <c r="E1196" s="4" t="str">
        <f>IFERROR(__xludf.DUMMYFUNCTION("""COMPUTED_VALUE"""),"Sales Services")</f>
        <v>Sales Services</v>
      </c>
      <c r="F1196" s="4" t="str">
        <f>IFERROR(__xludf.DUMMYFUNCTION("""COMPUTED_VALUE"""),"Kathleen Hansen")</f>
        <v>Kathleen Hansen</v>
      </c>
      <c r="G1196" s="4" t="str">
        <f>IFERROR(__xludf.DUMMYFUNCTION("""COMPUTED_VALUE"""),"Portfolio - Ankur (Sales)")</f>
        <v>Portfolio - Ankur (Sales)</v>
      </c>
      <c r="H1196" s="4" t="str">
        <f>IFERROR(__xludf.DUMMYFUNCTION("""COMPUTED_VALUE"""),"ONIALLPB4")</f>
        <v>ONIALLPB4</v>
      </c>
      <c r="I1196" s="5">
        <f>IFERROR(__xludf.DUMMYFUNCTION("""COMPUTED_VALUE"""),10.0)</f>
        <v>10</v>
      </c>
      <c r="J1196" s="4" t="str">
        <f>IFERROR(__xludf.DUMMYFUNCTION("""COMPUTED_VALUE"""),"Tier 4")</f>
        <v>Tier 4</v>
      </c>
      <c r="K1196" s="4" t="str">
        <f>IFERROR(__xludf.DUMMYFUNCTION("""COMPUTED_VALUE"""),"Active")</f>
        <v>Active</v>
      </c>
      <c r="L1196" s="4" t="str">
        <f>IFERROR(__xludf.DUMMYFUNCTION("""COMPUTED_VALUE"""),"Google Kubernetes Engine")</f>
        <v>Google Kubernetes Engine</v>
      </c>
    </row>
    <row r="1197">
      <c r="A1197" s="4" t="str">
        <f>IFERROR(__xludf.DUMMYFUNCTION("""COMPUTED_VALUE"""),"ONIX851")</f>
        <v>ONIX851</v>
      </c>
      <c r="B1197" s="4" t="str">
        <f>IFERROR(__xludf.DUMMYFUNCTION("""COMPUTED_VALUE"""),"Anupam Haldar")</f>
        <v>Anupam Haldar</v>
      </c>
      <c r="C1197" s="4" t="str">
        <f>IFERROR(__xludf.DUMMYFUNCTION("""COMPUTED_VALUE"""),"anupam.haldar@onixnet.com")</f>
        <v>anupam.haldar@onixnet.com</v>
      </c>
      <c r="D1197" s="4" t="str">
        <f>IFERROR(__xludf.DUMMYFUNCTION("""COMPUTED_VALUE"""),"Active")</f>
        <v>Active</v>
      </c>
      <c r="E1197" s="4" t="str">
        <f>IFERROR(__xludf.DUMMYFUNCTION("""COMPUTED_VALUE"""),"Sales Services")</f>
        <v>Sales Services</v>
      </c>
      <c r="F1197" s="4" t="str">
        <f>IFERROR(__xludf.DUMMYFUNCTION("""COMPUTED_VALUE"""),"Sanjiv Chawla")</f>
        <v>Sanjiv Chawla</v>
      </c>
      <c r="G1197" s="4" t="str">
        <f>IFERROR(__xludf.DUMMYFUNCTION("""COMPUTED_VALUE"""),"Portfolio - Ankur (Sales)")</f>
        <v>Portfolio - Ankur (Sales)</v>
      </c>
      <c r="H1197" s="4"/>
      <c r="I1197" s="5"/>
      <c r="J1197" s="4"/>
      <c r="K1197" s="4" t="str">
        <f>IFERROR(__xludf.DUMMYFUNCTION("""COMPUTED_VALUE"""),"ID Not Created")</f>
        <v>ID Not Created</v>
      </c>
      <c r="L1197" s="4"/>
    </row>
    <row r="1198">
      <c r="A1198" s="4" t="str">
        <f>IFERROR(__xludf.DUMMYFUNCTION("""COMPUTED_VALUE"""),"ONIX846")</f>
        <v>ONIX846</v>
      </c>
      <c r="B1198" s="4" t="str">
        <f>IFERROR(__xludf.DUMMYFUNCTION("""COMPUTED_VALUE"""),"Brian Paupore")</f>
        <v>Brian Paupore</v>
      </c>
      <c r="C1198" s="4" t="str">
        <f>IFERROR(__xludf.DUMMYFUNCTION("""COMPUTED_VALUE"""),"brian.paupore@onixnet.com")</f>
        <v>brian.paupore@onixnet.com</v>
      </c>
      <c r="D1198" s="4" t="str">
        <f>IFERROR(__xludf.DUMMYFUNCTION("""COMPUTED_VALUE"""),"Active")</f>
        <v>Active</v>
      </c>
      <c r="E1198" s="4" t="str">
        <f>IFERROR(__xludf.DUMMYFUNCTION("""COMPUTED_VALUE"""),"Sales Services")</f>
        <v>Sales Services</v>
      </c>
      <c r="F1198" s="4" t="str">
        <f>IFERROR(__xludf.DUMMYFUNCTION("""COMPUTED_VALUE"""),"Kathleen Hansen")</f>
        <v>Kathleen Hansen</v>
      </c>
      <c r="G1198" s="4" t="str">
        <f>IFERROR(__xludf.DUMMYFUNCTION("""COMPUTED_VALUE"""),"Portfolio - Scott")</f>
        <v>Portfolio - Scott</v>
      </c>
      <c r="H1198" s="4" t="str">
        <f>IFERROR(__xludf.DUMMYFUNCTION("""COMPUTED_VALUE"""),"ONIBPPIB5")</f>
        <v>ONIBPPIB5</v>
      </c>
      <c r="I1198" s="5">
        <f>IFERROR(__xludf.DUMMYFUNCTION("""COMPUTED_VALUE"""),0.0)</f>
        <v>0</v>
      </c>
      <c r="J1198" s="4" t="str">
        <f>IFERROR(__xludf.DUMMYFUNCTION("""COMPUTED_VALUE"""),"Tier 4")</f>
        <v>Tier 4</v>
      </c>
      <c r="K1198" s="4" t="str">
        <f>IFERROR(__xludf.DUMMYFUNCTION("""COMPUTED_VALUE"""),"ID Created DRP score 0")</f>
        <v>ID Created DRP score 0</v>
      </c>
      <c r="L1198" s="4"/>
    </row>
    <row r="1199">
      <c r="A1199" s="4" t="str">
        <f>IFERROR(__xludf.DUMMYFUNCTION("""COMPUTED_VALUE"""),"ONIX853")</f>
        <v>ONIX853</v>
      </c>
      <c r="B1199" s="4" t="str">
        <f>IFERROR(__xludf.DUMMYFUNCTION("""COMPUTED_VALUE"""),"Coley Perry")</f>
        <v>Coley Perry</v>
      </c>
      <c r="C1199" s="4" t="str">
        <f>IFERROR(__xludf.DUMMYFUNCTION("""COMPUTED_VALUE"""),"coley.perry@onixnet.com")</f>
        <v>coley.perry@onixnet.com</v>
      </c>
      <c r="D1199" s="4" t="str">
        <f>IFERROR(__xludf.DUMMYFUNCTION("""COMPUTED_VALUE"""),"Active")</f>
        <v>Active</v>
      </c>
      <c r="E1199" s="4" t="str">
        <f>IFERROR(__xludf.DUMMYFUNCTION("""COMPUTED_VALUE"""),"Sales Services")</f>
        <v>Sales Services</v>
      </c>
      <c r="F1199" s="4" t="str">
        <f>IFERROR(__xludf.DUMMYFUNCTION("""COMPUTED_VALUE"""),"Shwetha Vincy")</f>
        <v>Shwetha Vincy</v>
      </c>
      <c r="G1199" s="4" t="str">
        <f>IFERROR(__xludf.DUMMYFUNCTION("""COMPUTED_VALUE"""),"Portfolio - Ankur (Sales)")</f>
        <v>Portfolio - Ankur (Sales)</v>
      </c>
      <c r="H1199" s="4" t="str">
        <f>IFERROR(__xludf.DUMMYFUNCTION("""COMPUTED_VALUE"""),"ONICPHZJ9")</f>
        <v>ONICPHZJ9</v>
      </c>
      <c r="I1199" s="5">
        <f>IFERROR(__xludf.DUMMYFUNCTION("""COMPUTED_VALUE"""),0.0)</f>
        <v>0</v>
      </c>
      <c r="J1199" s="4" t="str">
        <f>IFERROR(__xludf.DUMMYFUNCTION("""COMPUTED_VALUE"""),"Tier 4")</f>
        <v>Tier 4</v>
      </c>
      <c r="K1199" s="4" t="str">
        <f>IFERROR(__xludf.DUMMYFUNCTION("""COMPUTED_VALUE"""),"ID Created DRP score 0")</f>
        <v>ID Created DRP score 0</v>
      </c>
      <c r="L1199" s="4"/>
    </row>
    <row r="1200">
      <c r="A1200" s="4" t="str">
        <f>IFERROR(__xludf.DUMMYFUNCTION("""COMPUTED_VALUE"""),"ONIX847")</f>
        <v>ONIX847</v>
      </c>
      <c r="B1200" s="4" t="str">
        <f>IFERROR(__xludf.DUMMYFUNCTION("""COMPUTED_VALUE"""),"Joel Martens")</f>
        <v>Joel Martens</v>
      </c>
      <c r="C1200" s="4" t="str">
        <f>IFERROR(__xludf.DUMMYFUNCTION("""COMPUTED_VALUE"""),"joel.martens@onixnet.com")</f>
        <v>joel.martens@onixnet.com</v>
      </c>
      <c r="D1200" s="4" t="str">
        <f>IFERROR(__xludf.DUMMYFUNCTION("""COMPUTED_VALUE"""),"Active")</f>
        <v>Active</v>
      </c>
      <c r="E1200" s="4" t="str">
        <f>IFERROR(__xludf.DUMMYFUNCTION("""COMPUTED_VALUE"""),"Sales Overlay")</f>
        <v>Sales Overlay</v>
      </c>
      <c r="F1200" s="4" t="str">
        <f>IFERROR(__xludf.DUMMYFUNCTION("""COMPUTED_VALUE"""),"Scott Fleming")</f>
        <v>Scott Fleming</v>
      </c>
      <c r="G1200" s="4" t="str">
        <f>IFERROR(__xludf.DUMMYFUNCTION("""COMPUTED_VALUE"""),"Portfolio - Ankur (Sales)")</f>
        <v>Portfolio - Ankur (Sales)</v>
      </c>
      <c r="H1200" s="4" t="str">
        <f>IFERROR(__xludf.DUMMYFUNCTION("""COMPUTED_VALUE"""),"ONIJMXXG3")</f>
        <v>ONIJMXXG3</v>
      </c>
      <c r="I1200" s="5">
        <f>IFERROR(__xludf.DUMMYFUNCTION("""COMPUTED_VALUE"""),9.0)</f>
        <v>9</v>
      </c>
      <c r="J1200" s="4" t="str">
        <f>IFERROR(__xludf.DUMMYFUNCTION("""COMPUTED_VALUE"""),"Tier 4")</f>
        <v>Tier 4</v>
      </c>
      <c r="K1200" s="4" t="str">
        <f>IFERROR(__xludf.DUMMYFUNCTION("""COMPUTED_VALUE"""),"Active")</f>
        <v>Active</v>
      </c>
      <c r="L1200" s="4"/>
    </row>
    <row r="1201">
      <c r="A1201" s="4" t="str">
        <f>IFERROR(__xludf.DUMMYFUNCTION("""COMPUTED_VALUE"""),"ONIX845")</f>
        <v>ONIX845</v>
      </c>
      <c r="B1201" s="4" t="str">
        <f>IFERROR(__xludf.DUMMYFUNCTION("""COMPUTED_VALUE"""),"Nicole Rastall")</f>
        <v>Nicole Rastall</v>
      </c>
      <c r="C1201" s="4" t="str">
        <f>IFERROR(__xludf.DUMMYFUNCTION("""COMPUTED_VALUE"""),"nicole.rastall@onixnet.com")</f>
        <v>nicole.rastall@onixnet.com</v>
      </c>
      <c r="D1201" s="4" t="str">
        <f>IFERROR(__xludf.DUMMYFUNCTION("""COMPUTED_VALUE"""),"Active")</f>
        <v>Active</v>
      </c>
      <c r="E1201" s="4" t="str">
        <f>IFERROR(__xludf.DUMMYFUNCTION("""COMPUTED_VALUE"""),"Workspace")</f>
        <v>Workspace</v>
      </c>
      <c r="F1201" s="4" t="str">
        <f>IFERROR(__xludf.DUMMYFUNCTION("""COMPUTED_VALUE"""),"Scott Fleming")</f>
        <v>Scott Fleming</v>
      </c>
      <c r="G1201" s="4" t="str">
        <f>IFERROR(__xludf.DUMMYFUNCTION("""COMPUTED_VALUE"""),"Portfolio - Scott")</f>
        <v>Portfolio - Scott</v>
      </c>
      <c r="H1201" s="4" t="str">
        <f>IFERROR(__xludf.DUMMYFUNCTION("""COMPUTED_VALUE"""),"ONINRJPJ1")</f>
        <v>ONINRJPJ1</v>
      </c>
      <c r="I1201" s="5">
        <f>IFERROR(__xludf.DUMMYFUNCTION("""COMPUTED_VALUE"""),10.0)</f>
        <v>10</v>
      </c>
      <c r="J1201" s="4" t="str">
        <f>IFERROR(__xludf.DUMMYFUNCTION("""COMPUTED_VALUE"""),"Tier 4")</f>
        <v>Tier 4</v>
      </c>
      <c r="K1201" s="4" t="str">
        <f>IFERROR(__xludf.DUMMYFUNCTION("""COMPUTED_VALUE"""),"Active")</f>
        <v>Active</v>
      </c>
      <c r="L1201" s="4"/>
    </row>
    <row r="1202">
      <c r="A1202" s="4" t="str">
        <f>IFERROR(__xludf.DUMMYFUNCTION("""COMPUTED_VALUE"""),"ONIX850")</f>
        <v>ONIX850</v>
      </c>
      <c r="B1202" s="4" t="str">
        <f>IFERROR(__xludf.DUMMYFUNCTION("""COMPUTED_VALUE"""),"Venkataraaman Loganathan")</f>
        <v>Venkataraaman Loganathan</v>
      </c>
      <c r="C1202" s="4" t="str">
        <f>IFERROR(__xludf.DUMMYFUNCTION("""COMPUTED_VALUE"""),"venkataraaman.loganathan@onixnet.com")</f>
        <v>venkataraaman.loganathan@onixnet.com</v>
      </c>
      <c r="D1202" s="4" t="str">
        <f>IFERROR(__xludf.DUMMYFUNCTION("""COMPUTED_VALUE"""),"Active")</f>
        <v>Active</v>
      </c>
      <c r="E1202" s="4" t="str">
        <f>IFERROR(__xludf.DUMMYFUNCTION("""COMPUTED_VALUE"""),"Delivery")</f>
        <v>Delivery</v>
      </c>
      <c r="F1202" s="4" t="str">
        <f>IFERROR(__xludf.DUMMYFUNCTION("""COMPUTED_VALUE"""),"Courtney Cline")</f>
        <v>Courtney Cline</v>
      </c>
      <c r="G1202" s="4" t="str">
        <f>IFERROR(__xludf.DUMMYFUNCTION("""COMPUTED_VALUE"""),"Portfolio - Courtney (US East)")</f>
        <v>Portfolio - Courtney (US East)</v>
      </c>
      <c r="H1202" s="4" t="str">
        <f>IFERROR(__xludf.DUMMYFUNCTION("""COMPUTED_VALUE"""),"ONIVLFCA9")</f>
        <v>ONIVLFCA9</v>
      </c>
      <c r="I1202" s="5">
        <f>IFERROR(__xludf.DUMMYFUNCTION("""COMPUTED_VALUE"""),5.0)</f>
        <v>5</v>
      </c>
      <c r="J1202" s="4" t="str">
        <f>IFERROR(__xludf.DUMMYFUNCTION("""COMPUTED_VALUE"""),"Tier 4")</f>
        <v>Tier 4</v>
      </c>
      <c r="K1202" s="4" t="str">
        <f>IFERROR(__xludf.DUMMYFUNCTION("""COMPUTED_VALUE"""),"Active")</f>
        <v>Active</v>
      </c>
      <c r="L1202" s="4" t="str">
        <f>IFERROR(__xludf.DUMMYFUNCTION("""COMPUTED_VALUE"""),"Gemini Enterprise")</f>
        <v>Gemini Enterprise</v>
      </c>
    </row>
    <row r="1203">
      <c r="A1203" s="4" t="str">
        <f>IFERROR(__xludf.DUMMYFUNCTION("""COMPUTED_VALUE"""),"DME3192")</f>
        <v>DME3192</v>
      </c>
      <c r="B1203" s="4" t="str">
        <f>IFERROR(__xludf.DUMMYFUNCTION("""COMPUTED_VALUE"""),"Sudagani Sandhya Rani")</f>
        <v>Sudagani Sandhya Rani</v>
      </c>
      <c r="C1203" s="4" t="str">
        <f>IFERROR(__xludf.DUMMYFUNCTION("""COMPUTED_VALUE"""),"sandhya.sudagani@onixnet.com")</f>
        <v>sandhya.sudagani@onixnet.com</v>
      </c>
      <c r="D1203" s="4" t="str">
        <f>IFERROR(__xludf.DUMMYFUNCTION("""COMPUTED_VALUE"""),"Active")</f>
        <v>Active</v>
      </c>
      <c r="E1203" s="4" t="str">
        <f>IFERROR(__xludf.DUMMYFUNCTION("""COMPUTED_VALUE"""),"Delivery Services")</f>
        <v>Delivery Services</v>
      </c>
      <c r="F1203" s="4" t="str">
        <f>IFERROR(__xludf.DUMMYFUNCTION("""COMPUTED_VALUE"""),"Upendra Rangisetti")</f>
        <v>Upendra Rangisetti</v>
      </c>
      <c r="G1203" s="4" t="str">
        <f>IFERROR(__xludf.DUMMYFUNCTION("""COMPUTED_VALUE"""),"Cluster - Shreepad")</f>
        <v>Cluster - Shreepad</v>
      </c>
      <c r="H1203" s="4" t="str">
        <f>IFERROR(__xludf.DUMMYFUNCTION("""COMPUTED_VALUE"""),"ONISSWIT4")</f>
        <v>ONISSWIT4</v>
      </c>
      <c r="I1203" s="5">
        <f>IFERROR(__xludf.DUMMYFUNCTION("""COMPUTED_VALUE"""),5.0)</f>
        <v>5</v>
      </c>
      <c r="J1203" s="4" t="str">
        <f>IFERROR(__xludf.DUMMYFUNCTION("""COMPUTED_VALUE"""),"Tier 4")</f>
        <v>Tier 4</v>
      </c>
      <c r="K1203" s="4" t="str">
        <f>IFERROR(__xludf.DUMMYFUNCTION("""COMPUTED_VALUE"""),"Active")</f>
        <v>Active</v>
      </c>
      <c r="L1203" s="4" t="str">
        <f>IFERROR(__xludf.DUMMYFUNCTION("""COMPUTED_VALUE"""),"Gemini Enterprise Agent Platform")</f>
        <v>Gemini Enterprise Agent Platform</v>
      </c>
    </row>
    <row r="1204">
      <c r="A1204" s="4" t="str">
        <f>IFERROR(__xludf.DUMMYFUNCTION("""COMPUTED_VALUE"""),"DME3193")</f>
        <v>DME3193</v>
      </c>
      <c r="B1204" s="4" t="str">
        <f>IFERROR(__xludf.DUMMYFUNCTION("""COMPUTED_VALUE"""),"Pooja Maske")</f>
        <v>Pooja Maske</v>
      </c>
      <c r="C1204" s="4" t="str">
        <f>IFERROR(__xludf.DUMMYFUNCTION("""COMPUTED_VALUE"""),"pooja.maske@onixnet.com")</f>
        <v>pooja.maske@onixnet.com</v>
      </c>
      <c r="D1204" s="4" t="str">
        <f>IFERROR(__xludf.DUMMYFUNCTION("""COMPUTED_VALUE"""),"Active")</f>
        <v>Active</v>
      </c>
      <c r="E1204" s="4" t="str">
        <f>IFERROR(__xludf.DUMMYFUNCTION("""COMPUTED_VALUE"""),"Delivery Services")</f>
        <v>Delivery Services</v>
      </c>
      <c r="F1204" s="4" t="str">
        <f>IFERROR(__xludf.DUMMYFUNCTION("""COMPUTED_VALUE"""),"Jitender Singh")</f>
        <v>Jitender Singh</v>
      </c>
      <c r="G1204" s="4" t="str">
        <f>IFERROR(__xludf.DUMMYFUNCTION("""COMPUTED_VALUE"""),"Cluster - Gaurav")</f>
        <v>Cluster - Gaurav</v>
      </c>
      <c r="H1204" s="4" t="str">
        <f>IFERROR(__xludf.DUMMYFUNCTION("""COMPUTED_VALUE"""),"ONIPMQBU6")</f>
        <v>ONIPMQBU6</v>
      </c>
      <c r="I1204" s="5">
        <f>IFERROR(__xludf.DUMMYFUNCTION("""COMPUTED_VALUE"""),25.0)</f>
        <v>25</v>
      </c>
      <c r="J1204" s="4" t="str">
        <f>IFERROR(__xludf.DUMMYFUNCTION("""COMPUTED_VALUE"""),"Tier 3")</f>
        <v>Tier 3</v>
      </c>
      <c r="K1204" s="4" t="str">
        <f>IFERROR(__xludf.DUMMYFUNCTION("""COMPUTED_VALUE"""),"Active")</f>
        <v>Active</v>
      </c>
      <c r="L1204" s="4" t="str">
        <f>IFERROR(__xludf.DUMMYFUNCTION("""COMPUTED_VALUE"""),"Gemini Enterprise Agent Platform")</f>
        <v>Gemini Enterprise Agent Platform</v>
      </c>
    </row>
    <row r="1205">
      <c r="A1205" s="4" t="str">
        <f>IFERROR(__xludf.DUMMYFUNCTION("""COMPUTED_VALUE"""),"ONIX857")</f>
        <v>ONIX857</v>
      </c>
      <c r="B1205" s="4" t="str">
        <f>IFERROR(__xludf.DUMMYFUNCTION("""COMPUTED_VALUE"""),"Angelica Rodriguez")</f>
        <v>Angelica Rodriguez</v>
      </c>
      <c r="C1205" s="4" t="str">
        <f>IFERROR(__xludf.DUMMYFUNCTION("""COMPUTED_VALUE"""),"angelica.rodriguez@onixnet.com")</f>
        <v>angelica.rodriguez@onixnet.com</v>
      </c>
      <c r="D1205" s="4" t="str">
        <f>IFERROR(__xludf.DUMMYFUNCTION("""COMPUTED_VALUE"""),"Active")</f>
        <v>Active</v>
      </c>
      <c r="E1205" s="4" t="str">
        <f>IFERROR(__xludf.DUMMYFUNCTION("""COMPUTED_VALUE"""),"Workspace")</f>
        <v>Workspace</v>
      </c>
      <c r="F1205" s="4" t="str">
        <f>IFERROR(__xludf.DUMMYFUNCTION("""COMPUTED_VALUE"""),"Courtney Cline")</f>
        <v>Courtney Cline</v>
      </c>
      <c r="G1205" s="4" t="str">
        <f>IFERROR(__xludf.DUMMYFUNCTION("""COMPUTED_VALUE"""),"Portfolio - Courtney (US East)")</f>
        <v>Portfolio - Courtney (US East)</v>
      </c>
      <c r="H1205" s="4" t="str">
        <f>IFERROR(__xludf.DUMMYFUNCTION("""COMPUTED_VALUE"""),"ONIARYAQ2")</f>
        <v>ONIARYAQ2</v>
      </c>
      <c r="I1205" s="5">
        <f>IFERROR(__xludf.DUMMYFUNCTION("""COMPUTED_VALUE"""),19.0)</f>
        <v>19</v>
      </c>
      <c r="J1205" s="4" t="str">
        <f>IFERROR(__xludf.DUMMYFUNCTION("""COMPUTED_VALUE"""),"Tier 4")</f>
        <v>Tier 4</v>
      </c>
      <c r="K1205" s="4" t="str">
        <f>IFERROR(__xludf.DUMMYFUNCTION("""COMPUTED_VALUE"""),"Active")</f>
        <v>Active</v>
      </c>
      <c r="L1205" s="4"/>
    </row>
    <row r="1206">
      <c r="A1206" s="4" t="str">
        <f>IFERROR(__xludf.DUMMYFUNCTION("""COMPUTED_VALUE"""),"ONIX856")</f>
        <v>ONIX856</v>
      </c>
      <c r="B1206" s="4" t="str">
        <f>IFERROR(__xludf.DUMMYFUNCTION("""COMPUTED_VALUE"""),"Mark Furaus")</f>
        <v>Mark Furaus</v>
      </c>
      <c r="C1206" s="4" t="str">
        <f>IFERROR(__xludf.DUMMYFUNCTION("""COMPUTED_VALUE"""),"mark.furaus@onixnet.com")</f>
        <v>mark.furaus@onixnet.com</v>
      </c>
      <c r="D1206" s="4" t="str">
        <f>IFERROR(__xludf.DUMMYFUNCTION("""COMPUTED_VALUE"""),"Active")</f>
        <v>Active</v>
      </c>
      <c r="E1206" s="4" t="str">
        <f>IFERROR(__xludf.DUMMYFUNCTION("""COMPUTED_VALUE"""),"Sales Services")</f>
        <v>Sales Services</v>
      </c>
      <c r="F1206" s="4" t="str">
        <f>IFERROR(__xludf.DUMMYFUNCTION("""COMPUTED_VALUE"""),"Kathleen Hansen")</f>
        <v>Kathleen Hansen</v>
      </c>
      <c r="G1206" s="4" t="str">
        <f>IFERROR(__xludf.DUMMYFUNCTION("""COMPUTED_VALUE"""),"Portfolio - Ankur (Sales)")</f>
        <v>Portfolio - Ankur (Sales)</v>
      </c>
      <c r="H1206" s="4" t="str">
        <f>IFERROR(__xludf.DUMMYFUNCTION("""COMPUTED_VALUE"""),"ONIMFLRI2")</f>
        <v>ONIMFLRI2</v>
      </c>
      <c r="I1206" s="5">
        <f>IFERROR(__xludf.DUMMYFUNCTION("""COMPUTED_VALUE"""),9.0)</f>
        <v>9</v>
      </c>
      <c r="J1206" s="4" t="str">
        <f>IFERROR(__xludf.DUMMYFUNCTION("""COMPUTED_VALUE"""),"Tier 4")</f>
        <v>Tier 4</v>
      </c>
      <c r="K1206" s="4" t="str">
        <f>IFERROR(__xludf.DUMMYFUNCTION("""COMPUTED_VALUE"""),"Active")</f>
        <v>Active</v>
      </c>
      <c r="L1206" s="4" t="str">
        <f>IFERROR(__xludf.DUMMYFUNCTION("""COMPUTED_VALUE"""),"Gemini Enterprise")</f>
        <v>Gemini Enterprise</v>
      </c>
    </row>
    <row r="1207">
      <c r="A1207" s="4" t="str">
        <f>IFERROR(__xludf.DUMMYFUNCTION("""COMPUTED_VALUE"""),"DME3194")</f>
        <v>DME3194</v>
      </c>
      <c r="B1207" s="4" t="str">
        <f>IFERROR(__xludf.DUMMYFUNCTION("""COMPUTED_VALUE"""),"Aishwarya Himmatrao Kshirsagar")</f>
        <v>Aishwarya Himmatrao Kshirsagar</v>
      </c>
      <c r="C1207" s="4" t="str">
        <f>IFERROR(__xludf.DUMMYFUNCTION("""COMPUTED_VALUE"""),"aishwarya.kshirsagar@onixnet.com")</f>
        <v>aishwarya.kshirsagar@onixnet.com</v>
      </c>
      <c r="D1207" s="4" t="str">
        <f>IFERROR(__xludf.DUMMYFUNCTION("""COMPUTED_VALUE"""),"Active")</f>
        <v>Active</v>
      </c>
      <c r="E1207" s="4" t="str">
        <f>IFERROR(__xludf.DUMMYFUNCTION("""COMPUTED_VALUE"""),"Delivery Services")</f>
        <v>Delivery Services</v>
      </c>
      <c r="F1207" s="4" t="str">
        <f>IFERROR(__xludf.DUMMYFUNCTION("""COMPUTED_VALUE"""),"Pooja Chawda")</f>
        <v>Pooja Chawda</v>
      </c>
      <c r="G1207" s="4" t="str">
        <f>IFERROR(__xludf.DUMMYFUNCTION("""COMPUTED_VALUE"""),"Cluster - Sandeep")</f>
        <v>Cluster - Sandeep</v>
      </c>
      <c r="H1207" s="4" t="str">
        <f>IFERROR(__xludf.DUMMYFUNCTION("""COMPUTED_VALUE"""),"ONIAKUSH5")</f>
        <v>ONIAKUSH5</v>
      </c>
      <c r="I1207" s="5">
        <f>IFERROR(__xludf.DUMMYFUNCTION("""COMPUTED_VALUE"""),5.0)</f>
        <v>5</v>
      </c>
      <c r="J1207" s="4" t="str">
        <f>IFERROR(__xludf.DUMMYFUNCTION("""COMPUTED_VALUE"""),"Tier 4")</f>
        <v>Tier 4</v>
      </c>
      <c r="K1207" s="4" t="str">
        <f>IFERROR(__xludf.DUMMYFUNCTION("""COMPUTED_VALUE"""),"Active")</f>
        <v>Active</v>
      </c>
      <c r="L1207" s="4" t="str">
        <f>IFERROR(__xludf.DUMMYFUNCTION("""COMPUTED_VALUE"""),"Gemini Enterprise Agent Platform")</f>
        <v>Gemini Enterprise Agent Platform</v>
      </c>
    </row>
    <row r="1208">
      <c r="A1208" s="4" t="str">
        <f>IFERROR(__xludf.DUMMYFUNCTION("""COMPUTED_VALUE"""),"DME3197")</f>
        <v>DME3197</v>
      </c>
      <c r="B1208" s="4" t="str">
        <f>IFERROR(__xludf.DUMMYFUNCTION("""COMPUTED_VALUE"""),"Vishesh Gangadhar Shetty")</f>
        <v>Vishesh Gangadhar Shetty</v>
      </c>
      <c r="C1208" s="4" t="str">
        <f>IFERROR(__xludf.DUMMYFUNCTION("""COMPUTED_VALUE"""),"vishesh.shetty@onixnet.com")</f>
        <v>vishesh.shetty@onixnet.com</v>
      </c>
      <c r="D1208" s="4" t="str">
        <f>IFERROR(__xludf.DUMMYFUNCTION("""COMPUTED_VALUE"""),"Active")</f>
        <v>Active</v>
      </c>
      <c r="E1208" s="4" t="str">
        <f>IFERROR(__xludf.DUMMYFUNCTION("""COMPUTED_VALUE"""),"Delivery Services")</f>
        <v>Delivery Services</v>
      </c>
      <c r="F1208" s="4" t="str">
        <f>IFERROR(__xludf.DUMMYFUNCTION("""COMPUTED_VALUE"""),"Sneha Bhatambrekar")</f>
        <v>Sneha Bhatambrekar</v>
      </c>
      <c r="G1208" s="4" t="str">
        <f>IFERROR(__xludf.DUMMYFUNCTION("""COMPUTED_VALUE"""),"Cluster - Sandeep")</f>
        <v>Cluster - Sandeep</v>
      </c>
      <c r="H1208" s="4" t="str">
        <f>IFERROR(__xludf.DUMMYFUNCTION("""COMPUTED_VALUE"""),"ONIVSWVO0")</f>
        <v>ONIVSWVO0</v>
      </c>
      <c r="I1208" s="5">
        <f>IFERROR(__xludf.DUMMYFUNCTION("""COMPUTED_VALUE"""),5.0)</f>
        <v>5</v>
      </c>
      <c r="J1208" s="4" t="str">
        <f>IFERROR(__xludf.DUMMYFUNCTION("""COMPUTED_VALUE"""),"Tier 4")</f>
        <v>Tier 4</v>
      </c>
      <c r="K1208" s="4" t="str">
        <f>IFERROR(__xludf.DUMMYFUNCTION("""COMPUTED_VALUE"""),"Active")</f>
        <v>Active</v>
      </c>
      <c r="L1208" s="4" t="str">
        <f>IFERROR(__xludf.DUMMYFUNCTION("""COMPUTED_VALUE"""),"Gemini Enterprise Agent Platform")</f>
        <v>Gemini Enterprise Agent Platform</v>
      </c>
    </row>
    <row r="1209">
      <c r="A1209" s="4" t="str">
        <f>IFERROR(__xludf.DUMMYFUNCTION("""COMPUTED_VALUE"""),"DME3199")</f>
        <v>DME3199</v>
      </c>
      <c r="B1209" s="4" t="str">
        <f>IFERROR(__xludf.DUMMYFUNCTION("""COMPUTED_VALUE"""),"Vikram G Varma")</f>
        <v>Vikram G Varma</v>
      </c>
      <c r="C1209" s="4" t="str">
        <f>IFERROR(__xludf.DUMMYFUNCTION("""COMPUTED_VALUE"""),"vikram.varma@onixnet.com")</f>
        <v>vikram.varma@onixnet.com</v>
      </c>
      <c r="D1209" s="4" t="str">
        <f>IFERROR(__xludf.DUMMYFUNCTION("""COMPUTED_VALUE"""),"Active")</f>
        <v>Active</v>
      </c>
      <c r="E1209" s="4" t="str">
        <f>IFERROR(__xludf.DUMMYFUNCTION("""COMPUTED_VALUE"""),"Delivery Services")</f>
        <v>Delivery Services</v>
      </c>
      <c r="F1209" s="4" t="str">
        <f>IFERROR(__xludf.DUMMYFUNCTION("""COMPUTED_VALUE"""),"Manoj Patil")</f>
        <v>Manoj Patil</v>
      </c>
      <c r="G1209" s="4" t="str">
        <f>IFERROR(__xludf.DUMMYFUNCTION("""COMPUTED_VALUE"""),"Cluster - Shreepad")</f>
        <v>Cluster - Shreepad</v>
      </c>
      <c r="H1209" s="4" t="str">
        <f>IFERROR(__xludf.DUMMYFUNCTION("""COMPUTED_VALUE"""),"ONIVVYKJ6")</f>
        <v>ONIVVYKJ6</v>
      </c>
      <c r="I1209" s="5">
        <f>IFERROR(__xludf.DUMMYFUNCTION("""COMPUTED_VALUE"""),9.0)</f>
        <v>9</v>
      </c>
      <c r="J1209" s="4" t="str">
        <f>IFERROR(__xludf.DUMMYFUNCTION("""COMPUTED_VALUE"""),"Tier 4")</f>
        <v>Tier 4</v>
      </c>
      <c r="K1209" s="4" t="str">
        <f>IFERROR(__xludf.DUMMYFUNCTION("""COMPUTED_VALUE"""),"Active")</f>
        <v>Active</v>
      </c>
      <c r="L1209" s="4" t="str">
        <f>IFERROR(__xludf.DUMMYFUNCTION("""COMPUTED_VALUE"""),"Dataflow")</f>
        <v>Dataflow</v>
      </c>
    </row>
    <row r="1210">
      <c r="A1210" s="4" t="str">
        <f>IFERROR(__xludf.DUMMYFUNCTION("""COMPUTED_VALUE"""),"ONIX858")</f>
        <v>ONIX858</v>
      </c>
      <c r="B1210" s="4" t="str">
        <f>IFERROR(__xludf.DUMMYFUNCTION("""COMPUTED_VALUE"""),"Gautam Kotwal")</f>
        <v>Gautam Kotwal</v>
      </c>
      <c r="C1210" s="4" t="str">
        <f>IFERROR(__xludf.DUMMYFUNCTION("""COMPUTED_VALUE"""),"gautam.kotwal@onixnet.com")</f>
        <v>gautam.kotwal@onixnet.com</v>
      </c>
      <c r="D1210" s="4" t="str">
        <f>IFERROR(__xludf.DUMMYFUNCTION("""COMPUTED_VALUE"""),"Active")</f>
        <v>Active</v>
      </c>
      <c r="E1210" s="4" t="str">
        <f>IFERROR(__xludf.DUMMYFUNCTION("""COMPUTED_VALUE"""),"Sales Services")</f>
        <v>Sales Services</v>
      </c>
      <c r="F1210" s="4" t="str">
        <f>IFERROR(__xludf.DUMMYFUNCTION("""COMPUTED_VALUE"""),"Ankur Kashyap")</f>
        <v>Ankur Kashyap</v>
      </c>
      <c r="G1210" s="4" t="str">
        <f>IFERROR(__xludf.DUMMYFUNCTION("""COMPUTED_VALUE"""),"Portfolio - Ankur (Sales)")</f>
        <v>Portfolio - Ankur (Sales)</v>
      </c>
      <c r="H1210" s="4" t="str">
        <f>IFERROR(__xludf.DUMMYFUNCTION("""COMPUTED_VALUE"""),"ONIGKFYE5")</f>
        <v>ONIGKFYE5</v>
      </c>
      <c r="I1210" s="5">
        <f>IFERROR(__xludf.DUMMYFUNCTION("""COMPUTED_VALUE"""),0.0)</f>
        <v>0</v>
      </c>
      <c r="J1210" s="4" t="str">
        <f>IFERROR(__xludf.DUMMYFUNCTION("""COMPUTED_VALUE"""),"Tier 4")</f>
        <v>Tier 4</v>
      </c>
      <c r="K1210" s="4" t="str">
        <f>IFERROR(__xludf.DUMMYFUNCTION("""COMPUTED_VALUE"""),"ID Created DRP score 0")</f>
        <v>ID Created DRP score 0</v>
      </c>
      <c r="L1210" s="4"/>
    </row>
    <row r="1211">
      <c r="A1211" s="4" t="str">
        <f>IFERROR(__xludf.DUMMYFUNCTION("""COMPUTED_VALUE"""),"DME3203")</f>
        <v>DME3203</v>
      </c>
      <c r="B1211" s="4" t="str">
        <f>IFERROR(__xludf.DUMMYFUNCTION("""COMPUTED_VALUE"""),"Abhishek Pramod Choure")</f>
        <v>Abhishek Pramod Choure</v>
      </c>
      <c r="C1211" s="4" t="str">
        <f>IFERROR(__xludf.DUMMYFUNCTION("""COMPUTED_VALUE"""),"abhishek.choure@onixnet.com")</f>
        <v>abhishek.choure@onixnet.com</v>
      </c>
      <c r="D1211" s="4" t="str">
        <f>IFERROR(__xludf.DUMMYFUNCTION("""COMPUTED_VALUE"""),"Active")</f>
        <v>Active</v>
      </c>
      <c r="E1211" s="4" t="str">
        <f>IFERROR(__xludf.DUMMYFUNCTION("""COMPUTED_VALUE"""),"Delivery Services")</f>
        <v>Delivery Services</v>
      </c>
      <c r="F1211" s="4" t="str">
        <f>IFERROR(__xludf.DUMMYFUNCTION("""COMPUTED_VALUE"""),"Naveen Harish")</f>
        <v>Naveen Harish</v>
      </c>
      <c r="G1211" s="4" t="str">
        <f>IFERROR(__xludf.DUMMYFUNCTION("""COMPUTED_VALUE"""),"Cluster - Varun")</f>
        <v>Cluster - Varun</v>
      </c>
      <c r="H1211" s="4" t="str">
        <f>IFERROR(__xludf.DUMMYFUNCTION("""COMPUTED_VALUE"""),"ONIACTWV4")</f>
        <v>ONIACTWV4</v>
      </c>
      <c r="I1211" s="5">
        <f>IFERROR(__xludf.DUMMYFUNCTION("""COMPUTED_VALUE"""),8.0)</f>
        <v>8</v>
      </c>
      <c r="J1211" s="4" t="str">
        <f>IFERROR(__xludf.DUMMYFUNCTION("""COMPUTED_VALUE"""),"Tier 4")</f>
        <v>Tier 4</v>
      </c>
      <c r="K1211" s="4" t="str">
        <f>IFERROR(__xludf.DUMMYFUNCTION("""COMPUTED_VALUE"""),"Active")</f>
        <v>Active</v>
      </c>
      <c r="L1211" s="4" t="str">
        <f>IFERROR(__xludf.DUMMYFUNCTION("""COMPUTED_VALUE"""),"BigQuery")</f>
        <v>BigQuery</v>
      </c>
    </row>
    <row r="1212">
      <c r="A1212" s="4" t="str">
        <f>IFERROR(__xludf.DUMMYFUNCTION("""COMPUTED_VALUE"""),"DME3204")</f>
        <v>DME3204</v>
      </c>
      <c r="B1212" s="4" t="str">
        <f>IFERROR(__xludf.DUMMYFUNCTION("""COMPUTED_VALUE"""),"Raisa Hamid Jamadar")</f>
        <v>Raisa Hamid Jamadar</v>
      </c>
      <c r="C1212" s="4" t="str">
        <f>IFERROR(__xludf.DUMMYFUNCTION("""COMPUTED_VALUE"""),"raisa.jamadar@onixnet.com")</f>
        <v>raisa.jamadar@onixnet.com</v>
      </c>
      <c r="D1212" s="4" t="str">
        <f>IFERROR(__xludf.DUMMYFUNCTION("""COMPUTED_VALUE"""),"Active")</f>
        <v>Active</v>
      </c>
      <c r="E1212" s="4" t="str">
        <f>IFERROR(__xludf.DUMMYFUNCTION("""COMPUTED_VALUE"""),"Delivery Services")</f>
        <v>Delivery Services</v>
      </c>
      <c r="F1212" s="4" t="str">
        <f>IFERROR(__xludf.DUMMYFUNCTION("""COMPUTED_VALUE"""),"Sneha Bhatambrekar")</f>
        <v>Sneha Bhatambrekar</v>
      </c>
      <c r="G1212" s="4" t="str">
        <f>IFERROR(__xludf.DUMMYFUNCTION("""COMPUTED_VALUE"""),"Cluster - Sandeep")</f>
        <v>Cluster - Sandeep</v>
      </c>
      <c r="H1212" s="4" t="str">
        <f>IFERROR(__xludf.DUMMYFUNCTION("""COMPUTED_VALUE"""),"ONIRJDNW4")</f>
        <v>ONIRJDNW4</v>
      </c>
      <c r="I1212" s="5">
        <f>IFERROR(__xludf.DUMMYFUNCTION("""COMPUTED_VALUE"""),15.0)</f>
        <v>15</v>
      </c>
      <c r="J1212" s="4" t="str">
        <f>IFERROR(__xludf.DUMMYFUNCTION("""COMPUTED_VALUE"""),"Tier 4")</f>
        <v>Tier 4</v>
      </c>
      <c r="K1212" s="4" t="str">
        <f>IFERROR(__xludf.DUMMYFUNCTION("""COMPUTED_VALUE"""),"Active")</f>
        <v>Active</v>
      </c>
      <c r="L1212" s="4" t="str">
        <f>IFERROR(__xludf.DUMMYFUNCTION("""COMPUTED_VALUE"""),"Gemini Enterprise Agent Platform")</f>
        <v>Gemini Enterprise Agent Platform</v>
      </c>
    </row>
    <row r="1213">
      <c r="A1213" s="4" t="str">
        <f>IFERROR(__xludf.DUMMYFUNCTION("""COMPUTED_VALUE"""),"DME3206")</f>
        <v>DME3206</v>
      </c>
      <c r="B1213" s="4" t="str">
        <f>IFERROR(__xludf.DUMMYFUNCTION("""COMPUTED_VALUE"""),"Punam S Paliwal")</f>
        <v>Punam S Paliwal</v>
      </c>
      <c r="C1213" s="4" t="str">
        <f>IFERROR(__xludf.DUMMYFUNCTION("""COMPUTED_VALUE"""),"punam.paliwal@onixnet.com")</f>
        <v>punam.paliwal@onixnet.com</v>
      </c>
      <c r="D1213" s="4" t="str">
        <f>IFERROR(__xludf.DUMMYFUNCTION("""COMPUTED_VALUE"""),"Active")</f>
        <v>Active</v>
      </c>
      <c r="E1213" s="4" t="str">
        <f>IFERROR(__xludf.DUMMYFUNCTION("""COMPUTED_VALUE"""),"Delivery Services")</f>
        <v>Delivery Services</v>
      </c>
      <c r="F1213" s="4" t="str">
        <f>IFERROR(__xludf.DUMMYFUNCTION("""COMPUTED_VALUE"""),"Ravi Shankar")</f>
        <v>Ravi Shankar</v>
      </c>
      <c r="G1213" s="4" t="str">
        <f>IFERROR(__xludf.DUMMYFUNCTION("""COMPUTED_VALUE"""),"Cluster - Sagar")</f>
        <v>Cluster - Sagar</v>
      </c>
      <c r="H1213" s="4" t="str">
        <f>IFERROR(__xludf.DUMMYFUNCTION("""COMPUTED_VALUE"""),"ONIPPIBP6")</f>
        <v>ONIPPIBP6</v>
      </c>
      <c r="I1213" s="5">
        <f>IFERROR(__xludf.DUMMYFUNCTION("""COMPUTED_VALUE"""),6.0)</f>
        <v>6</v>
      </c>
      <c r="J1213" s="4" t="str">
        <f>IFERROR(__xludf.DUMMYFUNCTION("""COMPUTED_VALUE"""),"Tier 4")</f>
        <v>Tier 4</v>
      </c>
      <c r="K1213" s="4" t="str">
        <f>IFERROR(__xludf.DUMMYFUNCTION("""COMPUTED_VALUE"""),"Active")</f>
        <v>Active</v>
      </c>
      <c r="L1213" s="4" t="str">
        <f>IFERROR(__xludf.DUMMYFUNCTION("""COMPUTED_VALUE"""),"BigQuery")</f>
        <v>BigQuery</v>
      </c>
    </row>
    <row r="1214">
      <c r="A1214" s="4" t="str">
        <f>IFERROR(__xludf.DUMMYFUNCTION("""COMPUTED_VALUE"""),"DME3209")</f>
        <v>DME3209</v>
      </c>
      <c r="B1214" s="4" t="str">
        <f>IFERROR(__xludf.DUMMYFUNCTION("""COMPUTED_VALUE"""),"Susmita Suryakant Thombre")</f>
        <v>Susmita Suryakant Thombre</v>
      </c>
      <c r="C1214" s="4" t="str">
        <f>IFERROR(__xludf.DUMMYFUNCTION("""COMPUTED_VALUE"""),"susmita.thombre@onixnet.com")</f>
        <v>susmita.thombre@onixnet.com</v>
      </c>
      <c r="D1214" s="4" t="str">
        <f>IFERROR(__xludf.DUMMYFUNCTION("""COMPUTED_VALUE"""),"Active")</f>
        <v>Active</v>
      </c>
      <c r="E1214" s="4" t="str">
        <f>IFERROR(__xludf.DUMMYFUNCTION("""COMPUTED_VALUE"""),"Delivery Services")</f>
        <v>Delivery Services</v>
      </c>
      <c r="F1214" s="4" t="str">
        <f>IFERROR(__xludf.DUMMYFUNCTION("""COMPUTED_VALUE"""),"Pratik Malshe")</f>
        <v>Pratik Malshe</v>
      </c>
      <c r="G1214" s="4" t="str">
        <f>IFERROR(__xludf.DUMMYFUNCTION("""COMPUTED_VALUE"""),"Cluster - Gaurav")</f>
        <v>Cluster - Gaurav</v>
      </c>
      <c r="H1214" s="4" t="str">
        <f>IFERROR(__xludf.DUMMYFUNCTION("""COMPUTED_VALUE"""),"ONISTTSQ9")</f>
        <v>ONISTTSQ9</v>
      </c>
      <c r="I1214" s="5">
        <f>IFERROR(__xludf.DUMMYFUNCTION("""COMPUTED_VALUE"""),8.0)</f>
        <v>8</v>
      </c>
      <c r="J1214" s="4" t="str">
        <f>IFERROR(__xludf.DUMMYFUNCTION("""COMPUTED_VALUE"""),"Tier 4")</f>
        <v>Tier 4</v>
      </c>
      <c r="K1214" s="4" t="str">
        <f>IFERROR(__xludf.DUMMYFUNCTION("""COMPUTED_VALUE"""),"Active")</f>
        <v>Active</v>
      </c>
      <c r="L1214" s="4" t="str">
        <f>IFERROR(__xludf.DUMMYFUNCTION("""COMPUTED_VALUE"""),"Google Compute Engine")</f>
        <v>Google Compute Engine</v>
      </c>
    </row>
    <row r="1215">
      <c r="A1215" s="4" t="str">
        <f>IFERROR(__xludf.DUMMYFUNCTION("""COMPUTED_VALUE"""),"ONIX860")</f>
        <v>ONIX860</v>
      </c>
      <c r="B1215" s="4" t="str">
        <f>IFERROR(__xludf.DUMMYFUNCTION("""COMPUTED_VALUE"""),"Venkata Naresh Kajjayam")</f>
        <v>Venkata Naresh Kajjayam</v>
      </c>
      <c r="C1215" s="4" t="str">
        <f>IFERROR(__xludf.DUMMYFUNCTION("""COMPUTED_VALUE"""),"venkata.kajjayam@onixnet.com")</f>
        <v>venkata.kajjayam@onixnet.com</v>
      </c>
      <c r="D1215" s="4" t="str">
        <f>IFERROR(__xludf.DUMMYFUNCTION("""COMPUTED_VALUE"""),"Active")</f>
        <v>Active</v>
      </c>
      <c r="E1215" s="4" t="str">
        <f>IFERROR(__xludf.DUMMYFUNCTION("""COMPUTED_VALUE"""),"Delivery")</f>
        <v>Delivery</v>
      </c>
      <c r="F1215" s="4" t="str">
        <f>IFERROR(__xludf.DUMMYFUNCTION("""COMPUTED_VALUE"""),"Kanth Nagapudi")</f>
        <v>Kanth Nagapudi</v>
      </c>
      <c r="G1215" s="4" t="str">
        <f>IFERROR(__xludf.DUMMYFUNCTION("""COMPUTED_VALUE"""),"Portfolio - Kanth")</f>
        <v>Portfolio - Kanth</v>
      </c>
      <c r="H1215" s="4" t="str">
        <f>IFERROR(__xludf.DUMMYFUNCTION("""COMPUTED_VALUE"""),"ONIVKQNG1")</f>
        <v>ONIVKQNG1</v>
      </c>
      <c r="I1215" s="5">
        <f>IFERROR(__xludf.DUMMYFUNCTION("""COMPUTED_VALUE"""),0.0)</f>
        <v>0</v>
      </c>
      <c r="J1215" s="4" t="str">
        <f>IFERROR(__xludf.DUMMYFUNCTION("""COMPUTED_VALUE"""),"Tier 4")</f>
        <v>Tier 4</v>
      </c>
      <c r="K1215" s="4" t="str">
        <f>IFERROR(__xludf.DUMMYFUNCTION("""COMPUTED_VALUE"""),"ID Created DRP score 0")</f>
        <v>ID Created DRP score 0</v>
      </c>
      <c r="L1215" s="4"/>
    </row>
    <row r="1216">
      <c r="A1216" s="4" t="str">
        <f>IFERROR(__xludf.DUMMYFUNCTION("""COMPUTED_VALUE"""),"DME3213")</f>
        <v>DME3213</v>
      </c>
      <c r="B1216" s="4" t="str">
        <f>IFERROR(__xludf.DUMMYFUNCTION("""COMPUTED_VALUE"""),"Omkar Udaykumar More")</f>
        <v>Omkar Udaykumar More</v>
      </c>
      <c r="C1216" s="4" t="str">
        <f>IFERROR(__xludf.DUMMYFUNCTION("""COMPUTED_VALUE"""),"omkar.more@onixnet.com")</f>
        <v>omkar.more@onixnet.com</v>
      </c>
      <c r="D1216" s="4" t="str">
        <f>IFERROR(__xludf.DUMMYFUNCTION("""COMPUTED_VALUE"""),"Active")</f>
        <v>Active</v>
      </c>
      <c r="E1216" s="4" t="str">
        <f>IFERROR(__xludf.DUMMYFUNCTION("""COMPUTED_VALUE"""),"Delivery Services")</f>
        <v>Delivery Services</v>
      </c>
      <c r="F1216" s="4" t="str">
        <f>IFERROR(__xludf.DUMMYFUNCTION("""COMPUTED_VALUE"""),"Aarti Borhade")</f>
        <v>Aarti Borhade</v>
      </c>
      <c r="G1216" s="4" t="str">
        <f>IFERROR(__xludf.DUMMYFUNCTION("""COMPUTED_VALUE"""),"Cluster - Sagar")</f>
        <v>Cluster - Sagar</v>
      </c>
      <c r="H1216" s="4" t="str">
        <f>IFERROR(__xludf.DUMMYFUNCTION("""COMPUTED_VALUE"""),"ONIOMBHF0")</f>
        <v>ONIOMBHF0</v>
      </c>
      <c r="I1216" s="5">
        <f>IFERROR(__xludf.DUMMYFUNCTION("""COMPUTED_VALUE"""),5.0)</f>
        <v>5</v>
      </c>
      <c r="J1216" s="4" t="str">
        <f>IFERROR(__xludf.DUMMYFUNCTION("""COMPUTED_VALUE"""),"Tier 4")</f>
        <v>Tier 4</v>
      </c>
      <c r="K1216" s="4" t="str">
        <f>IFERROR(__xludf.DUMMYFUNCTION("""COMPUTED_VALUE"""),"Active")</f>
        <v>Active</v>
      </c>
      <c r="L1216" s="4" t="str">
        <f>IFERROR(__xludf.DUMMYFUNCTION("""COMPUTED_VALUE"""),"Google Kubernetes Engine")</f>
        <v>Google Kubernetes Engine</v>
      </c>
    </row>
    <row r="1217">
      <c r="A1217" s="4" t="str">
        <f>IFERROR(__xludf.DUMMYFUNCTION("""COMPUTED_VALUE"""),"ONIX861")</f>
        <v>ONIX861</v>
      </c>
      <c r="B1217" s="4" t="str">
        <f>IFERROR(__xludf.DUMMYFUNCTION("""COMPUTED_VALUE"""),"Agnes Horvath")</f>
        <v>Agnes Horvath</v>
      </c>
      <c r="C1217" s="4" t="str">
        <f>IFERROR(__xludf.DUMMYFUNCTION("""COMPUTED_VALUE"""),"agnes.horvath@onixnet.com")</f>
        <v>agnes.horvath@onixnet.com</v>
      </c>
      <c r="D1217" s="4" t="str">
        <f>IFERROR(__xludf.DUMMYFUNCTION("""COMPUTED_VALUE"""),"Active")</f>
        <v>Active</v>
      </c>
      <c r="E1217" s="4" t="str">
        <f>IFERROR(__xludf.DUMMYFUNCTION("""COMPUTED_VALUE"""),"Productivity &amp; Change Mgmt")</f>
        <v>Productivity &amp; Change Mgmt</v>
      </c>
      <c r="F1217" s="4" t="str">
        <f>IFERROR(__xludf.DUMMYFUNCTION("""COMPUTED_VALUE"""),"Carol Vaughn")</f>
        <v>Carol Vaughn</v>
      </c>
      <c r="G1217" s="4" t="str">
        <f>IFERROR(__xludf.DUMMYFUNCTION("""COMPUTED_VALUE"""),"Portfolio - Courtney (US East)")</f>
        <v>Portfolio - Courtney (US East)</v>
      </c>
      <c r="H1217" s="4" t="str">
        <f>IFERROR(__xludf.DUMMYFUNCTION("""COMPUTED_VALUE"""),"ONIAHDRT7")</f>
        <v>ONIAHDRT7</v>
      </c>
      <c r="I1217" s="5">
        <f>IFERROR(__xludf.DUMMYFUNCTION("""COMPUTED_VALUE"""),9.0)</f>
        <v>9</v>
      </c>
      <c r="J1217" s="4" t="str">
        <f>IFERROR(__xludf.DUMMYFUNCTION("""COMPUTED_VALUE"""),"Tier 4")</f>
        <v>Tier 4</v>
      </c>
      <c r="K1217" s="4" t="str">
        <f>IFERROR(__xludf.DUMMYFUNCTION("""COMPUTED_VALUE"""),"Active")</f>
        <v>Active</v>
      </c>
      <c r="L1217" s="4"/>
    </row>
    <row r="1218">
      <c r="A1218" s="4" t="str">
        <f>IFERROR(__xludf.DUMMYFUNCTION("""COMPUTED_VALUE"""),"DME3214")</f>
        <v>DME3214</v>
      </c>
      <c r="B1218" s="4" t="str">
        <f>IFERROR(__xludf.DUMMYFUNCTION("""COMPUTED_VALUE"""),"Anu Jinny Jose")</f>
        <v>Anu Jinny Jose</v>
      </c>
      <c r="C1218" s="4" t="str">
        <f>IFERROR(__xludf.DUMMYFUNCTION("""COMPUTED_VALUE"""),"anu.jose@onixnet.com")</f>
        <v>anu.jose@onixnet.com</v>
      </c>
      <c r="D1218" s="4" t="str">
        <f>IFERROR(__xludf.DUMMYFUNCTION("""COMPUTED_VALUE"""),"Active")</f>
        <v>Active</v>
      </c>
      <c r="E1218" s="4" t="str">
        <f>IFERROR(__xludf.DUMMYFUNCTION("""COMPUTED_VALUE"""),"Solutions and Pre-Sales")</f>
        <v>Solutions and Pre-Sales</v>
      </c>
      <c r="F1218" s="4" t="str">
        <f>IFERROR(__xludf.DUMMYFUNCTION("""COMPUTED_VALUE"""),"Anantha Balasubramanian")</f>
        <v>Anantha Balasubramanian</v>
      </c>
      <c r="G1218" s="4" t="str">
        <f>IFERROR(__xludf.DUMMYFUNCTION("""COMPUTED_VALUE"""),"Portfolio - Gaurav A (Presales)")</f>
        <v>Portfolio - Gaurav A (Presales)</v>
      </c>
      <c r="H1218" s="4" t="str">
        <f>IFERROR(__xludf.DUMMYFUNCTION("""COMPUTED_VALUE"""),"ONIAJMQR6")</f>
        <v>ONIAJMQR6</v>
      </c>
      <c r="I1218" s="5">
        <f>IFERROR(__xludf.DUMMYFUNCTION("""COMPUTED_VALUE"""),25.0)</f>
        <v>25</v>
      </c>
      <c r="J1218" s="4" t="str">
        <f>IFERROR(__xludf.DUMMYFUNCTION("""COMPUTED_VALUE"""),"Tier 3")</f>
        <v>Tier 3</v>
      </c>
      <c r="K1218" s="4" t="str">
        <f>IFERROR(__xludf.DUMMYFUNCTION("""COMPUTED_VALUE"""),"Active")</f>
        <v>Active</v>
      </c>
      <c r="L1218" s="4" t="str">
        <f>IFERROR(__xludf.DUMMYFUNCTION("""COMPUTED_VALUE"""),"Google Cloud Networking")</f>
        <v>Google Cloud Networking</v>
      </c>
    </row>
    <row r="1219">
      <c r="A1219" s="4" t="str">
        <f>IFERROR(__xludf.DUMMYFUNCTION("""COMPUTED_VALUE"""),"DME3215")</f>
        <v>DME3215</v>
      </c>
      <c r="B1219" s="4" t="str">
        <f>IFERROR(__xludf.DUMMYFUNCTION("""COMPUTED_VALUE"""),"Pulaganti Teja Krishna")</f>
        <v>Pulaganti Teja Krishna</v>
      </c>
      <c r="C1219" s="4" t="str">
        <f>IFERROR(__xludf.DUMMYFUNCTION("""COMPUTED_VALUE"""),"tejakrishna.pulaganti@onixnet.com")</f>
        <v>tejakrishna.pulaganti@onixnet.com</v>
      </c>
      <c r="D1219" s="4" t="str">
        <f>IFERROR(__xludf.DUMMYFUNCTION("""COMPUTED_VALUE"""),"Active")</f>
        <v>Active</v>
      </c>
      <c r="E1219" s="4" t="str">
        <f>IFERROR(__xludf.DUMMYFUNCTION("""COMPUTED_VALUE"""),"Delivery Services")</f>
        <v>Delivery Services</v>
      </c>
      <c r="F1219" s="4" t="str">
        <f>IFERROR(__xludf.DUMMYFUNCTION("""COMPUTED_VALUE"""),"Manoj Patil")</f>
        <v>Manoj Patil</v>
      </c>
      <c r="G1219" s="4" t="str">
        <f>IFERROR(__xludf.DUMMYFUNCTION("""COMPUTED_VALUE"""),"Cluster - Shreepad")</f>
        <v>Cluster - Shreepad</v>
      </c>
      <c r="H1219" s="4" t="str">
        <f>IFERROR(__xludf.DUMMYFUNCTION("""COMPUTED_VALUE"""),"ONITPMHM5")</f>
        <v>ONITPMHM5</v>
      </c>
      <c r="I1219" s="5">
        <f>IFERROR(__xludf.DUMMYFUNCTION("""COMPUTED_VALUE"""),19.0)</f>
        <v>19</v>
      </c>
      <c r="J1219" s="4" t="str">
        <f>IFERROR(__xludf.DUMMYFUNCTION("""COMPUTED_VALUE"""),"Tier 4")</f>
        <v>Tier 4</v>
      </c>
      <c r="K1219" s="4" t="str">
        <f>IFERROR(__xludf.DUMMYFUNCTION("""COMPUTED_VALUE"""),"Active")</f>
        <v>Active</v>
      </c>
      <c r="L1219" s="4" t="str">
        <f>IFERROR(__xludf.DUMMYFUNCTION("""COMPUTED_VALUE"""),"BigQuery")</f>
        <v>BigQuery</v>
      </c>
    </row>
    <row r="1220">
      <c r="A1220" s="4" t="str">
        <f>IFERROR(__xludf.DUMMYFUNCTION("""COMPUTED_VALUE"""),"DME3216")</f>
        <v>DME3216</v>
      </c>
      <c r="B1220" s="4" t="str">
        <f>IFERROR(__xludf.DUMMYFUNCTION("""COMPUTED_VALUE"""),"Ajay Kumar Damarla")</f>
        <v>Ajay Kumar Damarla</v>
      </c>
      <c r="C1220" s="4" t="str">
        <f>IFERROR(__xludf.DUMMYFUNCTION("""COMPUTED_VALUE"""),"ajay.damarla@onixnet.com")</f>
        <v>ajay.damarla@onixnet.com</v>
      </c>
      <c r="D1220" s="4" t="str">
        <f>IFERROR(__xludf.DUMMYFUNCTION("""COMPUTED_VALUE"""),"Active")</f>
        <v>Active</v>
      </c>
      <c r="E1220" s="4" t="str">
        <f>IFERROR(__xludf.DUMMYFUNCTION("""COMPUTED_VALUE"""),"Delivery Services")</f>
        <v>Delivery Services</v>
      </c>
      <c r="F1220" s="4" t="str">
        <f>IFERROR(__xludf.DUMMYFUNCTION("""COMPUTED_VALUE"""),"Sunny Mathur")</f>
        <v>Sunny Mathur</v>
      </c>
      <c r="G1220" s="4" t="str">
        <f>IFERROR(__xludf.DUMMYFUNCTION("""COMPUTED_VALUE"""),"Cluster - Sagar")</f>
        <v>Cluster - Sagar</v>
      </c>
      <c r="H1220" s="4" t="str">
        <f>IFERROR(__xludf.DUMMYFUNCTION("""COMPUTED_VALUE"""),"ONIADXXU2")</f>
        <v>ONIADXXU2</v>
      </c>
      <c r="I1220" s="5">
        <f>IFERROR(__xludf.DUMMYFUNCTION("""COMPUTED_VALUE"""),9.0)</f>
        <v>9</v>
      </c>
      <c r="J1220" s="4" t="str">
        <f>IFERROR(__xludf.DUMMYFUNCTION("""COMPUTED_VALUE"""),"Tier 4")</f>
        <v>Tier 4</v>
      </c>
      <c r="K1220" s="4" t="str">
        <f>IFERROR(__xludf.DUMMYFUNCTION("""COMPUTED_VALUE"""),"Active")</f>
        <v>Active</v>
      </c>
      <c r="L1220" s="4" t="str">
        <f>IFERROR(__xludf.DUMMYFUNCTION("""COMPUTED_VALUE"""),"BigQuery")</f>
        <v>BigQuery</v>
      </c>
    </row>
    <row r="1221">
      <c r="A1221" s="4" t="str">
        <f>IFERROR(__xludf.DUMMYFUNCTION("""COMPUTED_VALUE"""),"DME3217")</f>
        <v>DME3217</v>
      </c>
      <c r="B1221" s="4" t="str">
        <f>IFERROR(__xludf.DUMMYFUNCTION("""COMPUTED_VALUE"""),"Mandar Ravindra Thakur")</f>
        <v>Mandar Ravindra Thakur</v>
      </c>
      <c r="C1221" s="4" t="str">
        <f>IFERROR(__xludf.DUMMYFUNCTION("""COMPUTED_VALUE"""),"mandar.thakur@onixnet.com")</f>
        <v>mandar.thakur@onixnet.com</v>
      </c>
      <c r="D1221" s="4" t="str">
        <f>IFERROR(__xludf.DUMMYFUNCTION("""COMPUTED_VALUE"""),"Active")</f>
        <v>Active</v>
      </c>
      <c r="E1221" s="4" t="str">
        <f>IFERROR(__xludf.DUMMYFUNCTION("""COMPUTED_VALUE"""),"Delivery Services")</f>
        <v>Delivery Services</v>
      </c>
      <c r="F1221" s="4" t="str">
        <f>IFERROR(__xludf.DUMMYFUNCTION("""COMPUTED_VALUE"""),"Vedant Bhogawade")</f>
        <v>Vedant Bhogawade</v>
      </c>
      <c r="G1221" s="4" t="str">
        <f>IFERROR(__xludf.DUMMYFUNCTION("""COMPUTED_VALUE"""),"Cluster - Varun")</f>
        <v>Cluster - Varun</v>
      </c>
      <c r="H1221" s="4" t="str">
        <f>IFERROR(__xludf.DUMMYFUNCTION("""COMPUTED_VALUE"""),"ONIMTEBV0")</f>
        <v>ONIMTEBV0</v>
      </c>
      <c r="I1221" s="5">
        <f>IFERROR(__xludf.DUMMYFUNCTION("""COMPUTED_VALUE"""),18.0)</f>
        <v>18</v>
      </c>
      <c r="J1221" s="4" t="str">
        <f>IFERROR(__xludf.DUMMYFUNCTION("""COMPUTED_VALUE"""),"Tier 4")</f>
        <v>Tier 4</v>
      </c>
      <c r="K1221" s="4" t="str">
        <f>IFERROR(__xludf.DUMMYFUNCTION("""COMPUTED_VALUE"""),"Active")</f>
        <v>Active</v>
      </c>
      <c r="L1221" s="4" t="str">
        <f>IFERROR(__xludf.DUMMYFUNCTION("""COMPUTED_VALUE"""),"BigQuery")</f>
        <v>BigQuery</v>
      </c>
    </row>
    <row r="1222">
      <c r="A1222" s="4" t="str">
        <f>IFERROR(__xludf.DUMMYFUNCTION("""COMPUTED_VALUE"""),"DME3218")</f>
        <v>DME3218</v>
      </c>
      <c r="B1222" s="4" t="str">
        <f>IFERROR(__xludf.DUMMYFUNCTION("""COMPUTED_VALUE"""),"Aditya Sunil Thorat")</f>
        <v>Aditya Sunil Thorat</v>
      </c>
      <c r="C1222" s="4" t="str">
        <f>IFERROR(__xludf.DUMMYFUNCTION("""COMPUTED_VALUE"""),"aditya.thorat1@onixnet.com")</f>
        <v>aditya.thorat1@onixnet.com</v>
      </c>
      <c r="D1222" s="4" t="str">
        <f>IFERROR(__xludf.DUMMYFUNCTION("""COMPUTED_VALUE"""),"Active")</f>
        <v>Active</v>
      </c>
      <c r="E1222" s="4" t="str">
        <f>IFERROR(__xludf.DUMMYFUNCTION("""COMPUTED_VALUE"""),"Delivery Services")</f>
        <v>Delivery Services</v>
      </c>
      <c r="F1222" s="4" t="str">
        <f>IFERROR(__xludf.DUMMYFUNCTION("""COMPUTED_VALUE"""),"Anuj Chopra")</f>
        <v>Anuj Chopra</v>
      </c>
      <c r="G1222" s="4" t="str">
        <f>IFERROR(__xludf.DUMMYFUNCTION("""COMPUTED_VALUE"""),"Cluster - Sagar")</f>
        <v>Cluster - Sagar</v>
      </c>
      <c r="H1222" s="4" t="str">
        <f>IFERROR(__xludf.DUMMYFUNCTION("""COMPUTED_VALUE"""),"ONIATNZX9")</f>
        <v>ONIATNZX9</v>
      </c>
      <c r="I1222" s="5">
        <f>IFERROR(__xludf.DUMMYFUNCTION("""COMPUTED_VALUE"""),5.0)</f>
        <v>5</v>
      </c>
      <c r="J1222" s="4" t="str">
        <f>IFERROR(__xludf.DUMMYFUNCTION("""COMPUTED_VALUE"""),"Tier 4")</f>
        <v>Tier 4</v>
      </c>
      <c r="K1222" s="4" t="str">
        <f>IFERROR(__xludf.DUMMYFUNCTION("""COMPUTED_VALUE"""),"Active")</f>
        <v>Active</v>
      </c>
      <c r="L1222" s="4" t="str">
        <f>IFERROR(__xludf.DUMMYFUNCTION("""COMPUTED_VALUE"""),"BigQuery")</f>
        <v>BigQuery</v>
      </c>
    </row>
    <row r="1223">
      <c r="A1223" s="4" t="str">
        <f>IFERROR(__xludf.DUMMYFUNCTION("""COMPUTED_VALUE"""),"DMEU0002")</f>
        <v>DMEU0002</v>
      </c>
      <c r="B1223" s="4" t="str">
        <f>IFERROR(__xludf.DUMMYFUNCTION("""COMPUTED_VALUE"""),"Vittorio Massimo Sanvito")</f>
        <v>Vittorio Massimo Sanvito</v>
      </c>
      <c r="C1223" s="4" t="str">
        <f>IFERROR(__xludf.DUMMYFUNCTION("""COMPUTED_VALUE"""),"vittorio.sanvito@onixnet.com")</f>
        <v>vittorio.sanvito@onixnet.com</v>
      </c>
      <c r="D1223" s="4" t="str">
        <f>IFERROR(__xludf.DUMMYFUNCTION("""COMPUTED_VALUE"""),"Active")</f>
        <v>Active</v>
      </c>
      <c r="E1223" s="4" t="str">
        <f>IFERROR(__xludf.DUMMYFUNCTION("""COMPUTED_VALUE"""),"Solutions and Pre-Sales")</f>
        <v>Solutions and Pre-Sales</v>
      </c>
      <c r="F1223" s="4" t="str">
        <f>IFERROR(__xludf.DUMMYFUNCTION("""COMPUTED_VALUE"""),"Ankur Kashyap")</f>
        <v>Ankur Kashyap</v>
      </c>
      <c r="G1223" s="4" t="str">
        <f>IFERROR(__xludf.DUMMYFUNCTION("""COMPUTED_VALUE"""),"Portfolio - Ankur (Sales)")</f>
        <v>Portfolio - Ankur (Sales)</v>
      </c>
      <c r="H1223" s="4" t="str">
        <f>IFERROR(__xludf.DUMMYFUNCTION("""COMPUTED_VALUE"""),"ONIVSFYX6")</f>
        <v>ONIVSFYX6</v>
      </c>
      <c r="I1223" s="5">
        <f>IFERROR(__xludf.DUMMYFUNCTION("""COMPUTED_VALUE"""),5.0)</f>
        <v>5</v>
      </c>
      <c r="J1223" s="4" t="str">
        <f>IFERROR(__xludf.DUMMYFUNCTION("""COMPUTED_VALUE"""),"Tier 4")</f>
        <v>Tier 4</v>
      </c>
      <c r="K1223" s="4" t="str">
        <f>IFERROR(__xludf.DUMMYFUNCTION("""COMPUTED_VALUE"""),"Active")</f>
        <v>Active</v>
      </c>
      <c r="L1223" s="4" t="str">
        <f>IFERROR(__xludf.DUMMYFUNCTION("""COMPUTED_VALUE"""),"Gemini Enterprise Agent Platform")</f>
        <v>Gemini Enterprise Agent Platform</v>
      </c>
    </row>
    <row r="1224">
      <c r="A1224" s="4" t="str">
        <f>IFERROR(__xludf.DUMMYFUNCTION("""COMPUTED_VALUE"""),"DME3221")</f>
        <v>DME3221</v>
      </c>
      <c r="B1224" s="4" t="str">
        <f>IFERROR(__xludf.DUMMYFUNCTION("""COMPUTED_VALUE"""),"Raavi Ashok Reddy")</f>
        <v>Raavi Ashok Reddy</v>
      </c>
      <c r="C1224" s="4" t="str">
        <f>IFERROR(__xludf.DUMMYFUNCTION("""COMPUTED_VALUE"""),"ashok.raavi@onixnet.com")</f>
        <v>ashok.raavi@onixnet.com</v>
      </c>
      <c r="D1224" s="4" t="str">
        <f>IFERROR(__xludf.DUMMYFUNCTION("""COMPUTED_VALUE"""),"Active")</f>
        <v>Active</v>
      </c>
      <c r="E1224" s="4" t="str">
        <f>IFERROR(__xludf.DUMMYFUNCTION("""COMPUTED_VALUE"""),"Delivery Services")</f>
        <v>Delivery Services</v>
      </c>
      <c r="F1224" s="4" t="str">
        <f>IFERROR(__xludf.DUMMYFUNCTION("""COMPUTED_VALUE"""),"Amish Ojha")</f>
        <v>Amish Ojha</v>
      </c>
      <c r="G1224" s="4" t="str">
        <f>IFERROR(__xludf.DUMMYFUNCTION("""COMPUTED_VALUE"""),"Cluster - Gaurav")</f>
        <v>Cluster - Gaurav</v>
      </c>
      <c r="H1224" s="4" t="str">
        <f>IFERROR(__xludf.DUMMYFUNCTION("""COMPUTED_VALUE"""),"ONIARRYE8")</f>
        <v>ONIARRYE8</v>
      </c>
      <c r="I1224" s="5">
        <f>IFERROR(__xludf.DUMMYFUNCTION("""COMPUTED_VALUE"""),15.0)</f>
        <v>15</v>
      </c>
      <c r="J1224" s="4" t="str">
        <f>IFERROR(__xludf.DUMMYFUNCTION("""COMPUTED_VALUE"""),"Tier 4")</f>
        <v>Tier 4</v>
      </c>
      <c r="K1224" s="4" t="str">
        <f>IFERROR(__xludf.DUMMYFUNCTION("""COMPUTED_VALUE"""),"Active")</f>
        <v>Active</v>
      </c>
      <c r="L1224" s="4" t="str">
        <f>IFERROR(__xludf.DUMMYFUNCTION("""COMPUTED_VALUE"""),"Gemini Enterprise Agent Platform")</f>
        <v>Gemini Enterprise Agent Platform</v>
      </c>
    </row>
    <row r="1225">
      <c r="A1225" s="4" t="str">
        <f>IFERROR(__xludf.DUMMYFUNCTION("""COMPUTED_VALUE"""),"DME3222")</f>
        <v>DME3222</v>
      </c>
      <c r="B1225" s="4" t="str">
        <f>IFERROR(__xludf.DUMMYFUNCTION("""COMPUTED_VALUE"""),"Nageshwari Rangdal")</f>
        <v>Nageshwari Rangdal</v>
      </c>
      <c r="C1225" s="4" t="str">
        <f>IFERROR(__xludf.DUMMYFUNCTION("""COMPUTED_VALUE"""),"nageshwari.rangdal@onixnet.com")</f>
        <v>nageshwari.rangdal@onixnet.com</v>
      </c>
      <c r="D1225" s="4" t="str">
        <f>IFERROR(__xludf.DUMMYFUNCTION("""COMPUTED_VALUE"""),"Active")</f>
        <v>Active</v>
      </c>
      <c r="E1225" s="4" t="str">
        <f>IFERROR(__xludf.DUMMYFUNCTION("""COMPUTED_VALUE"""),"Delivery Services")</f>
        <v>Delivery Services</v>
      </c>
      <c r="F1225" s="4" t="str">
        <f>IFERROR(__xludf.DUMMYFUNCTION("""COMPUTED_VALUE"""),"Aakash Vinod Tolani")</f>
        <v>Aakash Vinod Tolani</v>
      </c>
      <c r="G1225" s="4" t="str">
        <f>IFERROR(__xludf.DUMMYFUNCTION("""COMPUTED_VALUE"""),"Cluster - Shreepad")</f>
        <v>Cluster - Shreepad</v>
      </c>
      <c r="H1225" s="4" t="str">
        <f>IFERROR(__xludf.DUMMYFUNCTION("""COMPUTED_VALUE"""),"ONINRGUV9")</f>
        <v>ONINRGUV9</v>
      </c>
      <c r="I1225" s="5">
        <f>IFERROR(__xludf.DUMMYFUNCTION("""COMPUTED_VALUE"""),8.0)</f>
        <v>8</v>
      </c>
      <c r="J1225" s="4" t="str">
        <f>IFERROR(__xludf.DUMMYFUNCTION("""COMPUTED_VALUE"""),"Tier 4")</f>
        <v>Tier 4</v>
      </c>
      <c r="K1225" s="4" t="str">
        <f>IFERROR(__xludf.DUMMYFUNCTION("""COMPUTED_VALUE"""),"Active")</f>
        <v>Active</v>
      </c>
      <c r="L1225" s="4" t="str">
        <f>IFERROR(__xludf.DUMMYFUNCTION("""COMPUTED_VALUE"""),"AI Applications")</f>
        <v>AI Applications</v>
      </c>
    </row>
    <row r="1226">
      <c r="A1226" s="4" t="str">
        <f>IFERROR(__xludf.DUMMYFUNCTION("""COMPUTED_VALUE"""),"DME3223")</f>
        <v>DME3223</v>
      </c>
      <c r="B1226" s="4" t="str">
        <f>IFERROR(__xludf.DUMMYFUNCTION("""COMPUTED_VALUE"""),"Dharmik Suresh Raythatha")</f>
        <v>Dharmik Suresh Raythatha</v>
      </c>
      <c r="C1226" s="4" t="str">
        <f>IFERROR(__xludf.DUMMYFUNCTION("""COMPUTED_VALUE"""),"dharmik.raythatha@onixnet.com")</f>
        <v>dharmik.raythatha@onixnet.com</v>
      </c>
      <c r="D1226" s="4" t="str">
        <f>IFERROR(__xludf.DUMMYFUNCTION("""COMPUTED_VALUE"""),"Active")</f>
        <v>Active</v>
      </c>
      <c r="E1226" s="4" t="str">
        <f>IFERROR(__xludf.DUMMYFUNCTION("""COMPUTED_VALUE"""),"Delivery Services")</f>
        <v>Delivery Services</v>
      </c>
      <c r="F1226" s="4" t="str">
        <f>IFERROR(__xludf.DUMMYFUNCTION("""COMPUTED_VALUE"""),"Rajinder Thakur")</f>
        <v>Rajinder Thakur</v>
      </c>
      <c r="G1226" s="4" t="str">
        <f>IFERROR(__xludf.DUMMYFUNCTION("""COMPUTED_VALUE"""),"Cluster - Varun")</f>
        <v>Cluster - Varun</v>
      </c>
      <c r="H1226" s="4" t="str">
        <f>IFERROR(__xludf.DUMMYFUNCTION("""COMPUTED_VALUE"""),"ONIDRMKU9")</f>
        <v>ONIDRMKU9</v>
      </c>
      <c r="I1226" s="5">
        <f>IFERROR(__xludf.DUMMYFUNCTION("""COMPUTED_VALUE"""),25.0)</f>
        <v>25</v>
      </c>
      <c r="J1226" s="4" t="str">
        <f>IFERROR(__xludf.DUMMYFUNCTION("""COMPUTED_VALUE"""),"Tier 3")</f>
        <v>Tier 3</v>
      </c>
      <c r="K1226" s="4" t="str">
        <f>IFERROR(__xludf.DUMMYFUNCTION("""COMPUTED_VALUE"""),"Active")</f>
        <v>Active</v>
      </c>
      <c r="L1226" s="4"/>
    </row>
    <row r="1227">
      <c r="A1227" s="4" t="str">
        <f>IFERROR(__xludf.DUMMYFUNCTION("""COMPUTED_VALUE"""),"DME3224")</f>
        <v>DME3224</v>
      </c>
      <c r="B1227" s="4" t="str">
        <f>IFERROR(__xludf.DUMMYFUNCTION("""COMPUTED_VALUE"""),"Asad Mushtak Mujawar")</f>
        <v>Asad Mushtak Mujawar</v>
      </c>
      <c r="C1227" s="4" t="str">
        <f>IFERROR(__xludf.DUMMYFUNCTION("""COMPUTED_VALUE"""),"asad.mujawar@onixnet.com")</f>
        <v>asad.mujawar@onixnet.com</v>
      </c>
      <c r="D1227" s="4" t="str">
        <f>IFERROR(__xludf.DUMMYFUNCTION("""COMPUTED_VALUE"""),"Active")</f>
        <v>Active</v>
      </c>
      <c r="E1227" s="4" t="str">
        <f>IFERROR(__xludf.DUMMYFUNCTION("""COMPUTED_VALUE"""),"Product Engineering")</f>
        <v>Product Engineering</v>
      </c>
      <c r="F1227" s="4" t="str">
        <f>IFERROR(__xludf.DUMMYFUNCTION("""COMPUTED_VALUE"""),"Savan Tak")</f>
        <v>Savan Tak</v>
      </c>
      <c r="G1227" s="4" t="str">
        <f>IFERROR(__xludf.DUMMYFUNCTION("""COMPUTED_VALUE"""),"Cluster - Mayur")</f>
        <v>Cluster - Mayur</v>
      </c>
      <c r="H1227" s="4" t="str">
        <f>IFERROR(__xludf.DUMMYFUNCTION("""COMPUTED_VALUE"""),"ONIAMFOD7")</f>
        <v>ONIAMFOD7</v>
      </c>
      <c r="I1227" s="5">
        <f>IFERROR(__xludf.DUMMYFUNCTION("""COMPUTED_VALUE"""),15.0)</f>
        <v>15</v>
      </c>
      <c r="J1227" s="4" t="str">
        <f>IFERROR(__xludf.DUMMYFUNCTION("""COMPUTED_VALUE"""),"Tier 4")</f>
        <v>Tier 4</v>
      </c>
      <c r="K1227" s="4" t="str">
        <f>IFERROR(__xludf.DUMMYFUNCTION("""COMPUTED_VALUE"""),"Active")</f>
        <v>Active</v>
      </c>
      <c r="L1227" s="4" t="str">
        <f>IFERROR(__xludf.DUMMYFUNCTION("""COMPUTED_VALUE"""),"AI Applications")</f>
        <v>AI Applications</v>
      </c>
    </row>
    <row r="1228">
      <c r="A1228" s="4" t="str">
        <f>IFERROR(__xludf.DUMMYFUNCTION("""COMPUTED_VALUE"""),"DME3225")</f>
        <v>DME3225</v>
      </c>
      <c r="B1228" s="4" t="str">
        <f>IFERROR(__xludf.DUMMYFUNCTION("""COMPUTED_VALUE"""),"Shrinivas Kondiba Kumbhar")</f>
        <v>Shrinivas Kondiba Kumbhar</v>
      </c>
      <c r="C1228" s="4" t="str">
        <f>IFERROR(__xludf.DUMMYFUNCTION("""COMPUTED_VALUE"""),"shrinivas.kumbhar@onixnet.com")</f>
        <v>shrinivas.kumbhar@onixnet.com</v>
      </c>
      <c r="D1228" s="4" t="str">
        <f>IFERROR(__xludf.DUMMYFUNCTION("""COMPUTED_VALUE"""),"Active")</f>
        <v>Active</v>
      </c>
      <c r="E1228" s="4" t="str">
        <f>IFERROR(__xludf.DUMMYFUNCTION("""COMPUTED_VALUE"""),"Product Engineering")</f>
        <v>Product Engineering</v>
      </c>
      <c r="F1228" s="4" t="str">
        <f>IFERROR(__xludf.DUMMYFUNCTION("""COMPUTED_VALUE"""),"Yogendra Singh")</f>
        <v>Yogendra Singh</v>
      </c>
      <c r="G1228" s="4" t="str">
        <f>IFERROR(__xludf.DUMMYFUNCTION("""COMPUTED_VALUE"""),"Cluster - Mayur")</f>
        <v>Cluster - Mayur</v>
      </c>
      <c r="H1228" s="4" t="str">
        <f>IFERROR(__xludf.DUMMYFUNCTION("""COMPUTED_VALUE"""),"ONISKYAE9")</f>
        <v>ONISKYAE9</v>
      </c>
      <c r="I1228" s="5">
        <f>IFERROR(__xludf.DUMMYFUNCTION("""COMPUTED_VALUE"""),0.0)</f>
        <v>0</v>
      </c>
      <c r="J1228" s="4" t="str">
        <f>IFERROR(__xludf.DUMMYFUNCTION("""COMPUTED_VALUE"""),"Tier 4")</f>
        <v>Tier 4</v>
      </c>
      <c r="K1228" s="4" t="str">
        <f>IFERROR(__xludf.DUMMYFUNCTION("""COMPUTED_VALUE"""),"ID Created DRP score 0")</f>
        <v>ID Created DRP score 0</v>
      </c>
      <c r="L1228" s="4"/>
    </row>
    <row r="1229">
      <c r="A1229" s="4" t="str">
        <f>IFERROR(__xludf.DUMMYFUNCTION("""COMPUTED_VALUE"""),"DME3226")</f>
        <v>DME3226</v>
      </c>
      <c r="B1229" s="4" t="str">
        <f>IFERROR(__xludf.DUMMYFUNCTION("""COMPUTED_VALUE"""),"Sonal pundlik Lone")</f>
        <v>Sonal pundlik Lone</v>
      </c>
      <c r="C1229" s="4" t="str">
        <f>IFERROR(__xludf.DUMMYFUNCTION("""COMPUTED_VALUE"""),"sonal.lone@onixnet.com")</f>
        <v>sonal.lone@onixnet.com</v>
      </c>
      <c r="D1229" s="4" t="str">
        <f>IFERROR(__xludf.DUMMYFUNCTION("""COMPUTED_VALUE"""),"Active")</f>
        <v>Active</v>
      </c>
      <c r="E1229" s="4" t="str">
        <f>IFERROR(__xludf.DUMMYFUNCTION("""COMPUTED_VALUE"""),"Delivery Services")</f>
        <v>Delivery Services</v>
      </c>
      <c r="F1229" s="4" t="str">
        <f>IFERROR(__xludf.DUMMYFUNCTION("""COMPUTED_VALUE"""),"Kanhaiya Jha")</f>
        <v>Kanhaiya Jha</v>
      </c>
      <c r="G1229" s="4" t="str">
        <f>IFERROR(__xludf.DUMMYFUNCTION("""COMPUTED_VALUE"""),"Cluster - Kanhaiya")</f>
        <v>Cluster - Kanhaiya</v>
      </c>
      <c r="H1229" s="4" t="str">
        <f>IFERROR(__xludf.DUMMYFUNCTION("""COMPUTED_VALUE"""),"ONISLIDW7")</f>
        <v>ONISLIDW7</v>
      </c>
      <c r="I1229" s="5">
        <f>IFERROR(__xludf.DUMMYFUNCTION("""COMPUTED_VALUE"""),0.0)</f>
        <v>0</v>
      </c>
      <c r="J1229" s="4" t="str">
        <f>IFERROR(__xludf.DUMMYFUNCTION("""COMPUTED_VALUE"""),"Tier 4")</f>
        <v>Tier 4</v>
      </c>
      <c r="K1229" s="4" t="str">
        <f>IFERROR(__xludf.DUMMYFUNCTION("""COMPUTED_VALUE"""),"ID Created DRP score 0")</f>
        <v>ID Created DRP score 0</v>
      </c>
      <c r="L1229" s="4"/>
    </row>
    <row r="1230">
      <c r="A1230" s="4" t="str">
        <f>IFERROR(__xludf.DUMMYFUNCTION("""COMPUTED_VALUE"""),"DME3227")</f>
        <v>DME3227</v>
      </c>
      <c r="B1230" s="4" t="str">
        <f>IFERROR(__xludf.DUMMYFUNCTION("""COMPUTED_VALUE"""),"Yogesh Suresh Narawade")</f>
        <v>Yogesh Suresh Narawade</v>
      </c>
      <c r="C1230" s="4" t="str">
        <f>IFERROR(__xludf.DUMMYFUNCTION("""COMPUTED_VALUE"""),"yogesh.narawade@onixnet.com")</f>
        <v>yogesh.narawade@onixnet.com</v>
      </c>
      <c r="D1230" s="4" t="str">
        <f>IFERROR(__xludf.DUMMYFUNCTION("""COMPUTED_VALUE"""),"Active")</f>
        <v>Active</v>
      </c>
      <c r="E1230" s="4" t="str">
        <f>IFERROR(__xludf.DUMMYFUNCTION("""COMPUTED_VALUE"""),"Delivery Services")</f>
        <v>Delivery Services</v>
      </c>
      <c r="F1230" s="4" t="str">
        <f>IFERROR(__xludf.DUMMYFUNCTION("""COMPUTED_VALUE"""),"Sneha Bhatambrekar")</f>
        <v>Sneha Bhatambrekar</v>
      </c>
      <c r="G1230" s="4" t="str">
        <f>IFERROR(__xludf.DUMMYFUNCTION("""COMPUTED_VALUE"""),"Cluster - Sandeep")</f>
        <v>Cluster - Sandeep</v>
      </c>
      <c r="H1230" s="4" t="str">
        <f>IFERROR(__xludf.DUMMYFUNCTION("""COMPUTED_VALUE"""),"ONIYNKKC1")</f>
        <v>ONIYNKKC1</v>
      </c>
      <c r="I1230" s="5">
        <f>IFERROR(__xludf.DUMMYFUNCTION("""COMPUTED_VALUE"""),11.0)</f>
        <v>11</v>
      </c>
      <c r="J1230" s="4" t="str">
        <f>IFERROR(__xludf.DUMMYFUNCTION("""COMPUTED_VALUE"""),"Tier 4")</f>
        <v>Tier 4</v>
      </c>
      <c r="K1230" s="4" t="str">
        <f>IFERROR(__xludf.DUMMYFUNCTION("""COMPUTED_VALUE"""),"Active")</f>
        <v>Active</v>
      </c>
      <c r="L1230" s="4" t="str">
        <f>IFERROR(__xludf.DUMMYFUNCTION("""COMPUTED_VALUE"""),"BigQuery")</f>
        <v>BigQuery</v>
      </c>
    </row>
    <row r="1231">
      <c r="A1231" s="4" t="str">
        <f>IFERROR(__xludf.DUMMYFUNCTION("""COMPUTED_VALUE"""),"DME3228")</f>
        <v>DME3228</v>
      </c>
      <c r="B1231" s="4" t="str">
        <f>IFERROR(__xludf.DUMMYFUNCTION("""COMPUTED_VALUE"""),"Ruchika Jayant Khadatkar")</f>
        <v>Ruchika Jayant Khadatkar</v>
      </c>
      <c r="C1231" s="4" t="str">
        <f>IFERROR(__xludf.DUMMYFUNCTION("""COMPUTED_VALUE"""),"ruchika.khadatkar@onixnet.com")</f>
        <v>ruchika.khadatkar@onixnet.com</v>
      </c>
      <c r="D1231" s="4" t="str">
        <f>IFERROR(__xludf.DUMMYFUNCTION("""COMPUTED_VALUE"""),"Active")</f>
        <v>Active</v>
      </c>
      <c r="E1231" s="4" t="str">
        <f>IFERROR(__xludf.DUMMYFUNCTION("""COMPUTED_VALUE"""),"Delivery Services")</f>
        <v>Delivery Services</v>
      </c>
      <c r="F1231" s="4" t="str">
        <f>IFERROR(__xludf.DUMMYFUNCTION("""COMPUTED_VALUE"""),"Aakash Vinod Tolani")</f>
        <v>Aakash Vinod Tolani</v>
      </c>
      <c r="G1231" s="4" t="str">
        <f>IFERROR(__xludf.DUMMYFUNCTION("""COMPUTED_VALUE"""),"Cluster - Shreepad")</f>
        <v>Cluster - Shreepad</v>
      </c>
      <c r="H1231" s="4" t="str">
        <f>IFERROR(__xludf.DUMMYFUNCTION("""COMPUTED_VALUE"""),"ONIRKIUH0")</f>
        <v>ONIRKIUH0</v>
      </c>
      <c r="I1231" s="5">
        <f>IFERROR(__xludf.DUMMYFUNCTION("""COMPUTED_VALUE"""),5.0)</f>
        <v>5</v>
      </c>
      <c r="J1231" s="4" t="str">
        <f>IFERROR(__xludf.DUMMYFUNCTION("""COMPUTED_VALUE"""),"Tier 4")</f>
        <v>Tier 4</v>
      </c>
      <c r="K1231" s="4" t="str">
        <f>IFERROR(__xludf.DUMMYFUNCTION("""COMPUTED_VALUE"""),"Active")</f>
        <v>Active</v>
      </c>
      <c r="L1231" s="4" t="str">
        <f>IFERROR(__xludf.DUMMYFUNCTION("""COMPUTED_VALUE"""),"Gemini Enterprise Agent Platform")</f>
        <v>Gemini Enterprise Agent Platform</v>
      </c>
    </row>
    <row r="1232">
      <c r="A1232" s="4" t="str">
        <f>IFERROR(__xludf.DUMMYFUNCTION("""COMPUTED_VALUE"""),"DME3229")</f>
        <v>DME3229</v>
      </c>
      <c r="B1232" s="4" t="str">
        <f>IFERROR(__xludf.DUMMYFUNCTION("""COMPUTED_VALUE"""),"Pulkit Prakash")</f>
        <v>Pulkit Prakash</v>
      </c>
      <c r="C1232" s="4" t="str">
        <f>IFERROR(__xludf.DUMMYFUNCTION("""COMPUTED_VALUE"""),"pulkit.prakash@onixnet.com")</f>
        <v>pulkit.prakash@onixnet.com</v>
      </c>
      <c r="D1232" s="4" t="str">
        <f>IFERROR(__xludf.DUMMYFUNCTION("""COMPUTED_VALUE"""),"Active")</f>
        <v>Active</v>
      </c>
      <c r="E1232" s="4" t="str">
        <f>IFERROR(__xludf.DUMMYFUNCTION("""COMPUTED_VALUE"""),"Delivery Services")</f>
        <v>Delivery Services</v>
      </c>
      <c r="F1232" s="4" t="str">
        <f>IFERROR(__xludf.DUMMYFUNCTION("""COMPUTED_VALUE"""),"Vishal Khare")</f>
        <v>Vishal Khare</v>
      </c>
      <c r="G1232" s="4" t="str">
        <f>IFERROR(__xludf.DUMMYFUNCTION("""COMPUTED_VALUE"""),"Cluster - Sagar")</f>
        <v>Cluster - Sagar</v>
      </c>
      <c r="H1232" s="4" t="str">
        <f>IFERROR(__xludf.DUMMYFUNCTION("""COMPUTED_VALUE"""),"ONIPPRHR9")</f>
        <v>ONIPPRHR9</v>
      </c>
      <c r="I1232" s="5">
        <f>IFERROR(__xludf.DUMMYFUNCTION("""COMPUTED_VALUE"""),5.0)</f>
        <v>5</v>
      </c>
      <c r="J1232" s="4" t="str">
        <f>IFERROR(__xludf.DUMMYFUNCTION("""COMPUTED_VALUE"""),"Tier 4")</f>
        <v>Tier 4</v>
      </c>
      <c r="K1232" s="4" t="str">
        <f>IFERROR(__xludf.DUMMYFUNCTION("""COMPUTED_VALUE"""),"Active")</f>
        <v>Active</v>
      </c>
      <c r="L1232" s="4" t="str">
        <f>IFERROR(__xludf.DUMMYFUNCTION("""COMPUTED_VALUE"""),"Cloud Run")</f>
        <v>Cloud Run</v>
      </c>
    </row>
    <row r="1233">
      <c r="A1233" s="4" t="str">
        <f>IFERROR(__xludf.DUMMYFUNCTION("""COMPUTED_VALUE"""),"DME3230")</f>
        <v>DME3230</v>
      </c>
      <c r="B1233" s="4" t="str">
        <f>IFERROR(__xludf.DUMMYFUNCTION("""COMPUTED_VALUE"""),"Satyendra Pradhan")</f>
        <v>Satyendra Pradhan</v>
      </c>
      <c r="C1233" s="4" t="str">
        <f>IFERROR(__xludf.DUMMYFUNCTION("""COMPUTED_VALUE"""),"satyendra.pradhan@onixnet.com")</f>
        <v>satyendra.pradhan@onixnet.com</v>
      </c>
      <c r="D1233" s="4" t="str">
        <f>IFERROR(__xludf.DUMMYFUNCTION("""COMPUTED_VALUE"""),"Active")</f>
        <v>Active</v>
      </c>
      <c r="E1233" s="4" t="str">
        <f>IFERROR(__xludf.DUMMYFUNCTION("""COMPUTED_VALUE"""),"Delivery Services")</f>
        <v>Delivery Services</v>
      </c>
      <c r="F1233" s="4" t="str">
        <f>IFERROR(__xludf.DUMMYFUNCTION("""COMPUTED_VALUE"""),"Varun Katyal")</f>
        <v>Varun Katyal</v>
      </c>
      <c r="G1233" s="4" t="str">
        <f>IFERROR(__xludf.DUMMYFUNCTION("""COMPUTED_VALUE"""),"Cluster - Varun")</f>
        <v>Cluster - Varun</v>
      </c>
      <c r="H1233" s="4" t="str">
        <f>IFERROR(__xludf.DUMMYFUNCTION("""COMPUTED_VALUE"""),"ONISPWPC2")</f>
        <v>ONISPWPC2</v>
      </c>
      <c r="I1233" s="5">
        <f>IFERROR(__xludf.DUMMYFUNCTION("""COMPUTED_VALUE"""),5.0)</f>
        <v>5</v>
      </c>
      <c r="J1233" s="4" t="str">
        <f>IFERROR(__xludf.DUMMYFUNCTION("""COMPUTED_VALUE"""),"Tier 4")</f>
        <v>Tier 4</v>
      </c>
      <c r="K1233" s="4" t="str">
        <f>IFERROR(__xludf.DUMMYFUNCTION("""COMPUTED_VALUE"""),"Active")</f>
        <v>Active</v>
      </c>
      <c r="L1233" s="4" t="str">
        <f>IFERROR(__xludf.DUMMYFUNCTION("""COMPUTED_VALUE"""),"AI Applications")</f>
        <v>AI Applications</v>
      </c>
    </row>
    <row r="1234">
      <c r="A1234" s="4" t="str">
        <f>IFERROR(__xludf.DUMMYFUNCTION("""COMPUTED_VALUE"""),"DMC1144")</f>
        <v>DMC1144</v>
      </c>
      <c r="B1234" s="4" t="str">
        <f>IFERROR(__xludf.DUMMYFUNCTION("""COMPUTED_VALUE"""),"KAJAL")</f>
        <v>KAJAL</v>
      </c>
      <c r="C1234" s="4" t="str">
        <f>IFERROR(__xludf.DUMMYFUNCTION("""COMPUTED_VALUE"""),"kajal.ojha@onixnet.us")</f>
        <v>kajal.ojha@onixnet.us</v>
      </c>
      <c r="D1234" s="4" t="str">
        <f>IFERROR(__xludf.DUMMYFUNCTION("""COMPUTED_VALUE"""),"Active")</f>
        <v>Active</v>
      </c>
      <c r="E1234" s="4" t="str">
        <f>IFERROR(__xludf.DUMMYFUNCTION("""COMPUTED_VALUE"""),"Delivery Services")</f>
        <v>Delivery Services</v>
      </c>
      <c r="F1234" s="4" t="str">
        <f>IFERROR(__xludf.DUMMYFUNCTION("""COMPUTED_VALUE"""),"Ajitkumar Sinha")</f>
        <v>Ajitkumar Sinha</v>
      </c>
      <c r="G1234" s="4" t="str">
        <f>IFERROR(__xludf.DUMMYFUNCTION("""COMPUTED_VALUE"""),"Cluster - Shreepad")</f>
        <v>Cluster - Shreepad</v>
      </c>
      <c r="H1234" s="4" t="str">
        <f>IFERROR(__xludf.DUMMYFUNCTION("""COMPUTED_VALUE"""),"ONIKOKRE3")</f>
        <v>ONIKOKRE3</v>
      </c>
      <c r="I1234" s="5">
        <f>IFERROR(__xludf.DUMMYFUNCTION("""COMPUTED_VALUE"""),5.0)</f>
        <v>5</v>
      </c>
      <c r="J1234" s="4" t="str">
        <f>IFERROR(__xludf.DUMMYFUNCTION("""COMPUTED_VALUE"""),"Tier 4")</f>
        <v>Tier 4</v>
      </c>
      <c r="K1234" s="4" t="str">
        <f>IFERROR(__xludf.DUMMYFUNCTION("""COMPUTED_VALUE"""),"Active")</f>
        <v>Active</v>
      </c>
      <c r="L1234" s="4" t="str">
        <f>IFERROR(__xludf.DUMMYFUNCTION("""COMPUTED_VALUE"""),"AI Applications")</f>
        <v>AI Applications</v>
      </c>
    </row>
    <row r="1235">
      <c r="A1235" s="4" t="str">
        <f>IFERROR(__xludf.DUMMYFUNCTION("""COMPUTED_VALUE"""),"DME3231")</f>
        <v>DME3231</v>
      </c>
      <c r="B1235" s="4" t="str">
        <f>IFERROR(__xludf.DUMMYFUNCTION("""COMPUTED_VALUE"""),"Shraddha Suraj Kadam")</f>
        <v>Shraddha Suraj Kadam</v>
      </c>
      <c r="C1235" s="4" t="str">
        <f>IFERROR(__xludf.DUMMYFUNCTION("""COMPUTED_VALUE"""),"shraddha.kadam@onixnet.com")</f>
        <v>shraddha.kadam@onixnet.com</v>
      </c>
      <c r="D1235" s="4" t="str">
        <f>IFERROR(__xludf.DUMMYFUNCTION("""COMPUTED_VALUE"""),"Active")</f>
        <v>Active</v>
      </c>
      <c r="E1235" s="4" t="str">
        <f>IFERROR(__xludf.DUMMYFUNCTION("""COMPUTED_VALUE"""),"Delivery Services")</f>
        <v>Delivery Services</v>
      </c>
      <c r="F1235" s="4" t="str">
        <f>IFERROR(__xludf.DUMMYFUNCTION("""COMPUTED_VALUE"""),"Vikram Mishra")</f>
        <v>Vikram Mishra</v>
      </c>
      <c r="G1235" s="4" t="str">
        <f>IFERROR(__xludf.DUMMYFUNCTION("""COMPUTED_VALUE"""),"Cluster - Sandeep")</f>
        <v>Cluster - Sandeep</v>
      </c>
      <c r="H1235" s="4" t="str">
        <f>IFERROR(__xludf.DUMMYFUNCTION("""COMPUTED_VALUE"""),"ONISKCDK1")</f>
        <v>ONISKCDK1</v>
      </c>
      <c r="I1235" s="5">
        <f>IFERROR(__xludf.DUMMYFUNCTION("""COMPUTED_VALUE"""),9.0)</f>
        <v>9</v>
      </c>
      <c r="J1235" s="4" t="str">
        <f>IFERROR(__xludf.DUMMYFUNCTION("""COMPUTED_VALUE"""),"Tier 4")</f>
        <v>Tier 4</v>
      </c>
      <c r="K1235" s="4" t="str">
        <f>IFERROR(__xludf.DUMMYFUNCTION("""COMPUTED_VALUE"""),"Active")</f>
        <v>Active</v>
      </c>
      <c r="L1235" s="4" t="str">
        <f>IFERROR(__xludf.DUMMYFUNCTION("""COMPUTED_VALUE"""),"BigQuery")</f>
        <v>BigQuery</v>
      </c>
    </row>
    <row r="1236">
      <c r="A1236" s="4" t="str">
        <f>IFERROR(__xludf.DUMMYFUNCTION("""COMPUTED_VALUE"""),"DME3232")</f>
        <v>DME3232</v>
      </c>
      <c r="B1236" s="4" t="str">
        <f>IFERROR(__xludf.DUMMYFUNCTION("""COMPUTED_VALUE"""),"Jyoti Jagannath Vedpathak")</f>
        <v>Jyoti Jagannath Vedpathak</v>
      </c>
      <c r="C1236" s="4" t="str">
        <f>IFERROR(__xludf.DUMMYFUNCTION("""COMPUTED_VALUE"""),"jyoti.vedpathak@onixnet.com")</f>
        <v>jyoti.vedpathak@onixnet.com</v>
      </c>
      <c r="D1236" s="4" t="str">
        <f>IFERROR(__xludf.DUMMYFUNCTION("""COMPUTED_VALUE"""),"Active")</f>
        <v>Active</v>
      </c>
      <c r="E1236" s="4" t="str">
        <f>IFERROR(__xludf.DUMMYFUNCTION("""COMPUTED_VALUE"""),"Delivery Services")</f>
        <v>Delivery Services</v>
      </c>
      <c r="F1236" s="4" t="str">
        <f>IFERROR(__xludf.DUMMYFUNCTION("""COMPUTED_VALUE"""),"Aarti Borhade")</f>
        <v>Aarti Borhade</v>
      </c>
      <c r="G1236" s="4" t="str">
        <f>IFERROR(__xludf.DUMMYFUNCTION("""COMPUTED_VALUE"""),"Cluster - Sagar")</f>
        <v>Cluster - Sagar</v>
      </c>
      <c r="H1236" s="4" t="str">
        <f>IFERROR(__xludf.DUMMYFUNCTION("""COMPUTED_VALUE"""),"ONIJVFPT9")</f>
        <v>ONIJVFPT9</v>
      </c>
      <c r="I1236" s="5">
        <f>IFERROR(__xludf.DUMMYFUNCTION("""COMPUTED_VALUE"""),0.0)</f>
        <v>0</v>
      </c>
      <c r="J1236" s="4" t="str">
        <f>IFERROR(__xludf.DUMMYFUNCTION("""COMPUTED_VALUE"""),"Tier 4")</f>
        <v>Tier 4</v>
      </c>
      <c r="K1236" s="4" t="str">
        <f>IFERROR(__xludf.DUMMYFUNCTION("""COMPUTED_VALUE"""),"ID Created DRP score 0")</f>
        <v>ID Created DRP score 0</v>
      </c>
      <c r="L1236" s="4"/>
    </row>
    <row r="1237">
      <c r="A1237" s="4" t="str">
        <f>IFERROR(__xludf.DUMMYFUNCTION("""COMPUTED_VALUE"""),"ONIX864")</f>
        <v>ONIX864</v>
      </c>
      <c r="B1237" s="4" t="str">
        <f>IFERROR(__xludf.DUMMYFUNCTION("""COMPUTED_VALUE"""),"Jonathan Winters")</f>
        <v>Jonathan Winters</v>
      </c>
      <c r="C1237" s="4" t="str">
        <f>IFERROR(__xludf.DUMMYFUNCTION("""COMPUTED_VALUE"""),"jonathan.winters@onixnet.com")</f>
        <v>jonathan.winters@onixnet.com</v>
      </c>
      <c r="D1237" s="4" t="str">
        <f>IFERROR(__xludf.DUMMYFUNCTION("""COMPUTED_VALUE"""),"Active")</f>
        <v>Active</v>
      </c>
      <c r="E1237" s="4" t="str">
        <f>IFERROR(__xludf.DUMMYFUNCTION("""COMPUTED_VALUE"""),"Delivery")</f>
        <v>Delivery</v>
      </c>
      <c r="F1237" s="4" t="str">
        <f>IFERROR(__xludf.DUMMYFUNCTION("""COMPUTED_VALUE"""),"LeePatrick McIntire")</f>
        <v>LeePatrick McIntire</v>
      </c>
      <c r="G1237" s="4" t="str">
        <f>IFERROR(__xludf.DUMMYFUNCTION("""COMPUTED_VALUE"""),"Portfolio - Thomas (AI)")</f>
        <v>Portfolio - Thomas (AI)</v>
      </c>
      <c r="H1237" s="4" t="str">
        <f>IFERROR(__xludf.DUMMYFUNCTION("""COMPUTED_VALUE"""),"ONIJWYZL3")</f>
        <v>ONIJWYZL3</v>
      </c>
      <c r="I1237" s="5">
        <f>IFERROR(__xludf.DUMMYFUNCTION("""COMPUTED_VALUE"""),9.0)</f>
        <v>9</v>
      </c>
      <c r="J1237" s="4" t="str">
        <f>IFERROR(__xludf.DUMMYFUNCTION("""COMPUTED_VALUE"""),"Tier 4")</f>
        <v>Tier 4</v>
      </c>
      <c r="K1237" s="4" t="str">
        <f>IFERROR(__xludf.DUMMYFUNCTION("""COMPUTED_VALUE"""),"Active")</f>
        <v>Active</v>
      </c>
      <c r="L1237" s="4" t="str">
        <f>IFERROR(__xludf.DUMMYFUNCTION("""COMPUTED_VALUE"""),"BigQuery")</f>
        <v>BigQuery</v>
      </c>
    </row>
    <row r="1238">
      <c r="A1238" s="4" t="str">
        <f>IFERROR(__xludf.DUMMYFUNCTION("""COMPUTED_VALUE"""),"ONIX865")</f>
        <v>ONIX865</v>
      </c>
      <c r="B1238" s="4" t="str">
        <f>IFERROR(__xludf.DUMMYFUNCTION("""COMPUTED_VALUE"""),"Shubham Gaur")</f>
        <v>Shubham Gaur</v>
      </c>
      <c r="C1238" s="4" t="str">
        <f>IFERROR(__xludf.DUMMYFUNCTION("""COMPUTED_VALUE"""),"shubham.gaur@onixnet.com")</f>
        <v>shubham.gaur@onixnet.com</v>
      </c>
      <c r="D1238" s="4" t="str">
        <f>IFERROR(__xludf.DUMMYFUNCTION("""COMPUTED_VALUE"""),"Active")</f>
        <v>Active</v>
      </c>
      <c r="E1238" s="4" t="str">
        <f>IFERROR(__xludf.DUMMYFUNCTION("""COMPUTED_VALUE"""),"Delivery")</f>
        <v>Delivery</v>
      </c>
      <c r="F1238" s="4" t="str">
        <f>IFERROR(__xludf.DUMMYFUNCTION("""COMPUTED_VALUE"""),"Matteo Vaiente")</f>
        <v>Matteo Vaiente</v>
      </c>
      <c r="G1238" s="4" t="str">
        <f>IFERROR(__xludf.DUMMYFUNCTION("""COMPUTED_VALUE"""),"Portfolio - Thomas (AI)")</f>
        <v>Portfolio - Thomas (AI)</v>
      </c>
      <c r="H1238" s="4" t="str">
        <f>IFERROR(__xludf.DUMMYFUNCTION("""COMPUTED_VALUE"""),"ONISGAHF4")</f>
        <v>ONISGAHF4</v>
      </c>
      <c r="I1238" s="5">
        <f>IFERROR(__xludf.DUMMYFUNCTION("""COMPUTED_VALUE"""),0.0)</f>
        <v>0</v>
      </c>
      <c r="J1238" s="4" t="str">
        <f>IFERROR(__xludf.DUMMYFUNCTION("""COMPUTED_VALUE"""),"Tier 4")</f>
        <v>Tier 4</v>
      </c>
      <c r="K1238" s="4" t="str">
        <f>IFERROR(__xludf.DUMMYFUNCTION("""COMPUTED_VALUE"""),"ID Created DRP score 0")</f>
        <v>ID Created DRP score 0</v>
      </c>
      <c r="L1238" s="4"/>
    </row>
    <row r="1239">
      <c r="A1239" s="4" t="str">
        <f>IFERROR(__xludf.DUMMYFUNCTION("""COMPUTED_VALUE"""),"ONIX866")</f>
        <v>ONIX866</v>
      </c>
      <c r="B1239" s="4" t="str">
        <f>IFERROR(__xludf.DUMMYFUNCTION("""COMPUTED_VALUE"""),"Sai Akhila Andavolu")</f>
        <v>Sai Akhila Andavolu</v>
      </c>
      <c r="C1239" s="4" t="str">
        <f>IFERROR(__xludf.DUMMYFUNCTION("""COMPUTED_VALUE"""),"sai.akhila.andavolu@onixnet.com")</f>
        <v>sai.akhila.andavolu@onixnet.com</v>
      </c>
      <c r="D1239" s="4" t="str">
        <f>IFERROR(__xludf.DUMMYFUNCTION("""COMPUTED_VALUE"""),"Active")</f>
        <v>Active</v>
      </c>
      <c r="E1239" s="4" t="str">
        <f>IFERROR(__xludf.DUMMYFUNCTION("""COMPUTED_VALUE"""),"Delivery")</f>
        <v>Delivery</v>
      </c>
      <c r="F1239" s="4" t="str">
        <f>IFERROR(__xludf.DUMMYFUNCTION("""COMPUTED_VALUE"""),"Joshua Shnider")</f>
        <v>Joshua Shnider</v>
      </c>
      <c r="G1239" s="4" t="str">
        <f>IFERROR(__xludf.DUMMYFUNCTION("""COMPUTED_VALUE"""),"Portfolio - Kanth")</f>
        <v>Portfolio - Kanth</v>
      </c>
      <c r="H1239" s="4" t="str">
        <f>IFERROR(__xludf.DUMMYFUNCTION("""COMPUTED_VALUE"""),"ONISASBF1")</f>
        <v>ONISASBF1</v>
      </c>
      <c r="I1239" s="5">
        <f>IFERROR(__xludf.DUMMYFUNCTION("""COMPUTED_VALUE"""),0.0)</f>
        <v>0</v>
      </c>
      <c r="J1239" s="4" t="str">
        <f>IFERROR(__xludf.DUMMYFUNCTION("""COMPUTED_VALUE"""),"Tier 4")</f>
        <v>Tier 4</v>
      </c>
      <c r="K1239" s="4" t="str">
        <f>IFERROR(__xludf.DUMMYFUNCTION("""COMPUTED_VALUE"""),"ID Created DRP score 0")</f>
        <v>ID Created DRP score 0</v>
      </c>
      <c r="L1239" s="4"/>
    </row>
    <row r="1240">
      <c r="A1240" s="4" t="str">
        <f>IFERROR(__xludf.DUMMYFUNCTION("""COMPUTED_VALUE"""),"ONIX867")</f>
        <v>ONIX867</v>
      </c>
      <c r="B1240" s="4" t="str">
        <f>IFERROR(__xludf.DUMMYFUNCTION("""COMPUTED_VALUE"""),"Aniket Ujawane")</f>
        <v>Aniket Ujawane</v>
      </c>
      <c r="C1240" s="4" t="str">
        <f>IFERROR(__xludf.DUMMYFUNCTION("""COMPUTED_VALUE"""),"aniket.ujawane@onixnet.com")</f>
        <v>aniket.ujawane@onixnet.com</v>
      </c>
      <c r="D1240" s="4" t="str">
        <f>IFERROR(__xludf.DUMMYFUNCTION("""COMPUTED_VALUE"""),"Active")</f>
        <v>Active</v>
      </c>
      <c r="E1240" s="4" t="str">
        <f>IFERROR(__xludf.DUMMYFUNCTION("""COMPUTED_VALUE"""),"Delivery")</f>
        <v>Delivery</v>
      </c>
      <c r="F1240" s="4" t="str">
        <f>IFERROR(__xludf.DUMMYFUNCTION("""COMPUTED_VALUE"""),"Hemalatha Krishnan")</f>
        <v>Hemalatha Krishnan</v>
      </c>
      <c r="G1240" s="4" t="str">
        <f>IFERROR(__xludf.DUMMYFUNCTION("""COMPUTED_VALUE"""),"Portfolio - Kanth")</f>
        <v>Portfolio - Kanth</v>
      </c>
      <c r="H1240" s="4" t="str">
        <f>IFERROR(__xludf.DUMMYFUNCTION("""COMPUTED_VALUE"""),"ONIAUVVJ1")</f>
        <v>ONIAUVVJ1</v>
      </c>
      <c r="I1240" s="5">
        <f>IFERROR(__xludf.DUMMYFUNCTION("""COMPUTED_VALUE"""),29.0)</f>
        <v>29</v>
      </c>
      <c r="J1240" s="4" t="str">
        <f>IFERROR(__xludf.DUMMYFUNCTION("""COMPUTED_VALUE"""),"Tier 3")</f>
        <v>Tier 3</v>
      </c>
      <c r="K1240" s="4" t="str">
        <f>IFERROR(__xludf.DUMMYFUNCTION("""COMPUTED_VALUE"""),"Active")</f>
        <v>Active</v>
      </c>
      <c r="L1240" s="4" t="str">
        <f>IFERROR(__xludf.DUMMYFUNCTION("""COMPUTED_VALUE"""),"Dataflow")</f>
        <v>Dataflow</v>
      </c>
    </row>
    <row r="1241">
      <c r="A1241" s="4" t="str">
        <f>IFERROR(__xludf.DUMMYFUNCTION("""COMPUTED_VALUE"""),"ONIX868")</f>
        <v>ONIX868</v>
      </c>
      <c r="B1241" s="4" t="str">
        <f>IFERROR(__xludf.DUMMYFUNCTION("""COMPUTED_VALUE"""),"Srividya Mohan Murali")</f>
        <v>Srividya Mohan Murali</v>
      </c>
      <c r="C1241" s="4" t="str">
        <f>IFERROR(__xludf.DUMMYFUNCTION("""COMPUTED_VALUE"""),"srividya.mohan.murali@onixnet.com")</f>
        <v>srividya.mohan.murali@onixnet.com</v>
      </c>
      <c r="D1241" s="4" t="str">
        <f>IFERROR(__xludf.DUMMYFUNCTION("""COMPUTED_VALUE"""),"Active")</f>
        <v>Active</v>
      </c>
      <c r="E1241" s="4" t="str">
        <f>IFERROR(__xludf.DUMMYFUNCTION("""COMPUTED_VALUE"""),"Delivery")</f>
        <v>Delivery</v>
      </c>
      <c r="F1241" s="4" t="str">
        <f>IFERROR(__xludf.DUMMYFUNCTION("""COMPUTED_VALUE"""),"Hemalatha Krishnan")</f>
        <v>Hemalatha Krishnan</v>
      </c>
      <c r="G1241" s="4" t="str">
        <f>IFERROR(__xludf.DUMMYFUNCTION("""COMPUTED_VALUE"""),"Portfolio - Kanth")</f>
        <v>Portfolio - Kanth</v>
      </c>
      <c r="H1241" s="4" t="str">
        <f>IFERROR(__xludf.DUMMYFUNCTION("""COMPUTED_VALUE"""),"ONISMOUR0")</f>
        <v>ONISMOUR0</v>
      </c>
      <c r="I1241" s="5">
        <f>IFERROR(__xludf.DUMMYFUNCTION("""COMPUTED_VALUE"""),0.0)</f>
        <v>0</v>
      </c>
      <c r="J1241" s="4" t="str">
        <f>IFERROR(__xludf.DUMMYFUNCTION("""COMPUTED_VALUE"""),"Tier 4")</f>
        <v>Tier 4</v>
      </c>
      <c r="K1241" s="4" t="str">
        <f>IFERROR(__xludf.DUMMYFUNCTION("""COMPUTED_VALUE"""),"ID Created DRP score 0")</f>
        <v>ID Created DRP score 0</v>
      </c>
      <c r="L1241" s="4"/>
    </row>
    <row r="1242">
      <c r="A1242" s="4" t="str">
        <f>IFERROR(__xludf.DUMMYFUNCTION("""COMPUTED_VALUE"""),"DME3340")</f>
        <v>DME3340</v>
      </c>
      <c r="B1242" s="4" t="str">
        <f>IFERROR(__xludf.DUMMYFUNCTION("""COMPUTED_VALUE"""),"Polisetti Lakshminarayana")</f>
        <v>Polisetti Lakshminarayana</v>
      </c>
      <c r="C1242" s="4" t="str">
        <f>IFERROR(__xludf.DUMMYFUNCTION("""COMPUTED_VALUE"""),"lakshminarayana.polisetti@onixnet.com")</f>
        <v>lakshminarayana.polisetti@onixnet.com</v>
      </c>
      <c r="D1242" s="4" t="str">
        <f>IFERROR(__xludf.DUMMYFUNCTION("""COMPUTED_VALUE"""),"Active")</f>
        <v>Active</v>
      </c>
      <c r="E1242" s="4" t="str">
        <f>IFERROR(__xludf.DUMMYFUNCTION("""COMPUTED_VALUE"""),"Product Engineering")</f>
        <v>Product Engineering</v>
      </c>
      <c r="F1242" s="4" t="str">
        <f>IFERROR(__xludf.DUMMYFUNCTION("""COMPUTED_VALUE"""),"Deepak Kadam")</f>
        <v>Deepak Kadam</v>
      </c>
      <c r="G1242" s="4" t="str">
        <f>IFERROR(__xludf.DUMMYFUNCTION("""COMPUTED_VALUE"""),"Cluster - Mayur")</f>
        <v>Cluster - Mayur</v>
      </c>
      <c r="H1242" s="4" t="str">
        <f>IFERROR(__xludf.DUMMYFUNCTION("""COMPUTED_VALUE"""),"ONILPICX1")</f>
        <v>ONILPICX1</v>
      </c>
      <c r="I1242" s="5">
        <f>IFERROR(__xludf.DUMMYFUNCTION("""COMPUTED_VALUE"""),0.0)</f>
        <v>0</v>
      </c>
      <c r="J1242" s="4" t="str">
        <f>IFERROR(__xludf.DUMMYFUNCTION("""COMPUTED_VALUE"""),"Tier 4")</f>
        <v>Tier 4</v>
      </c>
      <c r="K1242" s="4" t="str">
        <f>IFERROR(__xludf.DUMMYFUNCTION("""COMPUTED_VALUE"""),"ID Created DRP score 0")</f>
        <v>ID Created DRP score 0</v>
      </c>
      <c r="L1242" s="4"/>
    </row>
    <row r="1243">
      <c r="A1243" s="4" t="str">
        <f>IFERROR(__xludf.DUMMYFUNCTION("""COMPUTED_VALUE"""),"DMC1146")</f>
        <v>DMC1146</v>
      </c>
      <c r="B1243" s="4" t="str">
        <f>IFERROR(__xludf.DUMMYFUNCTION("""COMPUTED_VALUE"""),"Karm Veer Singh")</f>
        <v>Karm Veer Singh</v>
      </c>
      <c r="C1243" s="4" t="str">
        <f>IFERROR(__xludf.DUMMYFUNCTION("""COMPUTED_VALUE"""),"karm.singh@onixnet.us")</f>
        <v>karm.singh@onixnet.us</v>
      </c>
      <c r="D1243" s="4" t="str">
        <f>IFERROR(__xludf.DUMMYFUNCTION("""COMPUTED_VALUE"""),"Active")</f>
        <v>Active</v>
      </c>
      <c r="E1243" s="4" t="str">
        <f>IFERROR(__xludf.DUMMYFUNCTION("""COMPUTED_VALUE"""),"Delivery Services")</f>
        <v>Delivery Services</v>
      </c>
      <c r="F1243" s="4" t="str">
        <f>IFERROR(__xludf.DUMMYFUNCTION("""COMPUTED_VALUE"""),"Sneha Bhatambrekar")</f>
        <v>Sneha Bhatambrekar</v>
      </c>
      <c r="G1243" s="4" t="str">
        <f>IFERROR(__xludf.DUMMYFUNCTION("""COMPUTED_VALUE"""),"Cluster - Sandeep")</f>
        <v>Cluster - Sandeep</v>
      </c>
      <c r="H1243" s="4" t="str">
        <f>IFERROR(__xludf.DUMMYFUNCTION("""COMPUTED_VALUE"""),"ONIKSXJO8")</f>
        <v>ONIKSXJO8</v>
      </c>
      <c r="I1243" s="5">
        <f>IFERROR(__xludf.DUMMYFUNCTION("""COMPUTED_VALUE"""),6.0)</f>
        <v>6</v>
      </c>
      <c r="J1243" s="4" t="str">
        <f>IFERROR(__xludf.DUMMYFUNCTION("""COMPUTED_VALUE"""),"Tier 4")</f>
        <v>Tier 4</v>
      </c>
      <c r="K1243" s="4" t="str">
        <f>IFERROR(__xludf.DUMMYFUNCTION("""COMPUTED_VALUE"""),"Active")</f>
        <v>Active</v>
      </c>
      <c r="L1243" s="4" t="str">
        <f>IFERROR(__xludf.DUMMYFUNCTION("""COMPUTED_VALUE"""),"BigQuery")</f>
        <v>BigQuery</v>
      </c>
    </row>
    <row r="1244">
      <c r="A1244" s="4" t="str">
        <f>IFERROR(__xludf.DUMMYFUNCTION("""COMPUTED_VALUE"""),"DME3233")</f>
        <v>DME3233</v>
      </c>
      <c r="B1244" s="4" t="str">
        <f>IFERROR(__xludf.DUMMYFUNCTION("""COMPUTED_VALUE"""),"Alok Kumar")</f>
        <v>Alok Kumar</v>
      </c>
      <c r="C1244" s="4" t="str">
        <f>IFERROR(__xludf.DUMMYFUNCTION("""COMPUTED_VALUE"""),"alok.kumar@onixnet.com")</f>
        <v>alok.kumar@onixnet.com</v>
      </c>
      <c r="D1244" s="4" t="str">
        <f>IFERROR(__xludf.DUMMYFUNCTION("""COMPUTED_VALUE"""),"Active")</f>
        <v>Active</v>
      </c>
      <c r="E1244" s="4" t="str">
        <f>IFERROR(__xludf.DUMMYFUNCTION("""COMPUTED_VALUE"""),"Delivery Services")</f>
        <v>Delivery Services</v>
      </c>
      <c r="F1244" s="4" t="str">
        <f>IFERROR(__xludf.DUMMYFUNCTION("""COMPUTED_VALUE"""),"Anubhav Sharma")</f>
        <v>Anubhav Sharma</v>
      </c>
      <c r="G1244" s="4" t="str">
        <f>IFERROR(__xludf.DUMMYFUNCTION("""COMPUTED_VALUE"""),"Cluster - Varun")</f>
        <v>Cluster - Varun</v>
      </c>
      <c r="H1244" s="4" t="str">
        <f>IFERROR(__xludf.DUMMYFUNCTION("""COMPUTED_VALUE"""),"ONIAKIFY9")</f>
        <v>ONIAKIFY9</v>
      </c>
      <c r="I1244" s="5">
        <f>IFERROR(__xludf.DUMMYFUNCTION("""COMPUTED_VALUE"""),0.0)</f>
        <v>0</v>
      </c>
      <c r="J1244" s="4" t="str">
        <f>IFERROR(__xludf.DUMMYFUNCTION("""COMPUTED_VALUE"""),"Tier 4")</f>
        <v>Tier 4</v>
      </c>
      <c r="K1244" s="4" t="str">
        <f>IFERROR(__xludf.DUMMYFUNCTION("""COMPUTED_VALUE"""),"ID Created DRP score 0")</f>
        <v>ID Created DRP score 0</v>
      </c>
      <c r="L1244" s="4"/>
    </row>
    <row r="1245">
      <c r="A1245" s="4" t="str">
        <f>IFERROR(__xludf.DUMMYFUNCTION("""COMPUTED_VALUE"""),"ONIX869")</f>
        <v>ONIX869</v>
      </c>
      <c r="B1245" s="4" t="str">
        <f>IFERROR(__xludf.DUMMYFUNCTION("""COMPUTED_VALUE"""),"Sanjana Radhakrishnan")</f>
        <v>Sanjana Radhakrishnan</v>
      </c>
      <c r="C1245" s="4" t="str">
        <f>IFERROR(__xludf.DUMMYFUNCTION("""COMPUTED_VALUE"""),"sanjana.r@onixnet.com")</f>
        <v>sanjana.r@onixnet.com</v>
      </c>
      <c r="D1245" s="4" t="str">
        <f>IFERROR(__xludf.DUMMYFUNCTION("""COMPUTED_VALUE"""),"Active")</f>
        <v>Active</v>
      </c>
      <c r="E1245" s="4" t="str">
        <f>IFERROR(__xludf.DUMMYFUNCTION("""COMPUTED_VALUE"""),"Delivery Services")</f>
        <v>Delivery Services</v>
      </c>
      <c r="F1245" s="4" t="str">
        <f>IFERROR(__xludf.DUMMYFUNCTION("""COMPUTED_VALUE"""),"Vrushali Srivastava")</f>
        <v>Vrushali Srivastava</v>
      </c>
      <c r="G1245" s="4" t="str">
        <f>IFERROR(__xludf.DUMMYFUNCTION("""COMPUTED_VALUE"""),"Portfolio - Rajesh")</f>
        <v>Portfolio - Rajesh</v>
      </c>
      <c r="H1245" s="4" t="str">
        <f>IFERROR(__xludf.DUMMYFUNCTION("""COMPUTED_VALUE"""),"ONISRTEB5")</f>
        <v>ONISRTEB5</v>
      </c>
      <c r="I1245" s="5">
        <f>IFERROR(__xludf.DUMMYFUNCTION("""COMPUTED_VALUE"""),9.0)</f>
        <v>9</v>
      </c>
      <c r="J1245" s="4" t="str">
        <f>IFERROR(__xludf.DUMMYFUNCTION("""COMPUTED_VALUE"""),"Tier 4")</f>
        <v>Tier 4</v>
      </c>
      <c r="K1245" s="4" t="str">
        <f>IFERROR(__xludf.DUMMYFUNCTION("""COMPUTED_VALUE"""),"Active")</f>
        <v>Active</v>
      </c>
      <c r="L1245" s="4" t="str">
        <f>IFERROR(__xludf.DUMMYFUNCTION("""COMPUTED_VALUE"""),"BigQuery")</f>
        <v>BigQuery</v>
      </c>
    </row>
    <row r="1246">
      <c r="A1246" s="4" t="str">
        <f>IFERROR(__xludf.DUMMYFUNCTION("""COMPUTED_VALUE"""),"ONIX870")</f>
        <v>ONIX870</v>
      </c>
      <c r="B1246" s="4" t="str">
        <f>IFERROR(__xludf.DUMMYFUNCTION("""COMPUTED_VALUE"""),"Gaurav Aggarwal")</f>
        <v>Gaurav Aggarwal</v>
      </c>
      <c r="C1246" s="4" t="str">
        <f>IFERROR(__xludf.DUMMYFUNCTION("""COMPUTED_VALUE"""),"gaurav.agarwaal@onixnet.com")</f>
        <v>gaurav.agarwaal@onixnet.com</v>
      </c>
      <c r="D1246" s="4" t="str">
        <f>IFERROR(__xludf.DUMMYFUNCTION("""COMPUTED_VALUE"""),"Active")</f>
        <v>Active</v>
      </c>
      <c r="E1246" s="4" t="str">
        <f>IFERROR(__xludf.DUMMYFUNCTION("""COMPUTED_VALUE"""),"Solution Management")</f>
        <v>Solution Management</v>
      </c>
      <c r="F1246" s="4" t="str">
        <f>IFERROR(__xludf.DUMMYFUNCTION("""COMPUTED_VALUE"""),"Patrick Schablitzki")</f>
        <v>Patrick Schablitzki</v>
      </c>
      <c r="G1246" s="4" t="str">
        <f>IFERROR(__xludf.DUMMYFUNCTION("""COMPUTED_VALUE"""),"Portfolio - Patrick")</f>
        <v>Portfolio - Patrick</v>
      </c>
      <c r="H1246" s="4" t="str">
        <f>IFERROR(__xludf.DUMMYFUNCTION("""COMPUTED_VALUE"""),"ONIGAENN4")</f>
        <v>ONIGAENN4</v>
      </c>
      <c r="I1246" s="5">
        <f>IFERROR(__xludf.DUMMYFUNCTION("""COMPUTED_VALUE"""),14.0)</f>
        <v>14</v>
      </c>
      <c r="J1246" s="4" t="str">
        <f>IFERROR(__xludf.DUMMYFUNCTION("""COMPUTED_VALUE"""),"Tier 4")</f>
        <v>Tier 4</v>
      </c>
      <c r="K1246" s="4" t="str">
        <f>IFERROR(__xludf.DUMMYFUNCTION("""COMPUTED_VALUE"""),"Active")</f>
        <v>Active</v>
      </c>
      <c r="L1246" s="4" t="str">
        <f>IFERROR(__xludf.DUMMYFUNCTION("""COMPUTED_VALUE"""),"Cloud SQL")</f>
        <v>Cloud SQL</v>
      </c>
    </row>
    <row r="1247">
      <c r="A1247" s="4" t="str">
        <f>IFERROR(__xludf.DUMMYFUNCTION("""COMPUTED_VALUE"""),"ONIX871")</f>
        <v>ONIX871</v>
      </c>
      <c r="B1247" s="4" t="str">
        <f>IFERROR(__xludf.DUMMYFUNCTION("""COMPUTED_VALUE"""),"Neeraj Arora")</f>
        <v>Neeraj Arora</v>
      </c>
      <c r="C1247" s="4" t="str">
        <f>IFERROR(__xludf.DUMMYFUNCTION("""COMPUTED_VALUE"""),"neeraj.arora@onixnet.com")</f>
        <v>neeraj.arora@onixnet.com</v>
      </c>
      <c r="D1247" s="4" t="str">
        <f>IFERROR(__xludf.DUMMYFUNCTION("""COMPUTED_VALUE"""),"Active")</f>
        <v>Active</v>
      </c>
      <c r="E1247" s="4" t="str">
        <f>IFERROR(__xludf.DUMMYFUNCTION("""COMPUTED_VALUE"""),"Delivery Services")</f>
        <v>Delivery Services</v>
      </c>
      <c r="F1247" s="4" t="str">
        <f>IFERROR(__xludf.DUMMYFUNCTION("""COMPUTED_VALUE"""),"Kanth Nagapudi")</f>
        <v>Kanth Nagapudi</v>
      </c>
      <c r="G1247" s="4" t="str">
        <f>IFERROR(__xludf.DUMMYFUNCTION("""COMPUTED_VALUE"""),"Portfolio - Kanth")</f>
        <v>Portfolio - Kanth</v>
      </c>
      <c r="H1247" s="4" t="str">
        <f>IFERROR(__xludf.DUMMYFUNCTION("""COMPUTED_VALUE"""),"ONINAPUM7")</f>
        <v>ONINAPUM7</v>
      </c>
      <c r="I1247" s="5">
        <f>IFERROR(__xludf.DUMMYFUNCTION("""COMPUTED_VALUE"""),0.0)</f>
        <v>0</v>
      </c>
      <c r="J1247" s="4" t="str">
        <f>IFERROR(__xludf.DUMMYFUNCTION("""COMPUTED_VALUE"""),"Tier 4")</f>
        <v>Tier 4</v>
      </c>
      <c r="K1247" s="4" t="str">
        <f>IFERROR(__xludf.DUMMYFUNCTION("""COMPUTED_VALUE"""),"ID Created DRP score 0")</f>
        <v>ID Created DRP score 0</v>
      </c>
      <c r="L1247" s="4"/>
    </row>
    <row r="1248">
      <c r="A1248" s="4" t="str">
        <f>IFERROR(__xludf.DUMMYFUNCTION("""COMPUTED_VALUE"""),"DME3235")</f>
        <v>DME3235</v>
      </c>
      <c r="B1248" s="4" t="str">
        <f>IFERROR(__xludf.DUMMYFUNCTION("""COMPUTED_VALUE"""),"Nivedita Shivhare")</f>
        <v>Nivedita Shivhare</v>
      </c>
      <c r="C1248" s="4" t="str">
        <f>IFERROR(__xludf.DUMMYFUNCTION("""COMPUTED_VALUE"""),"nivedita.shivhare@onixnet.com")</f>
        <v>nivedita.shivhare@onixnet.com</v>
      </c>
      <c r="D1248" s="4" t="str">
        <f>IFERROR(__xludf.DUMMYFUNCTION("""COMPUTED_VALUE"""),"Active")</f>
        <v>Active</v>
      </c>
      <c r="E1248" s="4" t="str">
        <f>IFERROR(__xludf.DUMMYFUNCTION("""COMPUTED_VALUE"""),"Delivery Services")</f>
        <v>Delivery Services</v>
      </c>
      <c r="F1248" s="4" t="str">
        <f>IFERROR(__xludf.DUMMYFUNCTION("""COMPUTED_VALUE"""),"Rahul Chandak")</f>
        <v>Rahul Chandak</v>
      </c>
      <c r="G1248" s="4" t="str">
        <f>IFERROR(__xludf.DUMMYFUNCTION("""COMPUTED_VALUE"""),"Cluster - Sagar")</f>
        <v>Cluster - Sagar</v>
      </c>
      <c r="H1248" s="4" t="str">
        <f>IFERROR(__xludf.DUMMYFUNCTION("""COMPUTED_VALUE"""),"ONINSDQH6")</f>
        <v>ONINSDQH6</v>
      </c>
      <c r="I1248" s="5">
        <f>IFERROR(__xludf.DUMMYFUNCTION("""COMPUTED_VALUE"""),33.0)</f>
        <v>33</v>
      </c>
      <c r="J1248" s="4" t="str">
        <f>IFERROR(__xludf.DUMMYFUNCTION("""COMPUTED_VALUE"""),"Tier 3")</f>
        <v>Tier 3</v>
      </c>
      <c r="K1248" s="4" t="str">
        <f>IFERROR(__xludf.DUMMYFUNCTION("""COMPUTED_VALUE"""),"Active")</f>
        <v>Active</v>
      </c>
      <c r="L1248" s="4" t="str">
        <f>IFERROR(__xludf.DUMMYFUNCTION("""COMPUTED_VALUE"""),"Gemini Enterprise")</f>
        <v>Gemini Enterprise</v>
      </c>
    </row>
    <row r="1249">
      <c r="A1249" s="4" t="str">
        <f>IFERROR(__xludf.DUMMYFUNCTION("""COMPUTED_VALUE"""),"ONIX872")</f>
        <v>ONIX872</v>
      </c>
      <c r="B1249" s="4" t="str">
        <f>IFERROR(__xludf.DUMMYFUNCTION("""COMPUTED_VALUE"""),"Shubham Deshmukh")</f>
        <v>Shubham Deshmukh</v>
      </c>
      <c r="C1249" s="4" t="str">
        <f>IFERROR(__xludf.DUMMYFUNCTION("""COMPUTED_VALUE"""),"shubham.deshmukh@onixnet.com")</f>
        <v>shubham.deshmukh@onixnet.com</v>
      </c>
      <c r="D1249" s="4" t="str">
        <f>IFERROR(__xludf.DUMMYFUNCTION("""COMPUTED_VALUE"""),"Active")</f>
        <v>Active</v>
      </c>
      <c r="E1249" s="4" t="str">
        <f>IFERROR(__xludf.DUMMYFUNCTION("""COMPUTED_VALUE"""),"Delivery Services")</f>
        <v>Delivery Services</v>
      </c>
      <c r="F1249" s="4" t="str">
        <f>IFERROR(__xludf.DUMMYFUNCTION("""COMPUTED_VALUE"""),"Pawan Kamat")</f>
        <v>Pawan Kamat</v>
      </c>
      <c r="G1249" s="4" t="str">
        <f>IFERROR(__xludf.DUMMYFUNCTION("""COMPUTED_VALUE"""),"Portfolio - Kanth")</f>
        <v>Portfolio - Kanth</v>
      </c>
      <c r="H1249" s="4" t="str">
        <f>IFERROR(__xludf.DUMMYFUNCTION("""COMPUTED_VALUE"""),"ONISDNIN4")</f>
        <v>ONISDNIN4</v>
      </c>
      <c r="I1249" s="5">
        <f>IFERROR(__xludf.DUMMYFUNCTION("""COMPUTED_VALUE"""),10.0)</f>
        <v>10</v>
      </c>
      <c r="J1249" s="4" t="str">
        <f>IFERROR(__xludf.DUMMYFUNCTION("""COMPUTED_VALUE"""),"Tier 4")</f>
        <v>Tier 4</v>
      </c>
      <c r="K1249" s="4" t="str">
        <f>IFERROR(__xludf.DUMMYFUNCTION("""COMPUTED_VALUE"""),"Active")</f>
        <v>Active</v>
      </c>
      <c r="L1249" s="4" t="str">
        <f>IFERROR(__xludf.DUMMYFUNCTION("""COMPUTED_VALUE"""),"BigQuery")</f>
        <v>BigQuery</v>
      </c>
    </row>
    <row r="1250">
      <c r="A1250" s="4" t="str">
        <f>IFERROR(__xludf.DUMMYFUNCTION("""COMPUTED_VALUE"""),"DME3236")</f>
        <v>DME3236</v>
      </c>
      <c r="B1250" s="4" t="str">
        <f>IFERROR(__xludf.DUMMYFUNCTION("""COMPUTED_VALUE"""),"Vaibhav Vinitkumar Shukla")</f>
        <v>Vaibhav Vinitkumar Shukla</v>
      </c>
      <c r="C1250" s="4" t="str">
        <f>IFERROR(__xludf.DUMMYFUNCTION("""COMPUTED_VALUE"""),"vaibhav.shukla@onixnet.com")</f>
        <v>vaibhav.shukla@onixnet.com</v>
      </c>
      <c r="D1250" s="4" t="str">
        <f>IFERROR(__xludf.DUMMYFUNCTION("""COMPUTED_VALUE"""),"Active")</f>
        <v>Active</v>
      </c>
      <c r="E1250" s="4" t="str">
        <f>IFERROR(__xludf.DUMMYFUNCTION("""COMPUTED_VALUE"""),"Delivery Services")</f>
        <v>Delivery Services</v>
      </c>
      <c r="F1250" s="4" t="str">
        <f>IFERROR(__xludf.DUMMYFUNCTION("""COMPUTED_VALUE"""),"Indrajit Omprakash Bhagat")</f>
        <v>Indrajit Omprakash Bhagat</v>
      </c>
      <c r="G1250" s="4" t="str">
        <f>IFERROR(__xludf.DUMMYFUNCTION("""COMPUTED_VALUE"""),"Cluster - Varun")</f>
        <v>Cluster - Varun</v>
      </c>
      <c r="H1250" s="4" t="str">
        <f>IFERROR(__xludf.DUMMYFUNCTION("""COMPUTED_VALUE"""),"ONIVSVBV6")</f>
        <v>ONIVSVBV6</v>
      </c>
      <c r="I1250" s="5">
        <f>IFERROR(__xludf.DUMMYFUNCTION("""COMPUTED_VALUE"""),46.0)</f>
        <v>46</v>
      </c>
      <c r="J1250" s="4" t="str">
        <f>IFERROR(__xludf.DUMMYFUNCTION("""COMPUTED_VALUE"""),"Tier 2")</f>
        <v>Tier 2</v>
      </c>
      <c r="K1250" s="4" t="str">
        <f>IFERROR(__xludf.DUMMYFUNCTION("""COMPUTED_VALUE"""),"Active")</f>
        <v>Active</v>
      </c>
      <c r="L1250" s="4" t="str">
        <f>IFERROR(__xludf.DUMMYFUNCTION("""COMPUTED_VALUE"""),"Cloud Security")</f>
        <v>Cloud Security</v>
      </c>
    </row>
    <row r="1251">
      <c r="A1251" s="4" t="str">
        <f>IFERROR(__xludf.DUMMYFUNCTION("""COMPUTED_VALUE"""),"DME3237")</f>
        <v>DME3237</v>
      </c>
      <c r="B1251" s="4" t="str">
        <f>IFERROR(__xludf.DUMMYFUNCTION("""COMPUTED_VALUE"""),"Soufiya S Soudagar")</f>
        <v>Soufiya S Soudagar</v>
      </c>
      <c r="C1251" s="4" t="str">
        <f>IFERROR(__xludf.DUMMYFUNCTION("""COMPUTED_VALUE"""),"soufiya.soudagar@onixnet.com")</f>
        <v>soufiya.soudagar@onixnet.com</v>
      </c>
      <c r="D1251" s="4" t="str">
        <f>IFERROR(__xludf.DUMMYFUNCTION("""COMPUTED_VALUE"""),"Active")</f>
        <v>Active</v>
      </c>
      <c r="E1251" s="4" t="str">
        <f>IFERROR(__xludf.DUMMYFUNCTION("""COMPUTED_VALUE"""),"Delivery Services")</f>
        <v>Delivery Services</v>
      </c>
      <c r="F1251" s="4" t="str">
        <f>IFERROR(__xludf.DUMMYFUNCTION("""COMPUTED_VALUE"""),"Nisha Chandrakant Dhole")</f>
        <v>Nisha Chandrakant Dhole</v>
      </c>
      <c r="G1251" s="4" t="str">
        <f>IFERROR(__xludf.DUMMYFUNCTION("""COMPUTED_VALUE"""),"Cluster - Sagar")</f>
        <v>Cluster - Sagar</v>
      </c>
      <c r="H1251" s="4" t="str">
        <f>IFERROR(__xludf.DUMMYFUNCTION("""COMPUTED_VALUE"""),"ONISSEQD5")</f>
        <v>ONISSEQD5</v>
      </c>
      <c r="I1251" s="5">
        <f>IFERROR(__xludf.DUMMYFUNCTION("""COMPUTED_VALUE"""),5.0)</f>
        <v>5</v>
      </c>
      <c r="J1251" s="4" t="str">
        <f>IFERROR(__xludf.DUMMYFUNCTION("""COMPUTED_VALUE"""),"Tier 4")</f>
        <v>Tier 4</v>
      </c>
      <c r="K1251" s="4" t="str">
        <f>IFERROR(__xludf.DUMMYFUNCTION("""COMPUTED_VALUE"""),"Active")</f>
        <v>Active</v>
      </c>
      <c r="L1251" s="4" t="str">
        <f>IFERROR(__xludf.DUMMYFUNCTION("""COMPUTED_VALUE"""),"Gemini Enterprise Agent Platform")</f>
        <v>Gemini Enterprise Agent Platform</v>
      </c>
    </row>
    <row r="1252">
      <c r="A1252" s="4" t="str">
        <f>IFERROR(__xludf.DUMMYFUNCTION("""COMPUTED_VALUE"""),"DME3238")</f>
        <v>DME3238</v>
      </c>
      <c r="B1252" s="4" t="str">
        <f>IFERROR(__xludf.DUMMYFUNCTION("""COMPUTED_VALUE"""),"Piyush Ganesh Bhone")</f>
        <v>Piyush Ganesh Bhone</v>
      </c>
      <c r="C1252" s="4" t="str">
        <f>IFERROR(__xludf.DUMMYFUNCTION("""COMPUTED_VALUE"""),"piyush.bhone@onixnet.com")</f>
        <v>piyush.bhone@onixnet.com</v>
      </c>
      <c r="D1252" s="4" t="str">
        <f>IFERROR(__xludf.DUMMYFUNCTION("""COMPUTED_VALUE"""),"Active")</f>
        <v>Active</v>
      </c>
      <c r="E1252" s="4" t="str">
        <f>IFERROR(__xludf.DUMMYFUNCTION("""COMPUTED_VALUE"""),"Delivery Services")</f>
        <v>Delivery Services</v>
      </c>
      <c r="F1252" s="4" t="str">
        <f>IFERROR(__xludf.DUMMYFUNCTION("""COMPUTED_VALUE"""),"Rahul Shelake")</f>
        <v>Rahul Shelake</v>
      </c>
      <c r="G1252" s="4" t="str">
        <f>IFERROR(__xludf.DUMMYFUNCTION("""COMPUTED_VALUE"""),"Cluster - Sagar")</f>
        <v>Cluster - Sagar</v>
      </c>
      <c r="H1252" s="4" t="str">
        <f>IFERROR(__xludf.DUMMYFUNCTION("""COMPUTED_VALUE"""),"ONIPBZCL4")</f>
        <v>ONIPBZCL4</v>
      </c>
      <c r="I1252" s="5">
        <f>IFERROR(__xludf.DUMMYFUNCTION("""COMPUTED_VALUE"""),0.0)</f>
        <v>0</v>
      </c>
      <c r="J1252" s="4" t="str">
        <f>IFERROR(__xludf.DUMMYFUNCTION("""COMPUTED_VALUE"""),"Tier 4")</f>
        <v>Tier 4</v>
      </c>
      <c r="K1252" s="4" t="str">
        <f>IFERROR(__xludf.DUMMYFUNCTION("""COMPUTED_VALUE"""),"ID Created DRP score 0")</f>
        <v>ID Created DRP score 0</v>
      </c>
      <c r="L1252" s="4"/>
    </row>
    <row r="1253">
      <c r="A1253" s="4" t="str">
        <f>IFERROR(__xludf.DUMMYFUNCTION("""COMPUTED_VALUE"""),"DME3239")</f>
        <v>DME3239</v>
      </c>
      <c r="B1253" s="4" t="str">
        <f>IFERROR(__xludf.DUMMYFUNCTION("""COMPUTED_VALUE"""),"Bhaskar Mehta")</f>
        <v>Bhaskar Mehta</v>
      </c>
      <c r="C1253" s="4" t="str">
        <f>IFERROR(__xludf.DUMMYFUNCTION("""COMPUTED_VALUE"""),"bhaskar.mehta@onixnet.com")</f>
        <v>bhaskar.mehta@onixnet.com</v>
      </c>
      <c r="D1253" s="4" t="str">
        <f>IFERROR(__xludf.DUMMYFUNCTION("""COMPUTED_VALUE"""),"Active")</f>
        <v>Active</v>
      </c>
      <c r="E1253" s="4" t="str">
        <f>IFERROR(__xludf.DUMMYFUNCTION("""COMPUTED_VALUE"""),"Delivery Services")</f>
        <v>Delivery Services</v>
      </c>
      <c r="F1253" s="4" t="str">
        <f>IFERROR(__xludf.DUMMYFUNCTION("""COMPUTED_VALUE"""),"Vedant Bhogawade")</f>
        <v>Vedant Bhogawade</v>
      </c>
      <c r="G1253" s="4" t="str">
        <f>IFERROR(__xludf.DUMMYFUNCTION("""COMPUTED_VALUE"""),"Cluster - Varun")</f>
        <v>Cluster - Varun</v>
      </c>
      <c r="H1253" s="4" t="str">
        <f>IFERROR(__xludf.DUMMYFUNCTION("""COMPUTED_VALUE"""),"ONIBMBYD5")</f>
        <v>ONIBMBYD5</v>
      </c>
      <c r="I1253" s="5">
        <f>IFERROR(__xludf.DUMMYFUNCTION("""COMPUTED_VALUE"""),24.0)</f>
        <v>24</v>
      </c>
      <c r="J1253" s="4" t="str">
        <f>IFERROR(__xludf.DUMMYFUNCTION("""COMPUTED_VALUE"""),"Tier 3")</f>
        <v>Tier 3</v>
      </c>
      <c r="K1253" s="4" t="str">
        <f>IFERROR(__xludf.DUMMYFUNCTION("""COMPUTED_VALUE"""),"Active")</f>
        <v>Active</v>
      </c>
      <c r="L1253" s="4" t="str">
        <f>IFERROR(__xludf.DUMMYFUNCTION("""COMPUTED_VALUE"""),"Gemini Enterprise Agent Platform")</f>
        <v>Gemini Enterprise Agent Platform</v>
      </c>
    </row>
    <row r="1254">
      <c r="A1254" s="4" t="str">
        <f>IFERROR(__xludf.DUMMYFUNCTION("""COMPUTED_VALUE"""),"DME3399")</f>
        <v>DME3399</v>
      </c>
      <c r="B1254" s="4" t="str">
        <f>IFERROR(__xludf.DUMMYFUNCTION("""COMPUTED_VALUE"""),"Shreya Dayanand Gokule")</f>
        <v>Shreya Dayanand Gokule</v>
      </c>
      <c r="C1254" s="4" t="str">
        <f>IFERROR(__xludf.DUMMYFUNCTION("""COMPUTED_VALUE"""),"shreya.gokule@onixnet.com")</f>
        <v>shreya.gokule@onixnet.com</v>
      </c>
      <c r="D1254" s="4" t="str">
        <f>IFERROR(__xludf.DUMMYFUNCTION("""COMPUTED_VALUE"""),"Active")</f>
        <v>Active</v>
      </c>
      <c r="E1254" s="4" t="str">
        <f>IFERROR(__xludf.DUMMYFUNCTION("""COMPUTED_VALUE"""),"Delivery Services")</f>
        <v>Delivery Services</v>
      </c>
      <c r="F1254" s="4" t="str">
        <f>IFERROR(__xludf.DUMMYFUNCTION("""COMPUTED_VALUE"""),"Priyanka Parab")</f>
        <v>Priyanka Parab</v>
      </c>
      <c r="G1254" s="4" t="str">
        <f>IFERROR(__xludf.DUMMYFUNCTION("""COMPUTED_VALUE"""),"Cluster - Sagar")</f>
        <v>Cluster - Sagar</v>
      </c>
      <c r="H1254" s="4" t="str">
        <f>IFERROR(__xludf.DUMMYFUNCTION("""COMPUTED_VALUE"""),"ONISGAIL4")</f>
        <v>ONISGAIL4</v>
      </c>
      <c r="I1254" s="5">
        <f>IFERROR(__xludf.DUMMYFUNCTION("""COMPUTED_VALUE"""),7.0)</f>
        <v>7</v>
      </c>
      <c r="J1254" s="4" t="str">
        <f>IFERROR(__xludf.DUMMYFUNCTION("""COMPUTED_VALUE"""),"Tier 4")</f>
        <v>Tier 4</v>
      </c>
      <c r="K1254" s="4" t="str">
        <f>IFERROR(__xludf.DUMMYFUNCTION("""COMPUTED_VALUE"""),"Active")</f>
        <v>Active</v>
      </c>
      <c r="L1254" s="4" t="str">
        <f>IFERROR(__xludf.DUMMYFUNCTION("""COMPUTED_VALUE"""),"Google Cloud Networking")</f>
        <v>Google Cloud Networking</v>
      </c>
    </row>
    <row r="1255">
      <c r="A1255" s="4" t="str">
        <f>IFERROR(__xludf.DUMMYFUNCTION("""COMPUTED_VALUE"""),"DME3377")</f>
        <v>DME3377</v>
      </c>
      <c r="B1255" s="4" t="str">
        <f>IFERROR(__xludf.DUMMYFUNCTION("""COMPUTED_VALUE"""),"Prajwal Amol Kumbhar")</f>
        <v>Prajwal Amol Kumbhar</v>
      </c>
      <c r="C1255" s="4" t="str">
        <f>IFERROR(__xludf.DUMMYFUNCTION("""COMPUTED_VALUE"""),"prajwal.kumbhar@onixnet.com")</f>
        <v>prajwal.kumbhar@onixnet.com</v>
      </c>
      <c r="D1255" s="4" t="str">
        <f>IFERROR(__xludf.DUMMYFUNCTION("""COMPUTED_VALUE"""),"Active")</f>
        <v>Active</v>
      </c>
      <c r="E1255" s="4" t="str">
        <f>IFERROR(__xludf.DUMMYFUNCTION("""COMPUTED_VALUE"""),"Delivery Services")</f>
        <v>Delivery Services</v>
      </c>
      <c r="F1255" s="4" t="str">
        <f>IFERROR(__xludf.DUMMYFUNCTION("""COMPUTED_VALUE"""),"Laxmi Ambadas Gaddam")</f>
        <v>Laxmi Ambadas Gaddam</v>
      </c>
      <c r="G1255" s="4" t="str">
        <f>IFERROR(__xludf.DUMMYFUNCTION("""COMPUTED_VALUE"""),"Cluster - Sagar")</f>
        <v>Cluster - Sagar</v>
      </c>
      <c r="H1255" s="4" t="str">
        <f>IFERROR(__xludf.DUMMYFUNCTION("""COMPUTED_VALUE"""),"ONIPKVHB9")</f>
        <v>ONIPKVHB9</v>
      </c>
      <c r="I1255" s="5">
        <f>IFERROR(__xludf.DUMMYFUNCTION("""COMPUTED_VALUE"""),0.0)</f>
        <v>0</v>
      </c>
      <c r="J1255" s="4" t="str">
        <f>IFERROR(__xludf.DUMMYFUNCTION("""COMPUTED_VALUE"""),"Tier 4")</f>
        <v>Tier 4</v>
      </c>
      <c r="K1255" s="4" t="str">
        <f>IFERROR(__xludf.DUMMYFUNCTION("""COMPUTED_VALUE"""),"ID Created DRP score 0")</f>
        <v>ID Created DRP score 0</v>
      </c>
      <c r="L1255" s="4"/>
    </row>
    <row r="1256">
      <c r="A1256" s="4" t="str">
        <f>IFERROR(__xludf.DUMMYFUNCTION("""COMPUTED_VALUE"""),"DME3370")</f>
        <v>DME3370</v>
      </c>
      <c r="B1256" s="4" t="str">
        <f>IFERROR(__xludf.DUMMYFUNCTION("""COMPUTED_VALUE"""),"M Venkat Soodarshan")</f>
        <v>M Venkat Soodarshan</v>
      </c>
      <c r="C1256" s="4" t="str">
        <f>IFERROR(__xludf.DUMMYFUNCTION("""COMPUTED_VALUE"""),"venkat.soodarshan@onixnet.com")</f>
        <v>venkat.soodarshan@onixnet.com</v>
      </c>
      <c r="D1256" s="4" t="str">
        <f>IFERROR(__xludf.DUMMYFUNCTION("""COMPUTED_VALUE"""),"Active")</f>
        <v>Active</v>
      </c>
      <c r="E1256" s="4" t="str">
        <f>IFERROR(__xludf.DUMMYFUNCTION("""COMPUTED_VALUE"""),"Delivery Services")</f>
        <v>Delivery Services</v>
      </c>
      <c r="F1256" s="4" t="str">
        <f>IFERROR(__xludf.DUMMYFUNCTION("""COMPUTED_VALUE"""),"Vishal Khare")</f>
        <v>Vishal Khare</v>
      </c>
      <c r="G1256" s="4" t="str">
        <f>IFERROR(__xludf.DUMMYFUNCTION("""COMPUTED_VALUE"""),"Cluster - Sagar")</f>
        <v>Cluster - Sagar</v>
      </c>
      <c r="H1256" s="4" t="str">
        <f>IFERROR(__xludf.DUMMYFUNCTION("""COMPUTED_VALUE"""),"ONIVSXYN3")</f>
        <v>ONIVSXYN3</v>
      </c>
      <c r="I1256" s="5">
        <f>IFERROR(__xludf.DUMMYFUNCTION("""COMPUTED_VALUE"""),5.0)</f>
        <v>5</v>
      </c>
      <c r="J1256" s="4" t="str">
        <f>IFERROR(__xludf.DUMMYFUNCTION("""COMPUTED_VALUE"""),"Tier 4")</f>
        <v>Tier 4</v>
      </c>
      <c r="K1256" s="4" t="str">
        <f>IFERROR(__xludf.DUMMYFUNCTION("""COMPUTED_VALUE"""),"Active")</f>
        <v>Active</v>
      </c>
      <c r="L1256" s="4" t="str">
        <f>IFERROR(__xludf.DUMMYFUNCTION("""COMPUTED_VALUE"""),"Gemini Enterprise Agent Platform")</f>
        <v>Gemini Enterprise Agent Platform</v>
      </c>
    </row>
    <row r="1257">
      <c r="A1257" s="4" t="str">
        <f>IFERROR(__xludf.DUMMYFUNCTION("""COMPUTED_VALUE"""),"DME3371")</f>
        <v>DME3371</v>
      </c>
      <c r="B1257" s="4" t="str">
        <f>IFERROR(__xludf.DUMMYFUNCTION("""COMPUTED_VALUE"""),"Prachi Ashok Palve")</f>
        <v>Prachi Ashok Palve</v>
      </c>
      <c r="C1257" s="4" t="str">
        <f>IFERROR(__xludf.DUMMYFUNCTION("""COMPUTED_VALUE"""),"prachi.palve@onixnet.com")</f>
        <v>prachi.palve@onixnet.com</v>
      </c>
      <c r="D1257" s="4" t="str">
        <f>IFERROR(__xludf.DUMMYFUNCTION("""COMPUTED_VALUE"""),"Active")</f>
        <v>Active</v>
      </c>
      <c r="E1257" s="4" t="str">
        <f>IFERROR(__xludf.DUMMYFUNCTION("""COMPUTED_VALUE"""),"Delivery Services")</f>
        <v>Delivery Services</v>
      </c>
      <c r="F1257" s="4" t="str">
        <f>IFERROR(__xludf.DUMMYFUNCTION("""COMPUTED_VALUE"""),"Aarti Borhade")</f>
        <v>Aarti Borhade</v>
      </c>
      <c r="G1257" s="4" t="str">
        <f>IFERROR(__xludf.DUMMYFUNCTION("""COMPUTED_VALUE"""),"Cluster - Sagar")</f>
        <v>Cluster - Sagar</v>
      </c>
      <c r="H1257" s="4" t="str">
        <f>IFERROR(__xludf.DUMMYFUNCTION("""COMPUTED_VALUE"""),"ONIPPTMB4")</f>
        <v>ONIPPTMB4</v>
      </c>
      <c r="I1257" s="5">
        <f>IFERROR(__xludf.DUMMYFUNCTION("""COMPUTED_VALUE"""),5.0)</f>
        <v>5</v>
      </c>
      <c r="J1257" s="4" t="str">
        <f>IFERROR(__xludf.DUMMYFUNCTION("""COMPUTED_VALUE"""),"Tier 4")</f>
        <v>Tier 4</v>
      </c>
      <c r="K1257" s="4" t="str">
        <f>IFERROR(__xludf.DUMMYFUNCTION("""COMPUTED_VALUE"""),"Active")</f>
        <v>Active</v>
      </c>
      <c r="L1257" s="4" t="str">
        <f>IFERROR(__xludf.DUMMYFUNCTION("""COMPUTED_VALUE"""),"Gemini Enterprise Agent Platform")</f>
        <v>Gemini Enterprise Agent Platform</v>
      </c>
    </row>
    <row r="1258">
      <c r="A1258" s="4" t="str">
        <f>IFERROR(__xludf.DUMMYFUNCTION("""COMPUTED_VALUE"""),"DME3372")</f>
        <v>DME3372</v>
      </c>
      <c r="B1258" s="4" t="str">
        <f>IFERROR(__xludf.DUMMYFUNCTION("""COMPUTED_VALUE"""),"Ashutosh Vijaykumar Khedkar")</f>
        <v>Ashutosh Vijaykumar Khedkar</v>
      </c>
      <c r="C1258" s="4" t="str">
        <f>IFERROR(__xludf.DUMMYFUNCTION("""COMPUTED_VALUE"""),"ashutosh.khedkar@onixnet.com")</f>
        <v>ashutosh.khedkar@onixnet.com</v>
      </c>
      <c r="D1258" s="4" t="str">
        <f>IFERROR(__xludf.DUMMYFUNCTION("""COMPUTED_VALUE"""),"Active")</f>
        <v>Active</v>
      </c>
      <c r="E1258" s="4" t="str">
        <f>IFERROR(__xludf.DUMMYFUNCTION("""COMPUTED_VALUE"""),"Delivery Services")</f>
        <v>Delivery Services</v>
      </c>
      <c r="F1258" s="4" t="str">
        <f>IFERROR(__xludf.DUMMYFUNCTION("""COMPUTED_VALUE"""),"Vishal Khare")</f>
        <v>Vishal Khare</v>
      </c>
      <c r="G1258" s="4" t="str">
        <f>IFERROR(__xludf.DUMMYFUNCTION("""COMPUTED_VALUE"""),"Cluster - Sagar")</f>
        <v>Cluster - Sagar</v>
      </c>
      <c r="H1258" s="4" t="str">
        <f>IFERROR(__xludf.DUMMYFUNCTION("""COMPUTED_VALUE"""),"ONIAKMXG5")</f>
        <v>ONIAKMXG5</v>
      </c>
      <c r="I1258" s="5">
        <f>IFERROR(__xludf.DUMMYFUNCTION("""COMPUTED_VALUE"""),10.0)</f>
        <v>10</v>
      </c>
      <c r="J1258" s="4" t="str">
        <f>IFERROR(__xludf.DUMMYFUNCTION("""COMPUTED_VALUE"""),"Tier 4")</f>
        <v>Tier 4</v>
      </c>
      <c r="K1258" s="4" t="str">
        <f>IFERROR(__xludf.DUMMYFUNCTION("""COMPUTED_VALUE"""),"Active")</f>
        <v>Active</v>
      </c>
      <c r="L1258" s="4" t="str">
        <f>IFERROR(__xludf.DUMMYFUNCTION("""COMPUTED_VALUE"""),"Gemini Enterprise Agent Platform")</f>
        <v>Gemini Enterprise Agent Platform</v>
      </c>
    </row>
    <row r="1259">
      <c r="A1259" s="4" t="str">
        <f>IFERROR(__xludf.DUMMYFUNCTION("""COMPUTED_VALUE"""),"DME3373")</f>
        <v>DME3373</v>
      </c>
      <c r="B1259" s="4" t="str">
        <f>IFERROR(__xludf.DUMMYFUNCTION("""COMPUTED_VALUE"""),"Sakshi Mahendra Jadhav")</f>
        <v>Sakshi Mahendra Jadhav</v>
      </c>
      <c r="C1259" s="4" t="str">
        <f>IFERROR(__xludf.DUMMYFUNCTION("""COMPUTED_VALUE"""),"sakshi.jadhav@onixnet.com")</f>
        <v>sakshi.jadhav@onixnet.com</v>
      </c>
      <c r="D1259" s="4" t="str">
        <f>IFERROR(__xludf.DUMMYFUNCTION("""COMPUTED_VALUE"""),"Active")</f>
        <v>Active</v>
      </c>
      <c r="E1259" s="4" t="str">
        <f>IFERROR(__xludf.DUMMYFUNCTION("""COMPUTED_VALUE"""),"Delivery Services")</f>
        <v>Delivery Services</v>
      </c>
      <c r="F1259" s="4" t="str">
        <f>IFERROR(__xludf.DUMMYFUNCTION("""COMPUTED_VALUE"""),"Nisha Chandrakant Dhole")</f>
        <v>Nisha Chandrakant Dhole</v>
      </c>
      <c r="G1259" s="4" t="str">
        <f>IFERROR(__xludf.DUMMYFUNCTION("""COMPUTED_VALUE"""),"Cluster - Sagar")</f>
        <v>Cluster - Sagar</v>
      </c>
      <c r="H1259" s="4" t="str">
        <f>IFERROR(__xludf.DUMMYFUNCTION("""COMPUTED_VALUE"""),"ONISJWBK8")</f>
        <v>ONISJWBK8</v>
      </c>
      <c r="I1259" s="5">
        <f>IFERROR(__xludf.DUMMYFUNCTION("""COMPUTED_VALUE"""),0.0)</f>
        <v>0</v>
      </c>
      <c r="J1259" s="4" t="str">
        <f>IFERROR(__xludf.DUMMYFUNCTION("""COMPUTED_VALUE"""),"Tier 4")</f>
        <v>Tier 4</v>
      </c>
      <c r="K1259" s="4" t="str">
        <f>IFERROR(__xludf.DUMMYFUNCTION("""COMPUTED_VALUE"""),"ID Created DRP score 0")</f>
        <v>ID Created DRP score 0</v>
      </c>
      <c r="L1259" s="4"/>
    </row>
    <row r="1260">
      <c r="A1260" s="4" t="str">
        <f>IFERROR(__xludf.DUMMYFUNCTION("""COMPUTED_VALUE"""),"DME3378")</f>
        <v>DME3378</v>
      </c>
      <c r="B1260" s="4" t="str">
        <f>IFERROR(__xludf.DUMMYFUNCTION("""COMPUTED_VALUE"""),"Sneha Manik Gonjari")</f>
        <v>Sneha Manik Gonjari</v>
      </c>
      <c r="C1260" s="4" t="str">
        <f>IFERROR(__xludf.DUMMYFUNCTION("""COMPUTED_VALUE"""),"sneha.gonjari@onixnet.com")</f>
        <v>sneha.gonjari@onixnet.com</v>
      </c>
      <c r="D1260" s="4" t="str">
        <f>IFERROR(__xludf.DUMMYFUNCTION("""COMPUTED_VALUE"""),"Active")</f>
        <v>Active</v>
      </c>
      <c r="E1260" s="4" t="str">
        <f>IFERROR(__xludf.DUMMYFUNCTION("""COMPUTED_VALUE"""),"Delivery Services")</f>
        <v>Delivery Services</v>
      </c>
      <c r="F1260" s="4" t="str">
        <f>IFERROR(__xludf.DUMMYFUNCTION("""COMPUTED_VALUE"""),"Vishal Khare")</f>
        <v>Vishal Khare</v>
      </c>
      <c r="G1260" s="4" t="str">
        <f>IFERROR(__xludf.DUMMYFUNCTION("""COMPUTED_VALUE"""),"Cluster - Sagar")</f>
        <v>Cluster - Sagar</v>
      </c>
      <c r="H1260" s="4" t="str">
        <f>IFERROR(__xludf.DUMMYFUNCTION("""COMPUTED_VALUE"""),"ONISGGEL6")</f>
        <v>ONISGGEL6</v>
      </c>
      <c r="I1260" s="5">
        <f>IFERROR(__xludf.DUMMYFUNCTION("""COMPUTED_VALUE"""),5.0)</f>
        <v>5</v>
      </c>
      <c r="J1260" s="4" t="str">
        <f>IFERROR(__xludf.DUMMYFUNCTION("""COMPUTED_VALUE"""),"Tier 4")</f>
        <v>Tier 4</v>
      </c>
      <c r="K1260" s="4" t="str">
        <f>IFERROR(__xludf.DUMMYFUNCTION("""COMPUTED_VALUE"""),"Active")</f>
        <v>Active</v>
      </c>
      <c r="L1260" s="4" t="str">
        <f>IFERROR(__xludf.DUMMYFUNCTION("""COMPUTED_VALUE"""),"Gemini Enterprise Agent Platform")</f>
        <v>Gemini Enterprise Agent Platform</v>
      </c>
    </row>
    <row r="1261">
      <c r="A1261" s="4" t="str">
        <f>IFERROR(__xludf.DUMMYFUNCTION("""COMPUTED_VALUE"""),"DME3389")</f>
        <v>DME3389</v>
      </c>
      <c r="B1261" s="4" t="str">
        <f>IFERROR(__xludf.DUMMYFUNCTION("""COMPUTED_VALUE"""),"Apurva Balasaheb Phapale")</f>
        <v>Apurva Balasaheb Phapale</v>
      </c>
      <c r="C1261" s="4" t="str">
        <f>IFERROR(__xludf.DUMMYFUNCTION("""COMPUTED_VALUE"""),"apurva.phapale@onixnet.com")</f>
        <v>apurva.phapale@onixnet.com</v>
      </c>
      <c r="D1261" s="4" t="str">
        <f>IFERROR(__xludf.DUMMYFUNCTION("""COMPUTED_VALUE"""),"Active")</f>
        <v>Active</v>
      </c>
      <c r="E1261" s="4" t="str">
        <f>IFERROR(__xludf.DUMMYFUNCTION("""COMPUTED_VALUE"""),"Delivery Services")</f>
        <v>Delivery Services</v>
      </c>
      <c r="F1261" s="4" t="str">
        <f>IFERROR(__xludf.DUMMYFUNCTION("""COMPUTED_VALUE"""),"Rabindra Nayak")</f>
        <v>Rabindra Nayak</v>
      </c>
      <c r="G1261" s="4" t="str">
        <f>IFERROR(__xludf.DUMMYFUNCTION("""COMPUTED_VALUE"""),"Cluster - Sagar")</f>
        <v>Cluster - Sagar</v>
      </c>
      <c r="H1261" s="4" t="str">
        <f>IFERROR(__xludf.DUMMYFUNCTION("""COMPUTED_VALUE"""),"ONIAPDKW7")</f>
        <v>ONIAPDKW7</v>
      </c>
      <c r="I1261" s="5">
        <f>IFERROR(__xludf.DUMMYFUNCTION("""COMPUTED_VALUE"""),0.0)</f>
        <v>0</v>
      </c>
      <c r="J1261" s="4" t="str">
        <f>IFERROR(__xludf.DUMMYFUNCTION("""COMPUTED_VALUE"""),"Tier 4")</f>
        <v>Tier 4</v>
      </c>
      <c r="K1261" s="4" t="str">
        <f>IFERROR(__xludf.DUMMYFUNCTION("""COMPUTED_VALUE"""),"ID Created DRP score 0")</f>
        <v>ID Created DRP score 0</v>
      </c>
      <c r="L1261" s="4"/>
    </row>
    <row r="1262">
      <c r="A1262" s="4" t="str">
        <f>IFERROR(__xludf.DUMMYFUNCTION("""COMPUTED_VALUE"""),"DME3379")</f>
        <v>DME3379</v>
      </c>
      <c r="B1262" s="4" t="str">
        <f>IFERROR(__xludf.DUMMYFUNCTION("""COMPUTED_VALUE"""),"Aaditi Ravindra Dethe")</f>
        <v>Aaditi Ravindra Dethe</v>
      </c>
      <c r="C1262" s="4" t="str">
        <f>IFERROR(__xludf.DUMMYFUNCTION("""COMPUTED_VALUE"""),"aaditi.dethe@onixnet.com")</f>
        <v>aaditi.dethe@onixnet.com</v>
      </c>
      <c r="D1262" s="4" t="str">
        <f>IFERROR(__xludf.DUMMYFUNCTION("""COMPUTED_VALUE"""),"Active")</f>
        <v>Active</v>
      </c>
      <c r="E1262" s="4" t="str">
        <f>IFERROR(__xludf.DUMMYFUNCTION("""COMPUTED_VALUE"""),"Delivery Services")</f>
        <v>Delivery Services</v>
      </c>
      <c r="F1262" s="4" t="str">
        <f>IFERROR(__xludf.DUMMYFUNCTION("""COMPUTED_VALUE"""),"Rabindra Nayak")</f>
        <v>Rabindra Nayak</v>
      </c>
      <c r="G1262" s="4" t="str">
        <f>IFERROR(__xludf.DUMMYFUNCTION("""COMPUTED_VALUE"""),"Cluster - Sagar")</f>
        <v>Cluster - Sagar</v>
      </c>
      <c r="H1262" s="4" t="str">
        <f>IFERROR(__xludf.DUMMYFUNCTION("""COMPUTED_VALUE"""),"ONIADIQV5")</f>
        <v>ONIADIQV5</v>
      </c>
      <c r="I1262" s="5">
        <f>IFERROR(__xludf.DUMMYFUNCTION("""COMPUTED_VALUE"""),5.0)</f>
        <v>5</v>
      </c>
      <c r="J1262" s="4" t="str">
        <f>IFERROR(__xludf.DUMMYFUNCTION("""COMPUTED_VALUE"""),"Tier 4")</f>
        <v>Tier 4</v>
      </c>
      <c r="K1262" s="4" t="str">
        <f>IFERROR(__xludf.DUMMYFUNCTION("""COMPUTED_VALUE"""),"Active")</f>
        <v>Active</v>
      </c>
      <c r="L1262" s="4" t="str">
        <f>IFERROR(__xludf.DUMMYFUNCTION("""COMPUTED_VALUE"""),"Gemini Enterprise Agent Platform")</f>
        <v>Gemini Enterprise Agent Platform</v>
      </c>
    </row>
    <row r="1263">
      <c r="A1263" s="4" t="str">
        <f>IFERROR(__xludf.DUMMYFUNCTION("""COMPUTED_VALUE"""),"DME3400")</f>
        <v>DME3400</v>
      </c>
      <c r="B1263" s="4" t="str">
        <f>IFERROR(__xludf.DUMMYFUNCTION("""COMPUTED_VALUE"""),"Soham Anand Musalgi")</f>
        <v>Soham Anand Musalgi</v>
      </c>
      <c r="C1263" s="4" t="str">
        <f>IFERROR(__xludf.DUMMYFUNCTION("""COMPUTED_VALUE"""),"soham.musalgi@onixnet.com")</f>
        <v>soham.musalgi@onixnet.com</v>
      </c>
      <c r="D1263" s="4" t="str">
        <f>IFERROR(__xludf.DUMMYFUNCTION("""COMPUTED_VALUE"""),"Active")</f>
        <v>Active</v>
      </c>
      <c r="E1263" s="4" t="str">
        <f>IFERROR(__xludf.DUMMYFUNCTION("""COMPUTED_VALUE"""),"Delivery Services")</f>
        <v>Delivery Services</v>
      </c>
      <c r="F1263" s="4" t="str">
        <f>IFERROR(__xludf.DUMMYFUNCTION("""COMPUTED_VALUE"""),"Amit Dhanokar")</f>
        <v>Amit Dhanokar</v>
      </c>
      <c r="G1263" s="4" t="str">
        <f>IFERROR(__xludf.DUMMYFUNCTION("""COMPUTED_VALUE"""),"Cluster - Sagar")</f>
        <v>Cluster - Sagar</v>
      </c>
      <c r="H1263" s="4" t="str">
        <f>IFERROR(__xludf.DUMMYFUNCTION("""COMPUTED_VALUE"""),"ONISMZJG8")</f>
        <v>ONISMZJG8</v>
      </c>
      <c r="I1263" s="5">
        <f>IFERROR(__xludf.DUMMYFUNCTION("""COMPUTED_VALUE"""),5.0)</f>
        <v>5</v>
      </c>
      <c r="J1263" s="4" t="str">
        <f>IFERROR(__xludf.DUMMYFUNCTION("""COMPUTED_VALUE"""),"Tier 4")</f>
        <v>Tier 4</v>
      </c>
      <c r="K1263" s="4" t="str">
        <f>IFERROR(__xludf.DUMMYFUNCTION("""COMPUTED_VALUE"""),"Active")</f>
        <v>Active</v>
      </c>
      <c r="L1263" s="4" t="str">
        <f>IFERROR(__xludf.DUMMYFUNCTION("""COMPUTED_VALUE"""),"Gemini Enterprise Agent Platform")</f>
        <v>Gemini Enterprise Agent Platform</v>
      </c>
    </row>
    <row r="1264">
      <c r="A1264" s="4" t="str">
        <f>IFERROR(__xludf.DUMMYFUNCTION("""COMPUTED_VALUE"""),"DME3374")</f>
        <v>DME3374</v>
      </c>
      <c r="B1264" s="4" t="str">
        <f>IFERROR(__xludf.DUMMYFUNCTION("""COMPUTED_VALUE"""),"Pranita Mahesh Bobade")</f>
        <v>Pranita Mahesh Bobade</v>
      </c>
      <c r="C1264" s="4" t="str">
        <f>IFERROR(__xludf.DUMMYFUNCTION("""COMPUTED_VALUE"""),"pranita.bobade@onixnet.com")</f>
        <v>pranita.bobade@onixnet.com</v>
      </c>
      <c r="D1264" s="4" t="str">
        <f>IFERROR(__xludf.DUMMYFUNCTION("""COMPUTED_VALUE"""),"Active")</f>
        <v>Active</v>
      </c>
      <c r="E1264" s="4" t="str">
        <f>IFERROR(__xludf.DUMMYFUNCTION("""COMPUTED_VALUE"""),"Delivery Services")</f>
        <v>Delivery Services</v>
      </c>
      <c r="F1264" s="4" t="str">
        <f>IFERROR(__xludf.DUMMYFUNCTION("""COMPUTED_VALUE"""),"Rabindra Nayak")</f>
        <v>Rabindra Nayak</v>
      </c>
      <c r="G1264" s="4" t="str">
        <f>IFERROR(__xludf.DUMMYFUNCTION("""COMPUTED_VALUE"""),"Cluster - Sagar")</f>
        <v>Cluster - Sagar</v>
      </c>
      <c r="H1264" s="4" t="str">
        <f>IFERROR(__xludf.DUMMYFUNCTION("""COMPUTED_VALUE"""),"ONIPBMRC6")</f>
        <v>ONIPBMRC6</v>
      </c>
      <c r="I1264" s="5">
        <f>IFERROR(__xludf.DUMMYFUNCTION("""COMPUTED_VALUE"""),5.0)</f>
        <v>5</v>
      </c>
      <c r="J1264" s="4" t="str">
        <f>IFERROR(__xludf.DUMMYFUNCTION("""COMPUTED_VALUE"""),"Tier 4")</f>
        <v>Tier 4</v>
      </c>
      <c r="K1264" s="4" t="str">
        <f>IFERROR(__xludf.DUMMYFUNCTION("""COMPUTED_VALUE"""),"Active")</f>
        <v>Active</v>
      </c>
      <c r="L1264" s="4" t="str">
        <f>IFERROR(__xludf.DUMMYFUNCTION("""COMPUTED_VALUE"""),"Gemini Enterprise Agent Platform")</f>
        <v>Gemini Enterprise Agent Platform</v>
      </c>
    </row>
    <row r="1265">
      <c r="A1265" s="4" t="str">
        <f>IFERROR(__xludf.DUMMYFUNCTION("""COMPUTED_VALUE"""),"DME3241")</f>
        <v>DME3241</v>
      </c>
      <c r="B1265" s="4" t="str">
        <f>IFERROR(__xludf.DUMMYFUNCTION("""COMPUTED_VALUE"""),"Karan Mahendra Tiwari")</f>
        <v>Karan Mahendra Tiwari</v>
      </c>
      <c r="C1265" s="4" t="str">
        <f>IFERROR(__xludf.DUMMYFUNCTION("""COMPUTED_VALUE"""),"karan.tiwari@onixnet.com")</f>
        <v>karan.tiwari@onixnet.com</v>
      </c>
      <c r="D1265" s="4" t="str">
        <f>IFERROR(__xludf.DUMMYFUNCTION("""COMPUTED_VALUE"""),"Active")</f>
        <v>Active</v>
      </c>
      <c r="E1265" s="4" t="str">
        <f>IFERROR(__xludf.DUMMYFUNCTION("""COMPUTED_VALUE"""),"Delivery Services")</f>
        <v>Delivery Services</v>
      </c>
      <c r="F1265" s="4" t="str">
        <f>IFERROR(__xludf.DUMMYFUNCTION("""COMPUTED_VALUE"""),"Manoj Patil")</f>
        <v>Manoj Patil</v>
      </c>
      <c r="G1265" s="4" t="str">
        <f>IFERROR(__xludf.DUMMYFUNCTION("""COMPUTED_VALUE"""),"Cluster - Shreepad")</f>
        <v>Cluster - Shreepad</v>
      </c>
      <c r="H1265" s="4" t="str">
        <f>IFERROR(__xludf.DUMMYFUNCTION("""COMPUTED_VALUE"""),"ONIKTPSI2")</f>
        <v>ONIKTPSI2</v>
      </c>
      <c r="I1265" s="5">
        <f>IFERROR(__xludf.DUMMYFUNCTION("""COMPUTED_VALUE"""),9.0)</f>
        <v>9</v>
      </c>
      <c r="J1265" s="4" t="str">
        <f>IFERROR(__xludf.DUMMYFUNCTION("""COMPUTED_VALUE"""),"Tier 4")</f>
        <v>Tier 4</v>
      </c>
      <c r="K1265" s="4" t="str">
        <f>IFERROR(__xludf.DUMMYFUNCTION("""COMPUTED_VALUE"""),"Active")</f>
        <v>Active</v>
      </c>
      <c r="L1265" s="4" t="str">
        <f>IFERROR(__xludf.DUMMYFUNCTION("""COMPUTED_VALUE"""),"Google Kubernetes Engine")</f>
        <v>Google Kubernetes Engine</v>
      </c>
    </row>
    <row r="1266">
      <c r="A1266" s="4" t="str">
        <f>IFERROR(__xludf.DUMMYFUNCTION("""COMPUTED_VALUE"""),"DME3240")</f>
        <v>DME3240</v>
      </c>
      <c r="B1266" s="4" t="str">
        <f>IFERROR(__xludf.DUMMYFUNCTION("""COMPUTED_VALUE"""),"Chaitanya Dhananjay Pophaly")</f>
        <v>Chaitanya Dhananjay Pophaly</v>
      </c>
      <c r="C1266" s="4" t="str">
        <f>IFERROR(__xludf.DUMMYFUNCTION("""COMPUTED_VALUE"""),"chaitanya.pophaly@onixnet.com")</f>
        <v>chaitanya.pophaly@onixnet.com</v>
      </c>
      <c r="D1266" s="4" t="str">
        <f>IFERROR(__xludf.DUMMYFUNCTION("""COMPUTED_VALUE"""),"Active")</f>
        <v>Active</v>
      </c>
      <c r="E1266" s="4" t="str">
        <f>IFERROR(__xludf.DUMMYFUNCTION("""COMPUTED_VALUE"""),"Delivery Services")</f>
        <v>Delivery Services</v>
      </c>
      <c r="F1266" s="4" t="str">
        <f>IFERROR(__xludf.DUMMYFUNCTION("""COMPUTED_VALUE"""),"Pritesh Chaudhari")</f>
        <v>Pritesh Chaudhari</v>
      </c>
      <c r="G1266" s="4" t="str">
        <f>IFERROR(__xludf.DUMMYFUNCTION("""COMPUTED_VALUE"""),"Cluster - Sagar")</f>
        <v>Cluster - Sagar</v>
      </c>
      <c r="H1266" s="4" t="str">
        <f>IFERROR(__xludf.DUMMYFUNCTION("""COMPUTED_VALUE"""),"ONICPSHI6")</f>
        <v>ONICPSHI6</v>
      </c>
      <c r="I1266" s="5">
        <f>IFERROR(__xludf.DUMMYFUNCTION("""COMPUTED_VALUE"""),0.0)</f>
        <v>0</v>
      </c>
      <c r="J1266" s="4" t="str">
        <f>IFERROR(__xludf.DUMMYFUNCTION("""COMPUTED_VALUE"""),"Tier 4")</f>
        <v>Tier 4</v>
      </c>
      <c r="K1266" s="4" t="str">
        <f>IFERROR(__xludf.DUMMYFUNCTION("""COMPUTED_VALUE"""),"ID Created DRP score 0")</f>
        <v>ID Created DRP score 0</v>
      </c>
      <c r="L1266" s="4"/>
    </row>
    <row r="1267">
      <c r="A1267" s="4" t="str">
        <f>IFERROR(__xludf.DUMMYFUNCTION("""COMPUTED_VALUE"""),"DME3242")</f>
        <v>DME3242</v>
      </c>
      <c r="B1267" s="4" t="str">
        <f>IFERROR(__xludf.DUMMYFUNCTION("""COMPUTED_VALUE"""),"Abhishek Omkarnath Mishra")</f>
        <v>Abhishek Omkarnath Mishra</v>
      </c>
      <c r="C1267" s="4" t="str">
        <f>IFERROR(__xludf.DUMMYFUNCTION("""COMPUTED_VALUE"""),"abhishek.mishra@onixnet.com")</f>
        <v>abhishek.mishra@onixnet.com</v>
      </c>
      <c r="D1267" s="4" t="str">
        <f>IFERROR(__xludf.DUMMYFUNCTION("""COMPUTED_VALUE"""),"Active")</f>
        <v>Active</v>
      </c>
      <c r="E1267" s="4" t="str">
        <f>IFERROR(__xludf.DUMMYFUNCTION("""COMPUTED_VALUE"""),"Delivery Services")</f>
        <v>Delivery Services</v>
      </c>
      <c r="F1267" s="4" t="str">
        <f>IFERROR(__xludf.DUMMYFUNCTION("""COMPUTED_VALUE"""),"Mayur Kasar")</f>
        <v>Mayur Kasar</v>
      </c>
      <c r="G1267" s="4" t="str">
        <f>IFERROR(__xludf.DUMMYFUNCTION("""COMPUTED_VALUE"""),"Cluster - Varun")</f>
        <v>Cluster - Varun</v>
      </c>
      <c r="H1267" s="4" t="str">
        <f>IFERROR(__xludf.DUMMYFUNCTION("""COMPUTED_VALUE"""),"ONIAMOXV4")</f>
        <v>ONIAMOXV4</v>
      </c>
      <c r="I1267" s="5">
        <f>IFERROR(__xludf.DUMMYFUNCTION("""COMPUTED_VALUE"""),44.0)</f>
        <v>44</v>
      </c>
      <c r="J1267" s="4" t="str">
        <f>IFERROR(__xludf.DUMMYFUNCTION("""COMPUTED_VALUE"""),"Tier 2")</f>
        <v>Tier 2</v>
      </c>
      <c r="K1267" s="4" t="str">
        <f>IFERROR(__xludf.DUMMYFUNCTION("""COMPUTED_VALUE"""),"Active")</f>
        <v>Active</v>
      </c>
      <c r="L1267" s="4" t="str">
        <f>IFERROR(__xludf.DUMMYFUNCTION("""COMPUTED_VALUE"""),"Gemini Enterprise Agent Platform")</f>
        <v>Gemini Enterprise Agent Platform</v>
      </c>
    </row>
    <row r="1268">
      <c r="A1268" s="4" t="str">
        <f>IFERROR(__xludf.DUMMYFUNCTION("""COMPUTED_VALUE"""),"DME3245")</f>
        <v>DME3245</v>
      </c>
      <c r="B1268" s="4" t="str">
        <f>IFERROR(__xludf.DUMMYFUNCTION("""COMPUTED_VALUE"""),"Aayush Mishra")</f>
        <v>Aayush Mishra</v>
      </c>
      <c r="C1268" s="4" t="str">
        <f>IFERROR(__xludf.DUMMYFUNCTION("""COMPUTED_VALUE"""),"aayush.mishra@onixnet.com")</f>
        <v>aayush.mishra@onixnet.com</v>
      </c>
      <c r="D1268" s="4" t="str">
        <f>IFERROR(__xludf.DUMMYFUNCTION("""COMPUTED_VALUE"""),"Active")</f>
        <v>Active</v>
      </c>
      <c r="E1268" s="4" t="str">
        <f>IFERROR(__xludf.DUMMYFUNCTION("""COMPUTED_VALUE"""),"Delivery Services")</f>
        <v>Delivery Services</v>
      </c>
      <c r="F1268" s="4" t="str">
        <f>IFERROR(__xludf.DUMMYFUNCTION("""COMPUTED_VALUE"""),"Rahul Chandak")</f>
        <v>Rahul Chandak</v>
      </c>
      <c r="G1268" s="4" t="str">
        <f>IFERROR(__xludf.DUMMYFUNCTION("""COMPUTED_VALUE"""),"Cluster - Sagar")</f>
        <v>Cluster - Sagar</v>
      </c>
      <c r="H1268" s="4" t="str">
        <f>IFERROR(__xludf.DUMMYFUNCTION("""COMPUTED_VALUE"""),"ONIAMAAK5")</f>
        <v>ONIAMAAK5</v>
      </c>
      <c r="I1268" s="5">
        <f>IFERROR(__xludf.DUMMYFUNCTION("""COMPUTED_VALUE"""),5.0)</f>
        <v>5</v>
      </c>
      <c r="J1268" s="4" t="str">
        <f>IFERROR(__xludf.DUMMYFUNCTION("""COMPUTED_VALUE"""),"Tier 4")</f>
        <v>Tier 4</v>
      </c>
      <c r="K1268" s="4" t="str">
        <f>IFERROR(__xludf.DUMMYFUNCTION("""COMPUTED_VALUE"""),"Active")</f>
        <v>Active</v>
      </c>
      <c r="L1268" s="4" t="str">
        <f>IFERROR(__xludf.DUMMYFUNCTION("""COMPUTED_VALUE"""),"Gemini Enterprise Agent Platform")</f>
        <v>Gemini Enterprise Agent Platform</v>
      </c>
    </row>
    <row r="1269">
      <c r="A1269" s="4" t="str">
        <f>IFERROR(__xludf.DUMMYFUNCTION("""COMPUTED_VALUE"""),"DME3246")</f>
        <v>DME3246</v>
      </c>
      <c r="B1269" s="4" t="str">
        <f>IFERROR(__xludf.DUMMYFUNCTION("""COMPUTED_VALUE"""),"Hritik Giri")</f>
        <v>Hritik Giri</v>
      </c>
      <c r="C1269" s="4" t="str">
        <f>IFERROR(__xludf.DUMMYFUNCTION("""COMPUTED_VALUE"""),"hritik.giri@onixnet.com")</f>
        <v>hritik.giri@onixnet.com</v>
      </c>
      <c r="D1269" s="4" t="str">
        <f>IFERROR(__xludf.DUMMYFUNCTION("""COMPUTED_VALUE"""),"Active")</f>
        <v>Active</v>
      </c>
      <c r="E1269" s="4" t="str">
        <f>IFERROR(__xludf.DUMMYFUNCTION("""COMPUTED_VALUE"""),"Delivery Services")</f>
        <v>Delivery Services</v>
      </c>
      <c r="F1269" s="4" t="str">
        <f>IFERROR(__xludf.DUMMYFUNCTION("""COMPUTED_VALUE"""),"Lanyo Francis")</f>
        <v>Lanyo Francis</v>
      </c>
      <c r="G1269" s="4" t="str">
        <f>IFERROR(__xludf.DUMMYFUNCTION("""COMPUTED_VALUE"""),"Cluster - Devayani")</f>
        <v>Cluster - Devayani</v>
      </c>
      <c r="H1269" s="4" t="str">
        <f>IFERROR(__xludf.DUMMYFUNCTION("""COMPUTED_VALUE"""),"ONIHGOOT4")</f>
        <v>ONIHGOOT4</v>
      </c>
      <c r="I1269" s="5">
        <f>IFERROR(__xludf.DUMMYFUNCTION("""COMPUTED_VALUE"""),45.0)</f>
        <v>45</v>
      </c>
      <c r="J1269" s="4" t="str">
        <f>IFERROR(__xludf.DUMMYFUNCTION("""COMPUTED_VALUE"""),"Tier 2")</f>
        <v>Tier 2</v>
      </c>
      <c r="K1269" s="4" t="str">
        <f>IFERROR(__xludf.DUMMYFUNCTION("""COMPUTED_VALUE"""),"Active")</f>
        <v>Active</v>
      </c>
      <c r="L1269" s="4" t="str">
        <f>IFERROR(__xludf.DUMMYFUNCTION("""COMPUTED_VALUE"""),"Gemini Enterprise Agent Platform")</f>
        <v>Gemini Enterprise Agent Platform</v>
      </c>
    </row>
    <row r="1270">
      <c r="A1270" s="4" t="str">
        <f>IFERROR(__xludf.DUMMYFUNCTION("""COMPUTED_VALUE"""),"DME3248")</f>
        <v>DME3248</v>
      </c>
      <c r="B1270" s="4" t="str">
        <f>IFERROR(__xludf.DUMMYFUNCTION("""COMPUTED_VALUE"""),"Ujjwal Dawande")</f>
        <v>Ujjwal Dawande</v>
      </c>
      <c r="C1270" s="4" t="str">
        <f>IFERROR(__xludf.DUMMYFUNCTION("""COMPUTED_VALUE"""),"ujjwal.dawande@onixnet.com")</f>
        <v>ujjwal.dawande@onixnet.com</v>
      </c>
      <c r="D1270" s="4" t="str">
        <f>IFERROR(__xludf.DUMMYFUNCTION("""COMPUTED_VALUE"""),"Active")</f>
        <v>Active</v>
      </c>
      <c r="E1270" s="4" t="str">
        <f>IFERROR(__xludf.DUMMYFUNCTION("""COMPUTED_VALUE"""),"Delivery Services")</f>
        <v>Delivery Services</v>
      </c>
      <c r="F1270" s="4" t="str">
        <f>IFERROR(__xludf.DUMMYFUNCTION("""COMPUTED_VALUE"""),"Nisha Chandrakant Dhole")</f>
        <v>Nisha Chandrakant Dhole</v>
      </c>
      <c r="G1270" s="4" t="str">
        <f>IFERROR(__xludf.DUMMYFUNCTION("""COMPUTED_VALUE"""),"Cluster - Sagar")</f>
        <v>Cluster - Sagar</v>
      </c>
      <c r="H1270" s="4" t="str">
        <f>IFERROR(__xludf.DUMMYFUNCTION("""COMPUTED_VALUE"""),"ONIUDPFH6")</f>
        <v>ONIUDPFH6</v>
      </c>
      <c r="I1270" s="5">
        <f>IFERROR(__xludf.DUMMYFUNCTION("""COMPUTED_VALUE"""),9.0)</f>
        <v>9</v>
      </c>
      <c r="J1270" s="4" t="str">
        <f>IFERROR(__xludf.DUMMYFUNCTION("""COMPUTED_VALUE"""),"Tier 4")</f>
        <v>Tier 4</v>
      </c>
      <c r="K1270" s="4" t="str">
        <f>IFERROR(__xludf.DUMMYFUNCTION("""COMPUTED_VALUE"""),"Active")</f>
        <v>Active</v>
      </c>
      <c r="L1270" s="4" t="str">
        <f>IFERROR(__xludf.DUMMYFUNCTION("""COMPUTED_VALUE"""),"BigQuery")</f>
        <v>BigQuery</v>
      </c>
    </row>
    <row r="1271">
      <c r="A1271" s="4" t="str">
        <f>IFERROR(__xludf.DUMMYFUNCTION("""COMPUTED_VALUE"""),"DME3249")</f>
        <v>DME3249</v>
      </c>
      <c r="B1271" s="4" t="str">
        <f>IFERROR(__xludf.DUMMYFUNCTION("""COMPUTED_VALUE"""),"Chadar Suhas Digambar")</f>
        <v>Chadar Suhas Digambar</v>
      </c>
      <c r="C1271" s="4" t="str">
        <f>IFERROR(__xludf.DUMMYFUNCTION("""COMPUTED_VALUE"""),"suhas.chadar@onixnet.com")</f>
        <v>suhas.chadar@onixnet.com</v>
      </c>
      <c r="D1271" s="4" t="str">
        <f>IFERROR(__xludf.DUMMYFUNCTION("""COMPUTED_VALUE"""),"Active")</f>
        <v>Active</v>
      </c>
      <c r="E1271" s="4" t="str">
        <f>IFERROR(__xludf.DUMMYFUNCTION("""COMPUTED_VALUE"""),"Delivery Services")</f>
        <v>Delivery Services</v>
      </c>
      <c r="F1271" s="4" t="str">
        <f>IFERROR(__xludf.DUMMYFUNCTION("""COMPUTED_VALUE"""),"Amit Parekh")</f>
        <v>Amit Parekh</v>
      </c>
      <c r="G1271" s="4" t="str">
        <f>IFERROR(__xludf.DUMMYFUNCTION("""COMPUTED_VALUE"""),"Cluster - Sandeep")</f>
        <v>Cluster - Sandeep</v>
      </c>
      <c r="H1271" s="4" t="str">
        <f>IFERROR(__xludf.DUMMYFUNCTION("""COMPUTED_VALUE"""),"ONISCRUU1")</f>
        <v>ONISCRUU1</v>
      </c>
      <c r="I1271" s="5">
        <f>IFERROR(__xludf.DUMMYFUNCTION("""COMPUTED_VALUE"""),5.0)</f>
        <v>5</v>
      </c>
      <c r="J1271" s="4" t="str">
        <f>IFERROR(__xludf.DUMMYFUNCTION("""COMPUTED_VALUE"""),"Tier 4")</f>
        <v>Tier 4</v>
      </c>
      <c r="K1271" s="4" t="str">
        <f>IFERROR(__xludf.DUMMYFUNCTION("""COMPUTED_VALUE"""),"Active")</f>
        <v>Active</v>
      </c>
      <c r="L1271" s="4" t="str">
        <f>IFERROR(__xludf.DUMMYFUNCTION("""COMPUTED_VALUE"""),"Gemini Enterprise Agent Platform")</f>
        <v>Gemini Enterprise Agent Platform</v>
      </c>
    </row>
    <row r="1272">
      <c r="A1272" s="4" t="str">
        <f>IFERROR(__xludf.DUMMYFUNCTION("""COMPUTED_VALUE"""),"ONIX873")</f>
        <v>ONIX873</v>
      </c>
      <c r="B1272" s="4" t="str">
        <f>IFERROR(__xludf.DUMMYFUNCTION("""COMPUTED_VALUE"""),"Tanmay Ambegaokar")</f>
        <v>Tanmay Ambegaokar</v>
      </c>
      <c r="C1272" s="4" t="str">
        <f>IFERROR(__xludf.DUMMYFUNCTION("""COMPUTED_VALUE"""),"tanmay.ambegaokar@onixnet.us")</f>
        <v>tanmay.ambegaokar@onixnet.us</v>
      </c>
      <c r="D1272" s="4" t="str">
        <f>IFERROR(__xludf.DUMMYFUNCTION("""COMPUTED_VALUE"""),"Active")</f>
        <v>Active</v>
      </c>
      <c r="E1272" s="4" t="str">
        <f>IFERROR(__xludf.DUMMYFUNCTION("""COMPUTED_VALUE"""),"Sales BD")</f>
        <v>Sales BD</v>
      </c>
      <c r="F1272" s="4" t="str">
        <f>IFERROR(__xludf.DUMMYFUNCTION("""COMPUTED_VALUE"""),"Gautam Kotwal")</f>
        <v>Gautam Kotwal</v>
      </c>
      <c r="G1272" s="4" t="str">
        <f>IFERROR(__xludf.DUMMYFUNCTION("""COMPUTED_VALUE"""),"Portfolio - Ankur (Sales)")</f>
        <v>Portfolio - Ankur (Sales)</v>
      </c>
      <c r="H1272" s="4" t="str">
        <f>IFERROR(__xludf.DUMMYFUNCTION("""COMPUTED_VALUE"""),"ONITAAHW8")</f>
        <v>ONITAAHW8</v>
      </c>
      <c r="I1272" s="5">
        <f>IFERROR(__xludf.DUMMYFUNCTION("""COMPUTED_VALUE"""),0.0)</f>
        <v>0</v>
      </c>
      <c r="J1272" s="4" t="str">
        <f>IFERROR(__xludf.DUMMYFUNCTION("""COMPUTED_VALUE"""),"Tier 4")</f>
        <v>Tier 4</v>
      </c>
      <c r="K1272" s="4" t="str">
        <f>IFERROR(__xludf.DUMMYFUNCTION("""COMPUTED_VALUE"""),"ID Created DRP score 0")</f>
        <v>ID Created DRP score 0</v>
      </c>
      <c r="L1272" s="4"/>
    </row>
    <row r="1273">
      <c r="A1273" s="4" t="str">
        <f>IFERROR(__xludf.DUMMYFUNCTION("""COMPUTED_VALUE"""),"DME3250")</f>
        <v>DME3250</v>
      </c>
      <c r="B1273" s="4" t="str">
        <f>IFERROR(__xludf.DUMMYFUNCTION("""COMPUTED_VALUE"""),"Shruti Mishra")</f>
        <v>Shruti Mishra</v>
      </c>
      <c r="C1273" s="4" t="str">
        <f>IFERROR(__xludf.DUMMYFUNCTION("""COMPUTED_VALUE"""),"shruti.mishra@onixnet.com")</f>
        <v>shruti.mishra@onixnet.com</v>
      </c>
      <c r="D1273" s="4" t="str">
        <f>IFERROR(__xludf.DUMMYFUNCTION("""COMPUTED_VALUE"""),"Active")</f>
        <v>Active</v>
      </c>
      <c r="E1273" s="4" t="str">
        <f>IFERROR(__xludf.DUMMYFUNCTION("""COMPUTED_VALUE"""),"Delivery Services")</f>
        <v>Delivery Services</v>
      </c>
      <c r="F1273" s="4" t="str">
        <f>IFERROR(__xludf.DUMMYFUNCTION("""COMPUTED_VALUE"""),"Jitender Singh")</f>
        <v>Jitender Singh</v>
      </c>
      <c r="G1273" s="4" t="str">
        <f>IFERROR(__xludf.DUMMYFUNCTION("""COMPUTED_VALUE"""),"Cluster - Gaurav")</f>
        <v>Cluster - Gaurav</v>
      </c>
      <c r="H1273" s="4" t="str">
        <f>IFERROR(__xludf.DUMMYFUNCTION("""COMPUTED_VALUE"""),"ONISMOLE9")</f>
        <v>ONISMOLE9</v>
      </c>
      <c r="I1273" s="5">
        <f>IFERROR(__xludf.DUMMYFUNCTION("""COMPUTED_VALUE"""),0.0)</f>
        <v>0</v>
      </c>
      <c r="J1273" s="4" t="str">
        <f>IFERROR(__xludf.DUMMYFUNCTION("""COMPUTED_VALUE"""),"Tier 4")</f>
        <v>Tier 4</v>
      </c>
      <c r="K1273" s="4" t="str">
        <f>IFERROR(__xludf.DUMMYFUNCTION("""COMPUTED_VALUE"""),"ID Created DRP score 0")</f>
        <v>ID Created DRP score 0</v>
      </c>
      <c r="L1273" s="4"/>
    </row>
    <row r="1274">
      <c r="A1274" s="4" t="str">
        <f>IFERROR(__xludf.DUMMYFUNCTION("""COMPUTED_VALUE"""),"DMEU0003")</f>
        <v>DMEU0003</v>
      </c>
      <c r="B1274" s="4" t="str">
        <f>IFERROR(__xludf.DUMMYFUNCTION("""COMPUTED_VALUE"""),"Shawn Walsh")</f>
        <v>Shawn Walsh</v>
      </c>
      <c r="C1274" s="4" t="str">
        <f>IFERROR(__xludf.DUMMYFUNCTION("""COMPUTED_VALUE"""),"shawn.walsh@onixnet.com")</f>
        <v>shawn.walsh@onixnet.com</v>
      </c>
      <c r="D1274" s="4" t="str">
        <f>IFERROR(__xludf.DUMMYFUNCTION("""COMPUTED_VALUE"""),"Active")</f>
        <v>Active</v>
      </c>
      <c r="E1274" s="4" t="str">
        <f>IFERROR(__xludf.DUMMYFUNCTION("""COMPUTED_VALUE"""),"Solutions and Pre-Sales")</f>
        <v>Solutions and Pre-Sales</v>
      </c>
      <c r="F1274" s="4" t="str">
        <f>IFERROR(__xludf.DUMMYFUNCTION("""COMPUTED_VALUE"""),"Vittorio Massimo Sanvito")</f>
        <v>Vittorio Massimo Sanvito</v>
      </c>
      <c r="G1274" s="4" t="str">
        <f>IFERROR(__xludf.DUMMYFUNCTION("""COMPUTED_VALUE"""),"Portfolio - Ankur (Sales)")</f>
        <v>Portfolio - Ankur (Sales)</v>
      </c>
      <c r="H1274" s="4" t="str">
        <f>IFERROR(__xludf.DUMMYFUNCTION("""COMPUTED_VALUE"""),"ONISWBFT4")</f>
        <v>ONISWBFT4</v>
      </c>
      <c r="I1274" s="5">
        <f>IFERROR(__xludf.DUMMYFUNCTION("""COMPUTED_VALUE"""),0.0)</f>
        <v>0</v>
      </c>
      <c r="J1274" s="4" t="str">
        <f>IFERROR(__xludf.DUMMYFUNCTION("""COMPUTED_VALUE"""),"Tier 4")</f>
        <v>Tier 4</v>
      </c>
      <c r="K1274" s="4" t="str">
        <f>IFERROR(__xludf.DUMMYFUNCTION("""COMPUTED_VALUE"""),"ID Created DRP score 0")</f>
        <v>ID Created DRP score 0</v>
      </c>
      <c r="L1274" s="4"/>
    </row>
    <row r="1275">
      <c r="A1275" s="4" t="str">
        <f>IFERROR(__xludf.DUMMYFUNCTION("""COMPUTED_VALUE"""),"DME3251")</f>
        <v>DME3251</v>
      </c>
      <c r="B1275" s="4" t="str">
        <f>IFERROR(__xludf.DUMMYFUNCTION("""COMPUTED_VALUE"""),"Rahul Salve")</f>
        <v>Rahul Salve</v>
      </c>
      <c r="C1275" s="4" t="str">
        <f>IFERROR(__xludf.DUMMYFUNCTION("""COMPUTED_VALUE"""),"rahul.salve@onixnet.com")</f>
        <v>rahul.salve@onixnet.com</v>
      </c>
      <c r="D1275" s="4" t="str">
        <f>IFERROR(__xludf.DUMMYFUNCTION("""COMPUTED_VALUE"""),"Active")</f>
        <v>Active</v>
      </c>
      <c r="E1275" s="4" t="str">
        <f>IFERROR(__xludf.DUMMYFUNCTION("""COMPUTED_VALUE"""),"Delivery Services")</f>
        <v>Delivery Services</v>
      </c>
      <c r="F1275" s="4"/>
      <c r="G1275" s="4"/>
      <c r="H1275" s="4" t="str">
        <f>IFERROR(__xludf.DUMMYFUNCTION("""COMPUTED_VALUE"""),"ONIRSMZV2")</f>
        <v>ONIRSMZV2</v>
      </c>
      <c r="I1275" s="5">
        <f>IFERROR(__xludf.DUMMYFUNCTION("""COMPUTED_VALUE"""),19.0)</f>
        <v>19</v>
      </c>
      <c r="J1275" s="4" t="str">
        <f>IFERROR(__xludf.DUMMYFUNCTION("""COMPUTED_VALUE"""),"Tier 4")</f>
        <v>Tier 4</v>
      </c>
      <c r="K1275" s="4" t="str">
        <f>IFERROR(__xludf.DUMMYFUNCTION("""COMPUTED_VALUE"""),"Active")</f>
        <v>Active</v>
      </c>
      <c r="L1275" s="4" t="str">
        <f>IFERROR(__xludf.DUMMYFUNCTION("""COMPUTED_VALUE"""),"Apigee API Management")</f>
        <v>Apigee API Management</v>
      </c>
    </row>
    <row r="1276">
      <c r="A1276" s="4" t="str">
        <f>IFERROR(__xludf.DUMMYFUNCTION("""COMPUTED_VALUE"""),"DME3375")</f>
        <v>DME3375</v>
      </c>
      <c r="B1276" s="4" t="str">
        <f>IFERROR(__xludf.DUMMYFUNCTION("""COMPUTED_VALUE"""),"Shivangi Makarand Safai")</f>
        <v>Shivangi Makarand Safai</v>
      </c>
      <c r="C1276" s="4" t="str">
        <f>IFERROR(__xludf.DUMMYFUNCTION("""COMPUTED_VALUE"""),"shivangi.safai@onixnet.com")</f>
        <v>shivangi.safai@onixnet.com</v>
      </c>
      <c r="D1276" s="4" t="str">
        <f>IFERROR(__xludf.DUMMYFUNCTION("""COMPUTED_VALUE"""),"Active")</f>
        <v>Active</v>
      </c>
      <c r="E1276" s="4" t="str">
        <f>IFERROR(__xludf.DUMMYFUNCTION("""COMPUTED_VALUE"""),"Delivery Services")</f>
        <v>Delivery Services</v>
      </c>
      <c r="F1276" s="4" t="str">
        <f>IFERROR(__xludf.DUMMYFUNCTION("""COMPUTED_VALUE"""),"Pooja Chawda")</f>
        <v>Pooja Chawda</v>
      </c>
      <c r="G1276" s="4" t="str">
        <f>IFERROR(__xludf.DUMMYFUNCTION("""COMPUTED_VALUE"""),"Cluster - Sandeep")</f>
        <v>Cluster - Sandeep</v>
      </c>
      <c r="H1276" s="4" t="str">
        <f>IFERROR(__xludf.DUMMYFUNCTION("""COMPUTED_VALUE"""),"ONISSHMO0")</f>
        <v>ONISSHMO0</v>
      </c>
      <c r="I1276" s="5">
        <f>IFERROR(__xludf.DUMMYFUNCTION("""COMPUTED_VALUE"""),47.0)</f>
        <v>47</v>
      </c>
      <c r="J1276" s="4" t="str">
        <f>IFERROR(__xludf.DUMMYFUNCTION("""COMPUTED_VALUE"""),"Tier 2")</f>
        <v>Tier 2</v>
      </c>
      <c r="K1276" s="4" t="str">
        <f>IFERROR(__xludf.DUMMYFUNCTION("""COMPUTED_VALUE"""),"Active")</f>
        <v>Active</v>
      </c>
      <c r="L1276" s="4" t="str">
        <f>IFERROR(__xludf.DUMMYFUNCTION("""COMPUTED_VALUE"""),"Gemini Enterprise Agent Platform")</f>
        <v>Gemini Enterprise Agent Platform</v>
      </c>
    </row>
    <row r="1277">
      <c r="A1277" s="4" t="str">
        <f>IFERROR(__xludf.DUMMYFUNCTION("""COMPUTED_VALUE"""),"DME3252")</f>
        <v>DME3252</v>
      </c>
      <c r="B1277" s="4" t="str">
        <f>IFERROR(__xludf.DUMMYFUNCTION("""COMPUTED_VALUE"""),"Sadaf Perveen")</f>
        <v>Sadaf Perveen</v>
      </c>
      <c r="C1277" s="4" t="str">
        <f>IFERROR(__xludf.DUMMYFUNCTION("""COMPUTED_VALUE"""),"sadaf.perveen@onixnet.com")</f>
        <v>sadaf.perveen@onixnet.com</v>
      </c>
      <c r="D1277" s="4" t="str">
        <f>IFERROR(__xludf.DUMMYFUNCTION("""COMPUTED_VALUE"""),"Active")</f>
        <v>Active</v>
      </c>
      <c r="E1277" s="4" t="str">
        <f>IFERROR(__xludf.DUMMYFUNCTION("""COMPUTED_VALUE"""),"Delivery Services")</f>
        <v>Delivery Services</v>
      </c>
      <c r="F1277" s="4" t="str">
        <f>IFERROR(__xludf.DUMMYFUNCTION("""COMPUTED_VALUE"""),"Vijender Bhardwaj")</f>
        <v>Vijender Bhardwaj</v>
      </c>
      <c r="G1277" s="4" t="str">
        <f>IFERROR(__xludf.DUMMYFUNCTION("""COMPUTED_VALUE"""),"Cluster - Varun")</f>
        <v>Cluster - Varun</v>
      </c>
      <c r="H1277" s="4" t="str">
        <f>IFERROR(__xludf.DUMMYFUNCTION("""COMPUTED_VALUE"""),"ONISPRCG0")</f>
        <v>ONISPRCG0</v>
      </c>
      <c r="I1277" s="5">
        <f>IFERROR(__xludf.DUMMYFUNCTION("""COMPUTED_VALUE"""),10.0)</f>
        <v>10</v>
      </c>
      <c r="J1277" s="4" t="str">
        <f>IFERROR(__xludf.DUMMYFUNCTION("""COMPUTED_VALUE"""),"Tier 4")</f>
        <v>Tier 4</v>
      </c>
      <c r="K1277" s="4" t="str">
        <f>IFERROR(__xludf.DUMMYFUNCTION("""COMPUTED_VALUE"""),"Active")</f>
        <v>Active</v>
      </c>
      <c r="L1277" s="4" t="str">
        <f>IFERROR(__xludf.DUMMYFUNCTION("""COMPUTED_VALUE"""),"BigQuery")</f>
        <v>BigQuery</v>
      </c>
    </row>
    <row r="1278">
      <c r="A1278" s="4" t="str">
        <f>IFERROR(__xludf.DUMMYFUNCTION("""COMPUTED_VALUE"""),"DME3253")</f>
        <v>DME3253</v>
      </c>
      <c r="B1278" s="4" t="str">
        <f>IFERROR(__xludf.DUMMYFUNCTION("""COMPUTED_VALUE"""),"Vishwas Ashok Narute")</f>
        <v>Vishwas Ashok Narute</v>
      </c>
      <c r="C1278" s="4" t="str">
        <f>IFERROR(__xludf.DUMMYFUNCTION("""COMPUTED_VALUE"""),"vishwas.narute@onixnet.com")</f>
        <v>vishwas.narute@onixnet.com</v>
      </c>
      <c r="D1278" s="4" t="str">
        <f>IFERROR(__xludf.DUMMYFUNCTION("""COMPUTED_VALUE"""),"Active")</f>
        <v>Active</v>
      </c>
      <c r="E1278" s="4" t="str">
        <f>IFERROR(__xludf.DUMMYFUNCTION("""COMPUTED_VALUE"""),"Delivery Services")</f>
        <v>Delivery Services</v>
      </c>
      <c r="F1278" s="4" t="str">
        <f>IFERROR(__xludf.DUMMYFUNCTION("""COMPUTED_VALUE"""),"Sneha Bhatambrekar")</f>
        <v>Sneha Bhatambrekar</v>
      </c>
      <c r="G1278" s="4" t="str">
        <f>IFERROR(__xludf.DUMMYFUNCTION("""COMPUTED_VALUE"""),"Cluster - Sandeep")</f>
        <v>Cluster - Sandeep</v>
      </c>
      <c r="H1278" s="4" t="str">
        <f>IFERROR(__xludf.DUMMYFUNCTION("""COMPUTED_VALUE"""),"ONIVNAJQ8")</f>
        <v>ONIVNAJQ8</v>
      </c>
      <c r="I1278" s="5">
        <f>IFERROR(__xludf.DUMMYFUNCTION("""COMPUTED_VALUE"""),25.0)</f>
        <v>25</v>
      </c>
      <c r="J1278" s="4" t="str">
        <f>IFERROR(__xludf.DUMMYFUNCTION("""COMPUTED_VALUE"""),"Tier 3")</f>
        <v>Tier 3</v>
      </c>
      <c r="K1278" s="4" t="str">
        <f>IFERROR(__xludf.DUMMYFUNCTION("""COMPUTED_VALUE"""),"Active")</f>
        <v>Active</v>
      </c>
      <c r="L1278" s="4" t="str">
        <f>IFERROR(__xludf.DUMMYFUNCTION("""COMPUTED_VALUE"""),"BigQuery")</f>
        <v>BigQuery</v>
      </c>
    </row>
    <row r="1279">
      <c r="A1279" s="4" t="str">
        <f>IFERROR(__xludf.DUMMYFUNCTION("""COMPUTED_VALUE"""),"DME3254")</f>
        <v>DME3254</v>
      </c>
      <c r="B1279" s="4" t="str">
        <f>IFERROR(__xludf.DUMMYFUNCTION("""COMPUTED_VALUE"""),"Priyanka Kumari")</f>
        <v>Priyanka Kumari</v>
      </c>
      <c r="C1279" s="4" t="str">
        <f>IFERROR(__xludf.DUMMYFUNCTION("""COMPUTED_VALUE"""),"priyanka.kumari@onixnet.com")</f>
        <v>priyanka.kumari@onixnet.com</v>
      </c>
      <c r="D1279" s="4" t="str">
        <f>IFERROR(__xludf.DUMMYFUNCTION("""COMPUTED_VALUE"""),"Active")</f>
        <v>Active</v>
      </c>
      <c r="E1279" s="4" t="str">
        <f>IFERROR(__xludf.DUMMYFUNCTION("""COMPUTED_VALUE"""),"Delivery Services")</f>
        <v>Delivery Services</v>
      </c>
      <c r="F1279" s="4" t="str">
        <f>IFERROR(__xludf.DUMMYFUNCTION("""COMPUTED_VALUE"""),"G Venkatramana")</f>
        <v>G Venkatramana</v>
      </c>
      <c r="G1279" s="4" t="str">
        <f>IFERROR(__xludf.DUMMYFUNCTION("""COMPUTED_VALUE"""),"Cluster - Sachin")</f>
        <v>Cluster - Sachin</v>
      </c>
      <c r="H1279" s="4" t="str">
        <f>IFERROR(__xludf.DUMMYFUNCTION("""COMPUTED_VALUE"""),"ONIPKIAP9")</f>
        <v>ONIPKIAP9</v>
      </c>
      <c r="I1279" s="5">
        <f>IFERROR(__xludf.DUMMYFUNCTION("""COMPUTED_VALUE"""),5.0)</f>
        <v>5</v>
      </c>
      <c r="J1279" s="4" t="str">
        <f>IFERROR(__xludf.DUMMYFUNCTION("""COMPUTED_VALUE"""),"Tier 4")</f>
        <v>Tier 4</v>
      </c>
      <c r="K1279" s="4" t="str">
        <f>IFERROR(__xludf.DUMMYFUNCTION("""COMPUTED_VALUE"""),"Active")</f>
        <v>Active</v>
      </c>
      <c r="L1279" s="4" t="str">
        <f>IFERROR(__xludf.DUMMYFUNCTION("""COMPUTED_VALUE"""),"BigQuery")</f>
        <v>BigQuery</v>
      </c>
    </row>
    <row r="1280">
      <c r="A1280" s="4" t="str">
        <f>IFERROR(__xludf.DUMMYFUNCTION("""COMPUTED_VALUE"""),"DME3255")</f>
        <v>DME3255</v>
      </c>
      <c r="B1280" s="4" t="str">
        <f>IFERROR(__xludf.DUMMYFUNCTION("""COMPUTED_VALUE"""),"Anushka Singh Chauhan")</f>
        <v>Anushka Singh Chauhan</v>
      </c>
      <c r="C1280" s="4" t="str">
        <f>IFERROR(__xludf.DUMMYFUNCTION("""COMPUTED_VALUE"""),"anushka.chauhan@onixnet.com")</f>
        <v>anushka.chauhan@onixnet.com</v>
      </c>
      <c r="D1280" s="4" t="str">
        <f>IFERROR(__xludf.DUMMYFUNCTION("""COMPUTED_VALUE"""),"Active")</f>
        <v>Active</v>
      </c>
      <c r="E1280" s="4" t="str">
        <f>IFERROR(__xludf.DUMMYFUNCTION("""COMPUTED_VALUE"""),"Product Engineering")</f>
        <v>Product Engineering</v>
      </c>
      <c r="F1280" s="4" t="str">
        <f>IFERROR(__xludf.DUMMYFUNCTION("""COMPUTED_VALUE"""),"Gayathri Keerthivasagam")</f>
        <v>Gayathri Keerthivasagam</v>
      </c>
      <c r="G1280" s="4" t="str">
        <f>IFERROR(__xludf.DUMMYFUNCTION("""COMPUTED_VALUE"""),"Cluster - Mayur")</f>
        <v>Cluster - Mayur</v>
      </c>
      <c r="H1280" s="4" t="str">
        <f>IFERROR(__xludf.DUMMYFUNCTION("""COMPUTED_VALUE"""),"ONIACHYW9")</f>
        <v>ONIACHYW9</v>
      </c>
      <c r="I1280" s="5">
        <f>IFERROR(__xludf.DUMMYFUNCTION("""COMPUTED_VALUE"""),0.0)</f>
        <v>0</v>
      </c>
      <c r="J1280" s="4" t="str">
        <f>IFERROR(__xludf.DUMMYFUNCTION("""COMPUTED_VALUE"""),"Tier 4")</f>
        <v>Tier 4</v>
      </c>
      <c r="K1280" s="4" t="str">
        <f>IFERROR(__xludf.DUMMYFUNCTION("""COMPUTED_VALUE"""),"ID Created DRP score 0")</f>
        <v>ID Created DRP score 0</v>
      </c>
      <c r="L1280" s="4"/>
    </row>
    <row r="1281">
      <c r="A1281" s="4" t="str">
        <f>IFERROR(__xludf.DUMMYFUNCTION("""COMPUTED_VALUE"""),"DME3256")</f>
        <v>DME3256</v>
      </c>
      <c r="B1281" s="4" t="str">
        <f>IFERROR(__xludf.DUMMYFUNCTION("""COMPUTED_VALUE"""),"Atharva Alok Deshpande")</f>
        <v>Atharva Alok Deshpande</v>
      </c>
      <c r="C1281" s="4" t="str">
        <f>IFERROR(__xludf.DUMMYFUNCTION("""COMPUTED_VALUE"""),"atharva.deshpande@onixnet.com")</f>
        <v>atharva.deshpande@onixnet.com</v>
      </c>
      <c r="D1281" s="4" t="str">
        <f>IFERROR(__xludf.DUMMYFUNCTION("""COMPUTED_VALUE"""),"Active")</f>
        <v>Active</v>
      </c>
      <c r="E1281" s="4" t="str">
        <f>IFERROR(__xludf.DUMMYFUNCTION("""COMPUTED_VALUE"""),"Product Engineering")</f>
        <v>Product Engineering</v>
      </c>
      <c r="F1281" s="4" t="str">
        <f>IFERROR(__xludf.DUMMYFUNCTION("""COMPUTED_VALUE"""),"Kamlesh Kumar")</f>
        <v>Kamlesh Kumar</v>
      </c>
      <c r="G1281" s="4" t="str">
        <f>IFERROR(__xludf.DUMMYFUNCTION("""COMPUTED_VALUE"""),"Cluster - Mayur")</f>
        <v>Cluster - Mayur</v>
      </c>
      <c r="H1281" s="4" t="str">
        <f>IFERROR(__xludf.DUMMYFUNCTION("""COMPUTED_VALUE"""),"ONIADOAC6")</f>
        <v>ONIADOAC6</v>
      </c>
      <c r="I1281" s="5">
        <f>IFERROR(__xludf.DUMMYFUNCTION("""COMPUTED_VALUE"""),5.0)</f>
        <v>5</v>
      </c>
      <c r="J1281" s="4" t="str">
        <f>IFERROR(__xludf.DUMMYFUNCTION("""COMPUTED_VALUE"""),"Tier 4")</f>
        <v>Tier 4</v>
      </c>
      <c r="K1281" s="4" t="str">
        <f>IFERROR(__xludf.DUMMYFUNCTION("""COMPUTED_VALUE"""),"Active")</f>
        <v>Active</v>
      </c>
      <c r="L1281" s="4" t="str">
        <f>IFERROR(__xludf.DUMMYFUNCTION("""COMPUTED_VALUE"""),"BigQuery")</f>
        <v>BigQuery</v>
      </c>
    </row>
    <row r="1282">
      <c r="A1282" s="4" t="str">
        <f>IFERROR(__xludf.DUMMYFUNCTION("""COMPUTED_VALUE"""),"DME3257")</f>
        <v>DME3257</v>
      </c>
      <c r="B1282" s="4" t="str">
        <f>IFERROR(__xludf.DUMMYFUNCTION("""COMPUTED_VALUE"""),"Rucha Chandrashekhar Kulkarni")</f>
        <v>Rucha Chandrashekhar Kulkarni</v>
      </c>
      <c r="C1282" s="4" t="str">
        <f>IFERROR(__xludf.DUMMYFUNCTION("""COMPUTED_VALUE"""),"rucha.kulkarni@onixnet.com")</f>
        <v>rucha.kulkarni@onixnet.com</v>
      </c>
      <c r="D1282" s="4" t="str">
        <f>IFERROR(__xludf.DUMMYFUNCTION("""COMPUTED_VALUE"""),"Active")</f>
        <v>Active</v>
      </c>
      <c r="E1282" s="4" t="str">
        <f>IFERROR(__xludf.DUMMYFUNCTION("""COMPUTED_VALUE"""),"Delivery Services")</f>
        <v>Delivery Services</v>
      </c>
      <c r="F1282" s="4" t="str">
        <f>IFERROR(__xludf.DUMMYFUNCTION("""COMPUTED_VALUE"""),"Rashid Anwar")</f>
        <v>Rashid Anwar</v>
      </c>
      <c r="G1282" s="4" t="str">
        <f>IFERROR(__xludf.DUMMYFUNCTION("""COMPUTED_VALUE"""),"Cluster - Sagar")</f>
        <v>Cluster - Sagar</v>
      </c>
      <c r="H1282" s="4" t="str">
        <f>IFERROR(__xludf.DUMMYFUNCTION("""COMPUTED_VALUE"""),"ONIRKAYU6")</f>
        <v>ONIRKAYU6</v>
      </c>
      <c r="I1282" s="5">
        <f>IFERROR(__xludf.DUMMYFUNCTION("""COMPUTED_VALUE"""),30.0)</f>
        <v>30</v>
      </c>
      <c r="J1282" s="4" t="str">
        <f>IFERROR(__xludf.DUMMYFUNCTION("""COMPUTED_VALUE"""),"Tier 3")</f>
        <v>Tier 3</v>
      </c>
      <c r="K1282" s="4" t="str">
        <f>IFERROR(__xludf.DUMMYFUNCTION("""COMPUTED_VALUE"""),"Active")</f>
        <v>Active</v>
      </c>
      <c r="L1282" s="4" t="str">
        <f>IFERROR(__xludf.DUMMYFUNCTION("""COMPUTED_VALUE"""),"Gemini Enterprise Agent Platform")</f>
        <v>Gemini Enterprise Agent Platform</v>
      </c>
    </row>
    <row r="1283">
      <c r="A1283" s="4" t="str">
        <f>IFERROR(__xludf.DUMMYFUNCTION("""COMPUTED_VALUE"""),"DME3258")</f>
        <v>DME3258</v>
      </c>
      <c r="B1283" s="4" t="str">
        <f>IFERROR(__xludf.DUMMYFUNCTION("""COMPUTED_VALUE"""),"Jyoti Khurma")</f>
        <v>Jyoti Khurma</v>
      </c>
      <c r="C1283" s="4" t="str">
        <f>IFERROR(__xludf.DUMMYFUNCTION("""COMPUTED_VALUE"""),"jyoti.khurma@onixnet.com")</f>
        <v>jyoti.khurma@onixnet.com</v>
      </c>
      <c r="D1283" s="4" t="str">
        <f>IFERROR(__xludf.DUMMYFUNCTION("""COMPUTED_VALUE"""),"Active")</f>
        <v>Active</v>
      </c>
      <c r="E1283" s="4" t="str">
        <f>IFERROR(__xludf.DUMMYFUNCTION("""COMPUTED_VALUE"""),"Delivery Services")</f>
        <v>Delivery Services</v>
      </c>
      <c r="F1283" s="4" t="str">
        <f>IFERROR(__xludf.DUMMYFUNCTION("""COMPUTED_VALUE"""),"Ajit Mohite")</f>
        <v>Ajit Mohite</v>
      </c>
      <c r="G1283" s="4" t="str">
        <f>IFERROR(__xludf.DUMMYFUNCTION("""COMPUTED_VALUE"""),"Cluster - Shreepad")</f>
        <v>Cluster - Shreepad</v>
      </c>
      <c r="H1283" s="4" t="str">
        <f>IFERROR(__xludf.DUMMYFUNCTION("""COMPUTED_VALUE"""),"ONIJKQNB8")</f>
        <v>ONIJKQNB8</v>
      </c>
      <c r="I1283" s="5">
        <f>IFERROR(__xludf.DUMMYFUNCTION("""COMPUTED_VALUE"""),6.0)</f>
        <v>6</v>
      </c>
      <c r="J1283" s="4" t="str">
        <f>IFERROR(__xludf.DUMMYFUNCTION("""COMPUTED_VALUE"""),"Tier 4")</f>
        <v>Tier 4</v>
      </c>
      <c r="K1283" s="4" t="str">
        <f>IFERROR(__xludf.DUMMYFUNCTION("""COMPUTED_VALUE"""),"Active")</f>
        <v>Active</v>
      </c>
      <c r="L1283" s="4" t="str">
        <f>IFERROR(__xludf.DUMMYFUNCTION("""COMPUTED_VALUE"""),"AI Applications")</f>
        <v>AI Applications</v>
      </c>
    </row>
    <row r="1284">
      <c r="A1284" s="4" t="str">
        <f>IFERROR(__xludf.DUMMYFUNCTION("""COMPUTED_VALUE"""),"DME3259")</f>
        <v>DME3259</v>
      </c>
      <c r="B1284" s="4" t="str">
        <f>IFERROR(__xludf.DUMMYFUNCTION("""COMPUTED_VALUE"""),"Aditya Rathore")</f>
        <v>Aditya Rathore</v>
      </c>
      <c r="C1284" s="4" t="str">
        <f>IFERROR(__xludf.DUMMYFUNCTION("""COMPUTED_VALUE"""),"aditya.rathore@onixnet.com")</f>
        <v>aditya.rathore@onixnet.com</v>
      </c>
      <c r="D1284" s="4" t="str">
        <f>IFERROR(__xludf.DUMMYFUNCTION("""COMPUTED_VALUE"""),"Active")</f>
        <v>Active</v>
      </c>
      <c r="E1284" s="4" t="str">
        <f>IFERROR(__xludf.DUMMYFUNCTION("""COMPUTED_VALUE"""),"Delivery Services")</f>
        <v>Delivery Services</v>
      </c>
      <c r="F1284" s="4" t="str">
        <f>IFERROR(__xludf.DUMMYFUNCTION("""COMPUTED_VALUE"""),"Chahat Patni")</f>
        <v>Chahat Patni</v>
      </c>
      <c r="G1284" s="4" t="str">
        <f>IFERROR(__xludf.DUMMYFUNCTION("""COMPUTED_VALUE"""),"Cluster - Kalpa")</f>
        <v>Cluster - Kalpa</v>
      </c>
      <c r="H1284" s="4" t="str">
        <f>IFERROR(__xludf.DUMMYFUNCTION("""COMPUTED_VALUE"""),"ONIARJSY2")</f>
        <v>ONIARJSY2</v>
      </c>
      <c r="I1284" s="5">
        <f>IFERROR(__xludf.DUMMYFUNCTION("""COMPUTED_VALUE"""),0.0)</f>
        <v>0</v>
      </c>
      <c r="J1284" s="4" t="str">
        <f>IFERROR(__xludf.DUMMYFUNCTION("""COMPUTED_VALUE"""),"Tier 4")</f>
        <v>Tier 4</v>
      </c>
      <c r="K1284" s="4" t="str">
        <f>IFERROR(__xludf.DUMMYFUNCTION("""COMPUTED_VALUE"""),"ID Created DRP score 0")</f>
        <v>ID Created DRP score 0</v>
      </c>
      <c r="L1284" s="4"/>
    </row>
    <row r="1285">
      <c r="A1285" s="4" t="str">
        <f>IFERROR(__xludf.DUMMYFUNCTION("""COMPUTED_VALUE"""),"DMC1175")</f>
        <v>DMC1175</v>
      </c>
      <c r="B1285" s="4" t="str">
        <f>IFERROR(__xludf.DUMMYFUNCTION("""COMPUTED_VALUE"""),"Vaibhav Baburao Sontakke")</f>
        <v>Vaibhav Baburao Sontakke</v>
      </c>
      <c r="C1285" s="4" t="str">
        <f>IFERROR(__xludf.DUMMYFUNCTION("""COMPUTED_VALUE"""),"vaibhav.sontakke@onixnet.us")</f>
        <v>vaibhav.sontakke@onixnet.us</v>
      </c>
      <c r="D1285" s="4" t="str">
        <f>IFERROR(__xludf.DUMMYFUNCTION("""COMPUTED_VALUE"""),"Active")</f>
        <v>Active</v>
      </c>
      <c r="E1285" s="4" t="str">
        <f>IFERROR(__xludf.DUMMYFUNCTION("""COMPUTED_VALUE"""),"Delivery Services")</f>
        <v>Delivery Services</v>
      </c>
      <c r="F1285" s="4" t="str">
        <f>IFERROR(__xludf.DUMMYFUNCTION("""COMPUTED_VALUE"""),"Mayur Tawhare")</f>
        <v>Mayur Tawhare</v>
      </c>
      <c r="G1285" s="4" t="str">
        <f>IFERROR(__xludf.DUMMYFUNCTION("""COMPUTED_VALUE"""),"Cluster - Varun")</f>
        <v>Cluster - Varun</v>
      </c>
      <c r="H1285" s="4" t="str">
        <f>IFERROR(__xludf.DUMMYFUNCTION("""COMPUTED_VALUE"""),"ONIVSGVW7")</f>
        <v>ONIVSGVW7</v>
      </c>
      <c r="I1285" s="5">
        <f>IFERROR(__xludf.DUMMYFUNCTION("""COMPUTED_VALUE"""),5.0)</f>
        <v>5</v>
      </c>
      <c r="J1285" s="4" t="str">
        <f>IFERROR(__xludf.DUMMYFUNCTION("""COMPUTED_VALUE"""),"Tier 4")</f>
        <v>Tier 4</v>
      </c>
      <c r="K1285" s="4" t="str">
        <f>IFERROR(__xludf.DUMMYFUNCTION("""COMPUTED_VALUE"""),"Active")</f>
        <v>Active</v>
      </c>
      <c r="L1285" s="4" t="str">
        <f>IFERROR(__xludf.DUMMYFUNCTION("""COMPUTED_VALUE"""),"Gemini Enterprise Agent Platform")</f>
        <v>Gemini Enterprise Agent Platform</v>
      </c>
    </row>
    <row r="1286">
      <c r="A1286" s="4" t="str">
        <f>IFERROR(__xludf.DUMMYFUNCTION("""COMPUTED_VALUE"""),"DME3260")</f>
        <v>DME3260</v>
      </c>
      <c r="B1286" s="4" t="str">
        <f>IFERROR(__xludf.DUMMYFUNCTION("""COMPUTED_VALUE"""),"BALAMURUGAN ALAGUPANDIYAN")</f>
        <v>BALAMURUGAN ALAGUPANDIYAN</v>
      </c>
      <c r="C1286" s="4" t="str">
        <f>IFERROR(__xludf.DUMMYFUNCTION("""COMPUTED_VALUE"""),"balamurugan.a@onixnet.com")</f>
        <v>balamurugan.a@onixnet.com</v>
      </c>
      <c r="D1286" s="4" t="str">
        <f>IFERROR(__xludf.DUMMYFUNCTION("""COMPUTED_VALUE"""),"Active")</f>
        <v>Active</v>
      </c>
      <c r="E1286" s="4" t="str">
        <f>IFERROR(__xludf.DUMMYFUNCTION("""COMPUTED_VALUE"""),"Product Engineering")</f>
        <v>Product Engineering</v>
      </c>
      <c r="F1286" s="4" t="str">
        <f>IFERROR(__xludf.DUMMYFUNCTION("""COMPUTED_VALUE"""),"Jayesh Shukla")</f>
        <v>Jayesh Shukla</v>
      </c>
      <c r="G1286" s="4" t="str">
        <f>IFERROR(__xludf.DUMMYFUNCTION("""COMPUTED_VALUE"""),"Cluster - Mayur")</f>
        <v>Cluster - Mayur</v>
      </c>
      <c r="H1286" s="4" t="str">
        <f>IFERROR(__xludf.DUMMYFUNCTION("""COMPUTED_VALUE"""),"ONIBANBI2")</f>
        <v>ONIBANBI2</v>
      </c>
      <c r="I1286" s="5">
        <f>IFERROR(__xludf.DUMMYFUNCTION("""COMPUTED_VALUE"""),19.0)</f>
        <v>19</v>
      </c>
      <c r="J1286" s="4" t="str">
        <f>IFERROR(__xludf.DUMMYFUNCTION("""COMPUTED_VALUE"""),"Tier 4")</f>
        <v>Tier 4</v>
      </c>
      <c r="K1286" s="4" t="str">
        <f>IFERROR(__xludf.DUMMYFUNCTION("""COMPUTED_VALUE"""),"Active")</f>
        <v>Active</v>
      </c>
      <c r="L1286" s="4" t="str">
        <f>IFERROR(__xludf.DUMMYFUNCTION("""COMPUTED_VALUE"""),"AI Applications")</f>
        <v>AI Applications</v>
      </c>
    </row>
    <row r="1287">
      <c r="A1287" s="4" t="str">
        <f>IFERROR(__xludf.DUMMYFUNCTION("""COMPUTED_VALUE"""),"ONIX874")</f>
        <v>ONIX874</v>
      </c>
      <c r="B1287" s="4" t="str">
        <f>IFERROR(__xludf.DUMMYFUNCTION("""COMPUTED_VALUE"""),"Sandeep Deorukhakar")</f>
        <v>Sandeep Deorukhakar</v>
      </c>
      <c r="C1287" s="4" t="str">
        <f>IFERROR(__xludf.DUMMYFUNCTION("""COMPUTED_VALUE"""),"sandeep.deorukhakar@onixnet.com")</f>
        <v>sandeep.deorukhakar@onixnet.com</v>
      </c>
      <c r="D1287" s="4" t="str">
        <f>IFERROR(__xludf.DUMMYFUNCTION("""COMPUTED_VALUE"""),"Active")</f>
        <v>Active</v>
      </c>
      <c r="E1287" s="4" t="str">
        <f>IFERROR(__xludf.DUMMYFUNCTION("""COMPUTED_VALUE"""),"Delivery Services")</f>
        <v>Delivery Services</v>
      </c>
      <c r="F1287" s="4" t="str">
        <f>IFERROR(__xludf.DUMMYFUNCTION("""COMPUTED_VALUE"""),"Pawan Kamat")</f>
        <v>Pawan Kamat</v>
      </c>
      <c r="G1287" s="4" t="str">
        <f>IFERROR(__xludf.DUMMYFUNCTION("""COMPUTED_VALUE"""),"Portfolio - Kanth")</f>
        <v>Portfolio - Kanth</v>
      </c>
      <c r="H1287" s="4" t="str">
        <f>IFERROR(__xludf.DUMMYFUNCTION("""COMPUTED_VALUE"""),"ONISDLHZ7")</f>
        <v>ONISDLHZ7</v>
      </c>
      <c r="I1287" s="5">
        <f>IFERROR(__xludf.DUMMYFUNCTION("""COMPUTED_VALUE"""),5.0)</f>
        <v>5</v>
      </c>
      <c r="J1287" s="4" t="str">
        <f>IFERROR(__xludf.DUMMYFUNCTION("""COMPUTED_VALUE"""),"Tier 4")</f>
        <v>Tier 4</v>
      </c>
      <c r="K1287" s="4" t="str">
        <f>IFERROR(__xludf.DUMMYFUNCTION("""COMPUTED_VALUE"""),"Active")</f>
        <v>Active</v>
      </c>
      <c r="L1287" s="4" t="str">
        <f>IFERROR(__xludf.DUMMYFUNCTION("""COMPUTED_VALUE"""),"AI Applications")</f>
        <v>AI Applications</v>
      </c>
    </row>
    <row r="1288">
      <c r="A1288" s="4" t="str">
        <f>IFERROR(__xludf.DUMMYFUNCTION("""COMPUTED_VALUE"""),"ONIX875")</f>
        <v>ONIX875</v>
      </c>
      <c r="B1288" s="4" t="str">
        <f>IFERROR(__xludf.DUMMYFUNCTION("""COMPUTED_VALUE"""),"Krishna Raghavendra Prabhu")</f>
        <v>Krishna Raghavendra Prabhu</v>
      </c>
      <c r="C1288" s="4" t="str">
        <f>IFERROR(__xludf.DUMMYFUNCTION("""COMPUTED_VALUE"""),"raghavendra.prabhu@onixnet.com")</f>
        <v>raghavendra.prabhu@onixnet.com</v>
      </c>
      <c r="D1288" s="4" t="str">
        <f>IFERROR(__xludf.DUMMYFUNCTION("""COMPUTED_VALUE"""),"Active")</f>
        <v>Active</v>
      </c>
      <c r="E1288" s="4" t="str">
        <f>IFERROR(__xludf.DUMMYFUNCTION("""COMPUTED_VALUE"""),"Sales Services")</f>
        <v>Sales Services</v>
      </c>
      <c r="F1288" s="4" t="str">
        <f>IFERROR(__xludf.DUMMYFUNCTION("""COMPUTED_VALUE"""),"Shwetha Vincy")</f>
        <v>Shwetha Vincy</v>
      </c>
      <c r="G1288" s="4" t="str">
        <f>IFERROR(__xludf.DUMMYFUNCTION("""COMPUTED_VALUE"""),"Portfolio - Ankur (Sales)")</f>
        <v>Portfolio - Ankur (Sales)</v>
      </c>
      <c r="H1288" s="4" t="str">
        <f>IFERROR(__xludf.DUMMYFUNCTION("""COMPUTED_VALUE"""),"ONIRPOYB9")</f>
        <v>ONIRPOYB9</v>
      </c>
      <c r="I1288" s="5">
        <f>IFERROR(__xludf.DUMMYFUNCTION("""COMPUTED_VALUE"""),0.0)</f>
        <v>0</v>
      </c>
      <c r="J1288" s="4" t="str">
        <f>IFERROR(__xludf.DUMMYFUNCTION("""COMPUTED_VALUE"""),"Tier 4")</f>
        <v>Tier 4</v>
      </c>
      <c r="K1288" s="4" t="str">
        <f>IFERROR(__xludf.DUMMYFUNCTION("""COMPUTED_VALUE"""),"ID Created DRP score 0")</f>
        <v>ID Created DRP score 0</v>
      </c>
      <c r="L1288" s="4"/>
    </row>
    <row r="1289">
      <c r="A1289" s="4" t="str">
        <f>IFERROR(__xludf.DUMMYFUNCTION("""COMPUTED_VALUE"""),"DME3262")</f>
        <v>DME3262</v>
      </c>
      <c r="B1289" s="4" t="str">
        <f>IFERROR(__xludf.DUMMYFUNCTION("""COMPUTED_VALUE"""),"Ayush Thantharate")</f>
        <v>Ayush Thantharate</v>
      </c>
      <c r="C1289" s="4" t="str">
        <f>IFERROR(__xludf.DUMMYFUNCTION("""COMPUTED_VALUE"""),"ayush.thantharate@onixnet.com")</f>
        <v>ayush.thantharate@onixnet.com</v>
      </c>
      <c r="D1289" s="4" t="str">
        <f>IFERROR(__xludf.DUMMYFUNCTION("""COMPUTED_VALUE"""),"Active")</f>
        <v>Active</v>
      </c>
      <c r="E1289" s="4" t="str">
        <f>IFERROR(__xludf.DUMMYFUNCTION("""COMPUTED_VALUE"""),"Product Engineering")</f>
        <v>Product Engineering</v>
      </c>
      <c r="F1289" s="4" t="str">
        <f>IFERROR(__xludf.DUMMYFUNCTION("""COMPUTED_VALUE"""),"Jayesh Shukla")</f>
        <v>Jayesh Shukla</v>
      </c>
      <c r="G1289" s="4" t="str">
        <f>IFERROR(__xludf.DUMMYFUNCTION("""COMPUTED_VALUE"""),"Cluster - Mayur")</f>
        <v>Cluster - Mayur</v>
      </c>
      <c r="H1289" s="4" t="str">
        <f>IFERROR(__xludf.DUMMYFUNCTION("""COMPUTED_VALUE"""),"ONIATNCA4")</f>
        <v>ONIATNCA4</v>
      </c>
      <c r="I1289" s="5">
        <f>IFERROR(__xludf.DUMMYFUNCTION("""COMPUTED_VALUE"""),0.0)</f>
        <v>0</v>
      </c>
      <c r="J1289" s="4" t="str">
        <f>IFERROR(__xludf.DUMMYFUNCTION("""COMPUTED_VALUE"""),"Tier 4")</f>
        <v>Tier 4</v>
      </c>
      <c r="K1289" s="4" t="str">
        <f>IFERROR(__xludf.DUMMYFUNCTION("""COMPUTED_VALUE"""),"ID Created DRP score 0")</f>
        <v>ID Created DRP score 0</v>
      </c>
      <c r="L1289" s="4"/>
    </row>
    <row r="1290">
      <c r="A1290" s="4" t="str">
        <f>IFERROR(__xludf.DUMMYFUNCTION("""COMPUTED_VALUE"""),"DME3263")</f>
        <v>DME3263</v>
      </c>
      <c r="B1290" s="4" t="str">
        <f>IFERROR(__xludf.DUMMYFUNCTION("""COMPUTED_VALUE"""),"Himanshu Soni")</f>
        <v>Himanshu Soni</v>
      </c>
      <c r="C1290" s="4" t="str">
        <f>IFERROR(__xludf.DUMMYFUNCTION("""COMPUTED_VALUE"""),"himanshu.soni@onixnet.com")</f>
        <v>himanshu.soni@onixnet.com</v>
      </c>
      <c r="D1290" s="4" t="str">
        <f>IFERROR(__xludf.DUMMYFUNCTION("""COMPUTED_VALUE"""),"Active")</f>
        <v>Active</v>
      </c>
      <c r="E1290" s="4" t="str">
        <f>IFERROR(__xludf.DUMMYFUNCTION("""COMPUTED_VALUE"""),"Delivery Services")</f>
        <v>Delivery Services</v>
      </c>
      <c r="F1290" s="4" t="str">
        <f>IFERROR(__xludf.DUMMYFUNCTION("""COMPUTED_VALUE"""),"Vedant Bhogawade")</f>
        <v>Vedant Bhogawade</v>
      </c>
      <c r="G1290" s="4" t="str">
        <f>IFERROR(__xludf.DUMMYFUNCTION("""COMPUTED_VALUE"""),"Cluster - Varun")</f>
        <v>Cluster - Varun</v>
      </c>
      <c r="H1290" s="4" t="str">
        <f>IFERROR(__xludf.DUMMYFUNCTION("""COMPUTED_VALUE"""),"ONIHSXZO4")</f>
        <v>ONIHSXZO4</v>
      </c>
      <c r="I1290" s="5">
        <f>IFERROR(__xludf.DUMMYFUNCTION("""COMPUTED_VALUE"""),24.0)</f>
        <v>24</v>
      </c>
      <c r="J1290" s="4" t="str">
        <f>IFERROR(__xludf.DUMMYFUNCTION("""COMPUTED_VALUE"""),"Tier 3")</f>
        <v>Tier 3</v>
      </c>
      <c r="K1290" s="4" t="str">
        <f>IFERROR(__xludf.DUMMYFUNCTION("""COMPUTED_VALUE"""),"Active")</f>
        <v>Active</v>
      </c>
      <c r="L1290" s="4" t="str">
        <f>IFERROR(__xludf.DUMMYFUNCTION("""COMPUTED_VALUE"""),"Gemini Enterprise")</f>
        <v>Gemini Enterprise</v>
      </c>
    </row>
    <row r="1291">
      <c r="A1291" s="4" t="str">
        <f>IFERROR(__xludf.DUMMYFUNCTION("""COMPUTED_VALUE"""),"DME3264")</f>
        <v>DME3264</v>
      </c>
      <c r="B1291" s="4" t="str">
        <f>IFERROR(__xludf.DUMMYFUNCTION("""COMPUTED_VALUE"""),"Yogesh Keshav Tarte")</f>
        <v>Yogesh Keshav Tarte</v>
      </c>
      <c r="C1291" s="4" t="str">
        <f>IFERROR(__xludf.DUMMYFUNCTION("""COMPUTED_VALUE"""),"yogesh.tarte@onixnet.com")</f>
        <v>yogesh.tarte@onixnet.com</v>
      </c>
      <c r="D1291" s="4" t="str">
        <f>IFERROR(__xludf.DUMMYFUNCTION("""COMPUTED_VALUE"""),"Active")</f>
        <v>Active</v>
      </c>
      <c r="E1291" s="4" t="str">
        <f>IFERROR(__xludf.DUMMYFUNCTION("""COMPUTED_VALUE"""),"Delivery Services")</f>
        <v>Delivery Services</v>
      </c>
      <c r="F1291" s="4" t="str">
        <f>IFERROR(__xludf.DUMMYFUNCTION("""COMPUTED_VALUE"""),"Aakash Vinod Tolani")</f>
        <v>Aakash Vinod Tolani</v>
      </c>
      <c r="G1291" s="4" t="str">
        <f>IFERROR(__xludf.DUMMYFUNCTION("""COMPUTED_VALUE"""),"Cluster - Shreepad")</f>
        <v>Cluster - Shreepad</v>
      </c>
      <c r="H1291" s="4" t="str">
        <f>IFERROR(__xludf.DUMMYFUNCTION("""COMPUTED_VALUE"""),"ONIYTFWM8")</f>
        <v>ONIYTFWM8</v>
      </c>
      <c r="I1291" s="5">
        <f>IFERROR(__xludf.DUMMYFUNCTION("""COMPUTED_VALUE"""),9.0)</f>
        <v>9</v>
      </c>
      <c r="J1291" s="4" t="str">
        <f>IFERROR(__xludf.DUMMYFUNCTION("""COMPUTED_VALUE"""),"Tier 4")</f>
        <v>Tier 4</v>
      </c>
      <c r="K1291" s="4" t="str">
        <f>IFERROR(__xludf.DUMMYFUNCTION("""COMPUTED_VALUE"""),"Active")</f>
        <v>Active</v>
      </c>
      <c r="L1291" s="4" t="str">
        <f>IFERROR(__xludf.DUMMYFUNCTION("""COMPUTED_VALUE"""),"AI Applications")</f>
        <v>AI Applications</v>
      </c>
    </row>
    <row r="1292">
      <c r="A1292" s="4" t="str">
        <f>IFERROR(__xludf.DUMMYFUNCTION("""COMPUTED_VALUE"""),"DME3265")</f>
        <v>DME3265</v>
      </c>
      <c r="B1292" s="4" t="str">
        <f>IFERROR(__xludf.DUMMYFUNCTION("""COMPUTED_VALUE"""),"Molakathalla Bhanu Prakash Reddy")</f>
        <v>Molakathalla Bhanu Prakash Reddy</v>
      </c>
      <c r="C1292" s="4" t="str">
        <f>IFERROR(__xludf.DUMMYFUNCTION("""COMPUTED_VALUE"""),"bhanu.reddy@onixnet.com")</f>
        <v>bhanu.reddy@onixnet.com</v>
      </c>
      <c r="D1292" s="4" t="str">
        <f>IFERROR(__xludf.DUMMYFUNCTION("""COMPUTED_VALUE"""),"Active")</f>
        <v>Active</v>
      </c>
      <c r="E1292" s="4" t="str">
        <f>IFERROR(__xludf.DUMMYFUNCTION("""COMPUTED_VALUE"""),"Delivery Services")</f>
        <v>Delivery Services</v>
      </c>
      <c r="F1292" s="4" t="str">
        <f>IFERROR(__xludf.DUMMYFUNCTION("""COMPUTED_VALUE"""),"Vedant Bhogawade")</f>
        <v>Vedant Bhogawade</v>
      </c>
      <c r="G1292" s="4" t="str">
        <f>IFERROR(__xludf.DUMMYFUNCTION("""COMPUTED_VALUE"""),"Cluster - Varun")</f>
        <v>Cluster - Varun</v>
      </c>
      <c r="H1292" s="4" t="str">
        <f>IFERROR(__xludf.DUMMYFUNCTION("""COMPUTED_VALUE"""),"ONIBMKHH8")</f>
        <v>ONIBMKHH8</v>
      </c>
      <c r="I1292" s="5">
        <f>IFERROR(__xludf.DUMMYFUNCTION("""COMPUTED_VALUE"""),0.0)</f>
        <v>0</v>
      </c>
      <c r="J1292" s="4" t="str">
        <f>IFERROR(__xludf.DUMMYFUNCTION("""COMPUTED_VALUE"""),"Tier 4")</f>
        <v>Tier 4</v>
      </c>
      <c r="K1292" s="4" t="str">
        <f>IFERROR(__xludf.DUMMYFUNCTION("""COMPUTED_VALUE"""),"ID Created DRP score 0")</f>
        <v>ID Created DRP score 0</v>
      </c>
      <c r="L1292" s="4"/>
    </row>
    <row r="1293">
      <c r="A1293" s="4" t="str">
        <f>IFERROR(__xludf.DUMMYFUNCTION("""COMPUTED_VALUE"""),"DME3267")</f>
        <v>DME3267</v>
      </c>
      <c r="B1293" s="4" t="str">
        <f>IFERROR(__xludf.DUMMYFUNCTION("""COMPUTED_VALUE"""),"Sania Hasan")</f>
        <v>Sania Hasan</v>
      </c>
      <c r="C1293" s="4" t="str">
        <f>IFERROR(__xludf.DUMMYFUNCTION("""COMPUTED_VALUE"""),"sania.hasan@onixnet.com")</f>
        <v>sania.hasan@onixnet.com</v>
      </c>
      <c r="D1293" s="4" t="str">
        <f>IFERROR(__xludf.DUMMYFUNCTION("""COMPUTED_VALUE"""),"Active")</f>
        <v>Active</v>
      </c>
      <c r="E1293" s="4" t="str">
        <f>IFERROR(__xludf.DUMMYFUNCTION("""COMPUTED_VALUE"""),"Product Engineering")</f>
        <v>Product Engineering</v>
      </c>
      <c r="F1293" s="4" t="str">
        <f>IFERROR(__xludf.DUMMYFUNCTION("""COMPUTED_VALUE"""),"Deepak Kadam")</f>
        <v>Deepak Kadam</v>
      </c>
      <c r="G1293" s="4" t="str">
        <f>IFERROR(__xludf.DUMMYFUNCTION("""COMPUTED_VALUE"""),"Cluster - Mayur")</f>
        <v>Cluster - Mayur</v>
      </c>
      <c r="H1293" s="4" t="str">
        <f>IFERROR(__xludf.DUMMYFUNCTION("""COMPUTED_VALUE"""),"ONISHGRP9")</f>
        <v>ONISHGRP9</v>
      </c>
      <c r="I1293" s="5">
        <f>IFERROR(__xludf.DUMMYFUNCTION("""COMPUTED_VALUE"""),0.0)</f>
        <v>0</v>
      </c>
      <c r="J1293" s="4" t="str">
        <f>IFERROR(__xludf.DUMMYFUNCTION("""COMPUTED_VALUE"""),"Tier 4")</f>
        <v>Tier 4</v>
      </c>
      <c r="K1293" s="4" t="str">
        <f>IFERROR(__xludf.DUMMYFUNCTION("""COMPUTED_VALUE"""),"ID Created DRP score 0")</f>
        <v>ID Created DRP score 0</v>
      </c>
      <c r="L1293" s="4"/>
    </row>
    <row r="1294">
      <c r="A1294" s="4" t="str">
        <f>IFERROR(__xludf.DUMMYFUNCTION("""COMPUTED_VALUE"""),"DME3268")</f>
        <v>DME3268</v>
      </c>
      <c r="B1294" s="4" t="str">
        <f>IFERROR(__xludf.DUMMYFUNCTION("""COMPUTED_VALUE"""),"Harshika Magaraiya")</f>
        <v>Harshika Magaraiya</v>
      </c>
      <c r="C1294" s="4" t="str">
        <f>IFERROR(__xludf.DUMMYFUNCTION("""COMPUTED_VALUE"""),"harshika.magaraiya@onixnet.com")</f>
        <v>harshika.magaraiya@onixnet.com</v>
      </c>
      <c r="D1294" s="4" t="str">
        <f>IFERROR(__xludf.DUMMYFUNCTION("""COMPUTED_VALUE"""),"Active")</f>
        <v>Active</v>
      </c>
      <c r="E1294" s="4" t="str">
        <f>IFERROR(__xludf.DUMMYFUNCTION("""COMPUTED_VALUE"""),"Delivery Services")</f>
        <v>Delivery Services</v>
      </c>
      <c r="F1294" s="4" t="str">
        <f>IFERROR(__xludf.DUMMYFUNCTION("""COMPUTED_VALUE"""),"Sneha Bhatambrekar")</f>
        <v>Sneha Bhatambrekar</v>
      </c>
      <c r="G1294" s="4" t="str">
        <f>IFERROR(__xludf.DUMMYFUNCTION("""COMPUTED_VALUE"""),"Cluster - Sandeep")</f>
        <v>Cluster - Sandeep</v>
      </c>
      <c r="H1294" s="4" t="str">
        <f>IFERROR(__xludf.DUMMYFUNCTION("""COMPUTED_VALUE"""),"ONIHMQKW5")</f>
        <v>ONIHMQKW5</v>
      </c>
      <c r="I1294" s="5">
        <f>IFERROR(__xludf.DUMMYFUNCTION("""COMPUTED_VALUE"""),9.0)</f>
        <v>9</v>
      </c>
      <c r="J1294" s="4" t="str">
        <f>IFERROR(__xludf.DUMMYFUNCTION("""COMPUTED_VALUE"""),"Tier 4")</f>
        <v>Tier 4</v>
      </c>
      <c r="K1294" s="4" t="str">
        <f>IFERROR(__xludf.DUMMYFUNCTION("""COMPUTED_VALUE"""),"Active")</f>
        <v>Active</v>
      </c>
      <c r="L1294" s="4" t="str">
        <f>IFERROR(__xludf.DUMMYFUNCTION("""COMPUTED_VALUE"""),"AI Applications")</f>
        <v>AI Applications</v>
      </c>
    </row>
    <row r="1295">
      <c r="A1295" s="4" t="str">
        <f>IFERROR(__xludf.DUMMYFUNCTION("""COMPUTED_VALUE"""),"DME3269")</f>
        <v>DME3269</v>
      </c>
      <c r="B1295" s="4" t="str">
        <f>IFERROR(__xludf.DUMMYFUNCTION("""COMPUTED_VALUE"""),"Kushal Prakash Bhandari")</f>
        <v>Kushal Prakash Bhandari</v>
      </c>
      <c r="C1295" s="4" t="str">
        <f>IFERROR(__xludf.DUMMYFUNCTION("""COMPUTED_VALUE"""),"kushal.bhandari@onixnet.com")</f>
        <v>kushal.bhandari@onixnet.com</v>
      </c>
      <c r="D1295" s="4" t="str">
        <f>IFERROR(__xludf.DUMMYFUNCTION("""COMPUTED_VALUE"""),"Active")</f>
        <v>Active</v>
      </c>
      <c r="E1295" s="4" t="str">
        <f>IFERROR(__xludf.DUMMYFUNCTION("""COMPUTED_VALUE"""),"Product Engineering")</f>
        <v>Product Engineering</v>
      </c>
      <c r="F1295" s="4" t="str">
        <f>IFERROR(__xludf.DUMMYFUNCTION("""COMPUTED_VALUE"""),"Mayur Jain")</f>
        <v>Mayur Jain</v>
      </c>
      <c r="G1295" s="4" t="str">
        <f>IFERROR(__xludf.DUMMYFUNCTION("""COMPUTED_VALUE"""),"Cluster - Mayur")</f>
        <v>Cluster - Mayur</v>
      </c>
      <c r="H1295" s="4" t="str">
        <f>IFERROR(__xludf.DUMMYFUNCTION("""COMPUTED_VALUE"""),"ONIKBMFM2")</f>
        <v>ONIKBMFM2</v>
      </c>
      <c r="I1295" s="5">
        <f>IFERROR(__xludf.DUMMYFUNCTION("""COMPUTED_VALUE"""),0.0)</f>
        <v>0</v>
      </c>
      <c r="J1295" s="4" t="str">
        <f>IFERROR(__xludf.DUMMYFUNCTION("""COMPUTED_VALUE"""),"Tier 4")</f>
        <v>Tier 4</v>
      </c>
      <c r="K1295" s="4" t="str">
        <f>IFERROR(__xludf.DUMMYFUNCTION("""COMPUTED_VALUE"""),"ID Created DRP score 0")</f>
        <v>ID Created DRP score 0</v>
      </c>
      <c r="L1295" s="4"/>
    </row>
    <row r="1296">
      <c r="A1296" s="4" t="str">
        <f>IFERROR(__xludf.DUMMYFUNCTION("""COMPUTED_VALUE"""),"ONIX876")</f>
        <v>ONIX876</v>
      </c>
      <c r="B1296" s="4" t="str">
        <f>IFERROR(__xludf.DUMMYFUNCTION("""COMPUTED_VALUE"""),"Andrew Nerup")</f>
        <v>Andrew Nerup</v>
      </c>
      <c r="C1296" s="4" t="str">
        <f>IFERROR(__xludf.DUMMYFUNCTION("""COMPUTED_VALUE"""),"andrew.nerup@onixnet.com")</f>
        <v>andrew.nerup@onixnet.com</v>
      </c>
      <c r="D1296" s="4" t="str">
        <f>IFERROR(__xludf.DUMMYFUNCTION("""COMPUTED_VALUE"""),"Active")</f>
        <v>Active</v>
      </c>
      <c r="E1296" s="4" t="str">
        <f>IFERROR(__xludf.DUMMYFUNCTION("""COMPUTED_VALUE"""),"Sales Services")</f>
        <v>Sales Services</v>
      </c>
      <c r="F1296" s="4" t="str">
        <f>IFERROR(__xludf.DUMMYFUNCTION("""COMPUTED_VALUE"""),"Shwetha Vincy")</f>
        <v>Shwetha Vincy</v>
      </c>
      <c r="G1296" s="4" t="str">
        <f>IFERROR(__xludf.DUMMYFUNCTION("""COMPUTED_VALUE"""),"Portfolio - Ankur (Sales)")</f>
        <v>Portfolio - Ankur (Sales)</v>
      </c>
      <c r="H1296" s="4" t="str">
        <f>IFERROR(__xludf.DUMMYFUNCTION("""COMPUTED_VALUE"""),"ONIANZFM2")</f>
        <v>ONIANZFM2</v>
      </c>
      <c r="I1296" s="5">
        <f>IFERROR(__xludf.DUMMYFUNCTION("""COMPUTED_VALUE"""),0.0)</f>
        <v>0</v>
      </c>
      <c r="J1296" s="4" t="str">
        <f>IFERROR(__xludf.DUMMYFUNCTION("""COMPUTED_VALUE"""),"Tier 4")</f>
        <v>Tier 4</v>
      </c>
      <c r="K1296" s="4" t="str">
        <f>IFERROR(__xludf.DUMMYFUNCTION("""COMPUTED_VALUE"""),"ID Created DRP score 0")</f>
        <v>ID Created DRP score 0</v>
      </c>
      <c r="L1296" s="4"/>
    </row>
    <row r="1297">
      <c r="A1297" s="4" t="str">
        <f>IFERROR(__xludf.DUMMYFUNCTION("""COMPUTED_VALUE"""),"DME3270")</f>
        <v>DME3270</v>
      </c>
      <c r="B1297" s="4" t="str">
        <f>IFERROR(__xludf.DUMMYFUNCTION("""COMPUTED_VALUE"""),"Aditya Vinayak Desai")</f>
        <v>Aditya Vinayak Desai</v>
      </c>
      <c r="C1297" s="4" t="str">
        <f>IFERROR(__xludf.DUMMYFUNCTION("""COMPUTED_VALUE"""),"aditya.desai@onixnet.com")</f>
        <v>aditya.desai@onixnet.com</v>
      </c>
      <c r="D1297" s="4" t="str">
        <f>IFERROR(__xludf.DUMMYFUNCTION("""COMPUTED_VALUE"""),"Active")</f>
        <v>Active</v>
      </c>
      <c r="E1297" s="4" t="str">
        <f>IFERROR(__xludf.DUMMYFUNCTION("""COMPUTED_VALUE"""),"Delivery Services")</f>
        <v>Delivery Services</v>
      </c>
      <c r="F1297" s="4" t="str">
        <f>IFERROR(__xludf.DUMMYFUNCTION("""COMPUTED_VALUE"""),"Rushikesh Jagatap")</f>
        <v>Rushikesh Jagatap</v>
      </c>
      <c r="G1297" s="4" t="str">
        <f>IFERROR(__xludf.DUMMYFUNCTION("""COMPUTED_VALUE"""),"Cluster - Kanhaiya")</f>
        <v>Cluster - Kanhaiya</v>
      </c>
      <c r="H1297" s="4" t="str">
        <f>IFERROR(__xludf.DUMMYFUNCTION("""COMPUTED_VALUE"""),"ONIADOEN4")</f>
        <v>ONIADOEN4</v>
      </c>
      <c r="I1297" s="5">
        <f>IFERROR(__xludf.DUMMYFUNCTION("""COMPUTED_VALUE"""),5.0)</f>
        <v>5</v>
      </c>
      <c r="J1297" s="4" t="str">
        <f>IFERROR(__xludf.DUMMYFUNCTION("""COMPUTED_VALUE"""),"Tier 4")</f>
        <v>Tier 4</v>
      </c>
      <c r="K1297" s="4" t="str">
        <f>IFERROR(__xludf.DUMMYFUNCTION("""COMPUTED_VALUE"""),"Active")</f>
        <v>Active</v>
      </c>
      <c r="L1297" s="4" t="str">
        <f>IFERROR(__xludf.DUMMYFUNCTION("""COMPUTED_VALUE"""),"Gemini Enterprise Agent Platform")</f>
        <v>Gemini Enterprise Agent Platform</v>
      </c>
    </row>
    <row r="1298">
      <c r="A1298" s="4" t="str">
        <f>IFERROR(__xludf.DUMMYFUNCTION("""COMPUTED_VALUE"""),"DME3271")</f>
        <v>DME3271</v>
      </c>
      <c r="B1298" s="4" t="str">
        <f>IFERROR(__xludf.DUMMYFUNCTION("""COMPUTED_VALUE"""),"Sarthak Ashokrao Watane")</f>
        <v>Sarthak Ashokrao Watane</v>
      </c>
      <c r="C1298" s="4" t="str">
        <f>IFERROR(__xludf.DUMMYFUNCTION("""COMPUTED_VALUE"""),"sarthak.watane@onixnet.com")</f>
        <v>sarthak.watane@onixnet.com</v>
      </c>
      <c r="D1298" s="4" t="str">
        <f>IFERROR(__xludf.DUMMYFUNCTION("""COMPUTED_VALUE"""),"Active")</f>
        <v>Active</v>
      </c>
      <c r="E1298" s="4" t="str">
        <f>IFERROR(__xludf.DUMMYFUNCTION("""COMPUTED_VALUE"""),"Delivery Services")</f>
        <v>Delivery Services</v>
      </c>
      <c r="F1298" s="4" t="str">
        <f>IFERROR(__xludf.DUMMYFUNCTION("""COMPUTED_VALUE"""),"Rushikesh Jagatap")</f>
        <v>Rushikesh Jagatap</v>
      </c>
      <c r="G1298" s="4" t="str">
        <f>IFERROR(__xludf.DUMMYFUNCTION("""COMPUTED_VALUE"""),"Cluster - Kanhaiya")</f>
        <v>Cluster - Kanhaiya</v>
      </c>
      <c r="H1298" s="4" t="str">
        <f>IFERROR(__xludf.DUMMYFUNCTION("""COMPUTED_VALUE"""),"ONISWKIY2")</f>
        <v>ONISWKIY2</v>
      </c>
      <c r="I1298" s="5">
        <f>IFERROR(__xludf.DUMMYFUNCTION("""COMPUTED_VALUE"""),5.0)</f>
        <v>5</v>
      </c>
      <c r="J1298" s="4" t="str">
        <f>IFERROR(__xludf.DUMMYFUNCTION("""COMPUTED_VALUE"""),"Tier 4")</f>
        <v>Tier 4</v>
      </c>
      <c r="K1298" s="4" t="str">
        <f>IFERROR(__xludf.DUMMYFUNCTION("""COMPUTED_VALUE"""),"Active")</f>
        <v>Active</v>
      </c>
      <c r="L1298" s="4" t="str">
        <f>IFERROR(__xludf.DUMMYFUNCTION("""COMPUTED_VALUE"""),"Gemini Enterprise Agent Platform")</f>
        <v>Gemini Enterprise Agent Platform</v>
      </c>
    </row>
    <row r="1299">
      <c r="A1299" s="4" t="str">
        <f>IFERROR(__xludf.DUMMYFUNCTION("""COMPUTED_VALUE"""),"ONIX877")</f>
        <v>ONIX877</v>
      </c>
      <c r="B1299" s="4" t="str">
        <f>IFERROR(__xludf.DUMMYFUNCTION("""COMPUTED_VALUE"""),"Niharika Pasi")</f>
        <v>Niharika Pasi</v>
      </c>
      <c r="C1299" s="4" t="str">
        <f>IFERROR(__xludf.DUMMYFUNCTION("""COMPUTED_VALUE"""),"niharika.pasi@onixnet.com")</f>
        <v>niharika.pasi@onixnet.com</v>
      </c>
      <c r="D1299" s="4" t="str">
        <f>IFERROR(__xludf.DUMMYFUNCTION("""COMPUTED_VALUE"""),"Active")</f>
        <v>Active</v>
      </c>
      <c r="E1299" s="4" t="str">
        <f>IFERROR(__xludf.DUMMYFUNCTION("""COMPUTED_VALUE"""),"Delivery Services")</f>
        <v>Delivery Services</v>
      </c>
      <c r="F1299" s="4" t="str">
        <f>IFERROR(__xludf.DUMMYFUNCTION("""COMPUTED_VALUE"""),"Thomas Kraus")</f>
        <v>Thomas Kraus</v>
      </c>
      <c r="G1299" s="4" t="str">
        <f>IFERROR(__xludf.DUMMYFUNCTION("""COMPUTED_VALUE"""),"Portfolio - Ankur (Sales)")</f>
        <v>Portfolio - Ankur (Sales)</v>
      </c>
      <c r="H1299" s="4" t="str">
        <f>IFERROR(__xludf.DUMMYFUNCTION("""COMPUTED_VALUE"""),"ONINPRQA7")</f>
        <v>ONINPRQA7</v>
      </c>
      <c r="I1299" s="5">
        <f>IFERROR(__xludf.DUMMYFUNCTION("""COMPUTED_VALUE"""),5.0)</f>
        <v>5</v>
      </c>
      <c r="J1299" s="4" t="str">
        <f>IFERROR(__xludf.DUMMYFUNCTION("""COMPUTED_VALUE"""),"Tier 4")</f>
        <v>Tier 4</v>
      </c>
      <c r="K1299" s="4" t="str">
        <f>IFERROR(__xludf.DUMMYFUNCTION("""COMPUTED_VALUE"""),"Active")</f>
        <v>Active</v>
      </c>
      <c r="L1299" s="4" t="str">
        <f>IFERROR(__xludf.DUMMYFUNCTION("""COMPUTED_VALUE"""),"Gemini Enterprise")</f>
        <v>Gemini Enterprise</v>
      </c>
    </row>
    <row r="1300">
      <c r="A1300" s="4" t="str">
        <f>IFERROR(__xludf.DUMMYFUNCTION("""COMPUTED_VALUE"""),"DME3272")</f>
        <v>DME3272</v>
      </c>
      <c r="B1300" s="4" t="str">
        <f>IFERROR(__xludf.DUMMYFUNCTION("""COMPUTED_VALUE"""),"Omkar Pandurang Bhoite")</f>
        <v>Omkar Pandurang Bhoite</v>
      </c>
      <c r="C1300" s="4" t="str">
        <f>IFERROR(__xludf.DUMMYFUNCTION("""COMPUTED_VALUE"""),"omkar.bhoite@onixnet.com")</f>
        <v>omkar.bhoite@onixnet.com</v>
      </c>
      <c r="D1300" s="4" t="str">
        <f>IFERROR(__xludf.DUMMYFUNCTION("""COMPUTED_VALUE"""),"Active")</f>
        <v>Active</v>
      </c>
      <c r="E1300" s="4" t="str">
        <f>IFERROR(__xludf.DUMMYFUNCTION("""COMPUTED_VALUE"""),"Product Engineering")</f>
        <v>Product Engineering</v>
      </c>
      <c r="F1300" s="4" t="str">
        <f>IFERROR(__xludf.DUMMYFUNCTION("""COMPUTED_VALUE"""),"Vivek Dhagat")</f>
        <v>Vivek Dhagat</v>
      </c>
      <c r="G1300" s="4" t="str">
        <f>IFERROR(__xludf.DUMMYFUNCTION("""COMPUTED_VALUE"""),"Cluster - Mayur")</f>
        <v>Cluster - Mayur</v>
      </c>
      <c r="H1300" s="4" t="str">
        <f>IFERROR(__xludf.DUMMYFUNCTION("""COMPUTED_VALUE"""),"ONIOBPAH2")</f>
        <v>ONIOBPAH2</v>
      </c>
      <c r="I1300" s="5">
        <f>IFERROR(__xludf.DUMMYFUNCTION("""COMPUTED_VALUE"""),0.0)</f>
        <v>0</v>
      </c>
      <c r="J1300" s="4" t="str">
        <f>IFERROR(__xludf.DUMMYFUNCTION("""COMPUTED_VALUE"""),"Tier 4")</f>
        <v>Tier 4</v>
      </c>
      <c r="K1300" s="4" t="str">
        <f>IFERROR(__xludf.DUMMYFUNCTION("""COMPUTED_VALUE"""),"ID Created DRP score 0")</f>
        <v>ID Created DRP score 0</v>
      </c>
      <c r="L1300" s="4"/>
    </row>
    <row r="1301">
      <c r="A1301" s="4" t="str">
        <f>IFERROR(__xludf.DUMMYFUNCTION("""COMPUTED_VALUE"""),"DME3273")</f>
        <v>DME3273</v>
      </c>
      <c r="B1301" s="4" t="str">
        <f>IFERROR(__xludf.DUMMYFUNCTION("""COMPUTED_VALUE"""),"Padala Sireesha")</f>
        <v>Padala Sireesha</v>
      </c>
      <c r="C1301" s="4" t="str">
        <f>IFERROR(__xludf.DUMMYFUNCTION("""COMPUTED_VALUE"""),"sireesha.padala@onixnet.com")</f>
        <v>sireesha.padala@onixnet.com</v>
      </c>
      <c r="D1301" s="4" t="str">
        <f>IFERROR(__xludf.DUMMYFUNCTION("""COMPUTED_VALUE"""),"Active")</f>
        <v>Active</v>
      </c>
      <c r="E1301" s="4" t="str">
        <f>IFERROR(__xludf.DUMMYFUNCTION("""COMPUTED_VALUE"""),"Delivery Services")</f>
        <v>Delivery Services</v>
      </c>
      <c r="F1301" s="4" t="str">
        <f>IFERROR(__xludf.DUMMYFUNCTION("""COMPUTED_VALUE"""),"Manoj Patil")</f>
        <v>Manoj Patil</v>
      </c>
      <c r="G1301" s="4" t="str">
        <f>IFERROR(__xludf.DUMMYFUNCTION("""COMPUTED_VALUE"""),"Cluster - Shreepad")</f>
        <v>Cluster - Shreepad</v>
      </c>
      <c r="H1301" s="4" t="str">
        <f>IFERROR(__xludf.DUMMYFUNCTION("""COMPUTED_VALUE"""),"ONISPXMW1")</f>
        <v>ONISPXMW1</v>
      </c>
      <c r="I1301" s="5">
        <f>IFERROR(__xludf.DUMMYFUNCTION("""COMPUTED_VALUE"""),9.0)</f>
        <v>9</v>
      </c>
      <c r="J1301" s="4" t="str">
        <f>IFERROR(__xludf.DUMMYFUNCTION("""COMPUTED_VALUE"""),"Tier 4")</f>
        <v>Tier 4</v>
      </c>
      <c r="K1301" s="4" t="str">
        <f>IFERROR(__xludf.DUMMYFUNCTION("""COMPUTED_VALUE"""),"Active")</f>
        <v>Active</v>
      </c>
      <c r="L1301" s="4" t="str">
        <f>IFERROR(__xludf.DUMMYFUNCTION("""COMPUTED_VALUE"""),"BigQuery")</f>
        <v>BigQuery</v>
      </c>
    </row>
    <row r="1302">
      <c r="A1302" s="4" t="str">
        <f>IFERROR(__xludf.DUMMYFUNCTION("""COMPUTED_VALUE"""),"DME3275")</f>
        <v>DME3275</v>
      </c>
      <c r="B1302" s="4" t="str">
        <f>IFERROR(__xludf.DUMMYFUNCTION("""COMPUTED_VALUE"""),"Pathinti Rahul")</f>
        <v>Pathinti Rahul</v>
      </c>
      <c r="C1302" s="4" t="str">
        <f>IFERROR(__xludf.DUMMYFUNCTION("""COMPUTED_VALUE"""),"rahul.pathinti@onixnet.com")</f>
        <v>rahul.pathinti@onixnet.com</v>
      </c>
      <c r="D1302" s="4" t="str">
        <f>IFERROR(__xludf.DUMMYFUNCTION("""COMPUTED_VALUE"""),"Active")</f>
        <v>Active</v>
      </c>
      <c r="E1302" s="4" t="str">
        <f>IFERROR(__xludf.DUMMYFUNCTION("""COMPUTED_VALUE"""),"Delivery Services")</f>
        <v>Delivery Services</v>
      </c>
      <c r="F1302" s="4" t="str">
        <f>IFERROR(__xludf.DUMMYFUNCTION("""COMPUTED_VALUE"""),"Manoj Patil")</f>
        <v>Manoj Patil</v>
      </c>
      <c r="G1302" s="4" t="str">
        <f>IFERROR(__xludf.DUMMYFUNCTION("""COMPUTED_VALUE"""),"Cluster - Shreepad")</f>
        <v>Cluster - Shreepad</v>
      </c>
      <c r="H1302" s="4" t="str">
        <f>IFERROR(__xludf.DUMMYFUNCTION("""COMPUTED_VALUE"""),"ONIRPOEB2")</f>
        <v>ONIRPOEB2</v>
      </c>
      <c r="I1302" s="5">
        <f>IFERROR(__xludf.DUMMYFUNCTION("""COMPUTED_VALUE"""),8.0)</f>
        <v>8</v>
      </c>
      <c r="J1302" s="4" t="str">
        <f>IFERROR(__xludf.DUMMYFUNCTION("""COMPUTED_VALUE"""),"Tier 4")</f>
        <v>Tier 4</v>
      </c>
      <c r="K1302" s="4" t="str">
        <f>IFERROR(__xludf.DUMMYFUNCTION("""COMPUTED_VALUE"""),"Active")</f>
        <v>Active</v>
      </c>
      <c r="L1302" s="4" t="str">
        <f>IFERROR(__xludf.DUMMYFUNCTION("""COMPUTED_VALUE"""),"AI Applications")</f>
        <v>AI Applications</v>
      </c>
    </row>
    <row r="1303">
      <c r="A1303" s="4" t="str">
        <f>IFERROR(__xludf.DUMMYFUNCTION("""COMPUTED_VALUE"""),"DME3274")</f>
        <v>DME3274</v>
      </c>
      <c r="B1303" s="4" t="str">
        <f>IFERROR(__xludf.DUMMYFUNCTION("""COMPUTED_VALUE"""),"Rohan Verma")</f>
        <v>Rohan Verma</v>
      </c>
      <c r="C1303" s="4" t="str">
        <f>IFERROR(__xludf.DUMMYFUNCTION("""COMPUTED_VALUE"""),"rohan.verma@onixnet.com")</f>
        <v>rohan.verma@onixnet.com</v>
      </c>
      <c r="D1303" s="4" t="str">
        <f>IFERROR(__xludf.DUMMYFUNCTION("""COMPUTED_VALUE"""),"Active")</f>
        <v>Active</v>
      </c>
      <c r="E1303" s="4" t="str">
        <f>IFERROR(__xludf.DUMMYFUNCTION("""COMPUTED_VALUE"""),"Delivery Services")</f>
        <v>Delivery Services</v>
      </c>
      <c r="F1303" s="4" t="str">
        <f>IFERROR(__xludf.DUMMYFUNCTION("""COMPUTED_VALUE"""),"Vijender Bhardwaj")</f>
        <v>Vijender Bhardwaj</v>
      </c>
      <c r="G1303" s="4" t="str">
        <f>IFERROR(__xludf.DUMMYFUNCTION("""COMPUTED_VALUE"""),"Cluster - Varun")</f>
        <v>Cluster - Varun</v>
      </c>
      <c r="H1303" s="4" t="str">
        <f>IFERROR(__xludf.DUMMYFUNCTION("""COMPUTED_VALUE"""),"ONIRVOXV0")</f>
        <v>ONIRVOXV0</v>
      </c>
      <c r="I1303" s="5">
        <f>IFERROR(__xludf.DUMMYFUNCTION("""COMPUTED_VALUE"""),0.0)</f>
        <v>0</v>
      </c>
      <c r="J1303" s="4" t="str">
        <f>IFERROR(__xludf.DUMMYFUNCTION("""COMPUTED_VALUE"""),"Tier 4")</f>
        <v>Tier 4</v>
      </c>
      <c r="K1303" s="4" t="str">
        <f>IFERROR(__xludf.DUMMYFUNCTION("""COMPUTED_VALUE"""),"ID Created DRP score 0")</f>
        <v>ID Created DRP score 0</v>
      </c>
      <c r="L1303" s="4"/>
    </row>
    <row r="1304">
      <c r="A1304" s="4" t="str">
        <f>IFERROR(__xludf.DUMMYFUNCTION("""COMPUTED_VALUE"""),"DME3276")</f>
        <v>DME3276</v>
      </c>
      <c r="B1304" s="4" t="str">
        <f>IFERROR(__xludf.DUMMYFUNCTION("""COMPUTED_VALUE"""),"Ayushman Singh")</f>
        <v>Ayushman Singh</v>
      </c>
      <c r="C1304" s="4" t="str">
        <f>IFERROR(__xludf.DUMMYFUNCTION("""COMPUTED_VALUE"""),"ayushman.singh@onixnet.com")</f>
        <v>ayushman.singh@onixnet.com</v>
      </c>
      <c r="D1304" s="4" t="str">
        <f>IFERROR(__xludf.DUMMYFUNCTION("""COMPUTED_VALUE"""),"Active")</f>
        <v>Active</v>
      </c>
      <c r="E1304" s="4" t="str">
        <f>IFERROR(__xludf.DUMMYFUNCTION("""COMPUTED_VALUE"""),"Delivery Services")</f>
        <v>Delivery Services</v>
      </c>
      <c r="F1304" s="4" t="str">
        <f>IFERROR(__xludf.DUMMYFUNCTION("""COMPUTED_VALUE"""),"Sarang Katre")</f>
        <v>Sarang Katre</v>
      </c>
      <c r="G1304" s="4" t="str">
        <f>IFERROR(__xludf.DUMMYFUNCTION("""COMPUTED_VALUE"""),"Cluster - Kanhaiya")</f>
        <v>Cluster - Kanhaiya</v>
      </c>
      <c r="H1304" s="4" t="str">
        <f>IFERROR(__xludf.DUMMYFUNCTION("""COMPUTED_VALUE"""),"ONIASRJP2")</f>
        <v>ONIASRJP2</v>
      </c>
      <c r="I1304" s="5">
        <f>IFERROR(__xludf.DUMMYFUNCTION("""COMPUTED_VALUE"""),0.0)</f>
        <v>0</v>
      </c>
      <c r="J1304" s="4" t="str">
        <f>IFERROR(__xludf.DUMMYFUNCTION("""COMPUTED_VALUE"""),"Tier 4")</f>
        <v>Tier 4</v>
      </c>
      <c r="K1304" s="4" t="str">
        <f>IFERROR(__xludf.DUMMYFUNCTION("""COMPUTED_VALUE"""),"ID Created DRP score 0")</f>
        <v>ID Created DRP score 0</v>
      </c>
      <c r="L1304" s="4"/>
    </row>
    <row r="1305">
      <c r="A1305" s="4" t="str">
        <f>IFERROR(__xludf.DUMMYFUNCTION("""COMPUTED_VALUE"""),"DME3277")</f>
        <v>DME3277</v>
      </c>
      <c r="B1305" s="4" t="str">
        <f>IFERROR(__xludf.DUMMYFUNCTION("""COMPUTED_VALUE"""),"Somala Hemanth Kumar Reddy")</f>
        <v>Somala Hemanth Kumar Reddy</v>
      </c>
      <c r="C1305" s="4" t="str">
        <f>IFERROR(__xludf.DUMMYFUNCTION("""COMPUTED_VALUE"""),"hemanth.somala@onixnet.com")</f>
        <v>hemanth.somala@onixnet.com</v>
      </c>
      <c r="D1305" s="4" t="str">
        <f>IFERROR(__xludf.DUMMYFUNCTION("""COMPUTED_VALUE"""),"Active")</f>
        <v>Active</v>
      </c>
      <c r="E1305" s="4" t="str">
        <f>IFERROR(__xludf.DUMMYFUNCTION("""COMPUTED_VALUE"""),"Product Engineering")</f>
        <v>Product Engineering</v>
      </c>
      <c r="F1305" s="4" t="str">
        <f>IFERROR(__xludf.DUMMYFUNCTION("""COMPUTED_VALUE"""),"Harshit Soni")</f>
        <v>Harshit Soni</v>
      </c>
      <c r="G1305" s="4" t="str">
        <f>IFERROR(__xludf.DUMMYFUNCTION("""COMPUTED_VALUE"""),"Cluster - Mayur")</f>
        <v>Cluster - Mayur</v>
      </c>
      <c r="H1305" s="4" t="str">
        <f>IFERROR(__xludf.DUMMYFUNCTION("""COMPUTED_VALUE"""),"ONIHRHLA5")</f>
        <v>ONIHRHLA5</v>
      </c>
      <c r="I1305" s="5">
        <f>IFERROR(__xludf.DUMMYFUNCTION("""COMPUTED_VALUE"""),0.0)</f>
        <v>0</v>
      </c>
      <c r="J1305" s="4" t="str">
        <f>IFERROR(__xludf.DUMMYFUNCTION("""COMPUTED_VALUE"""),"Tier 4")</f>
        <v>Tier 4</v>
      </c>
      <c r="K1305" s="4" t="str">
        <f>IFERROR(__xludf.DUMMYFUNCTION("""COMPUTED_VALUE"""),"ID Created DRP score 0")</f>
        <v>ID Created DRP score 0</v>
      </c>
      <c r="L1305" s="4"/>
    </row>
    <row r="1306">
      <c r="A1306" s="4" t="str">
        <f>IFERROR(__xludf.DUMMYFUNCTION("""COMPUTED_VALUE"""),"DME3278")</f>
        <v>DME3278</v>
      </c>
      <c r="B1306" s="4" t="str">
        <f>IFERROR(__xludf.DUMMYFUNCTION("""COMPUTED_VALUE"""),"Kusum Kailas Pandhare")</f>
        <v>Kusum Kailas Pandhare</v>
      </c>
      <c r="C1306" s="4" t="str">
        <f>IFERROR(__xludf.DUMMYFUNCTION("""COMPUTED_VALUE"""),"kusum.pandhare@onixnet.com")</f>
        <v>kusum.pandhare@onixnet.com</v>
      </c>
      <c r="D1306" s="4" t="str">
        <f>IFERROR(__xludf.DUMMYFUNCTION("""COMPUTED_VALUE"""),"Active")</f>
        <v>Active</v>
      </c>
      <c r="E1306" s="4" t="str">
        <f>IFERROR(__xludf.DUMMYFUNCTION("""COMPUTED_VALUE"""),"Delivery Services")</f>
        <v>Delivery Services</v>
      </c>
      <c r="F1306" s="4" t="str">
        <f>IFERROR(__xludf.DUMMYFUNCTION("""COMPUTED_VALUE"""),"Manoj Patil")</f>
        <v>Manoj Patil</v>
      </c>
      <c r="G1306" s="4" t="str">
        <f>IFERROR(__xludf.DUMMYFUNCTION("""COMPUTED_VALUE"""),"Cluster - Shreepad")</f>
        <v>Cluster - Shreepad</v>
      </c>
      <c r="H1306" s="4" t="str">
        <f>IFERROR(__xludf.DUMMYFUNCTION("""COMPUTED_VALUE"""),"ONIKPMHT6")</f>
        <v>ONIKPMHT6</v>
      </c>
      <c r="I1306" s="5">
        <f>IFERROR(__xludf.DUMMYFUNCTION("""COMPUTED_VALUE"""),9.0)</f>
        <v>9</v>
      </c>
      <c r="J1306" s="4" t="str">
        <f>IFERROR(__xludf.DUMMYFUNCTION("""COMPUTED_VALUE"""),"Tier 4")</f>
        <v>Tier 4</v>
      </c>
      <c r="K1306" s="4" t="str">
        <f>IFERROR(__xludf.DUMMYFUNCTION("""COMPUTED_VALUE"""),"Active")</f>
        <v>Active</v>
      </c>
      <c r="L1306" s="4" t="str">
        <f>IFERROR(__xludf.DUMMYFUNCTION("""COMPUTED_VALUE"""),"AI Applications")</f>
        <v>AI Applications</v>
      </c>
    </row>
    <row r="1307">
      <c r="A1307" s="4" t="str">
        <f>IFERROR(__xludf.DUMMYFUNCTION("""COMPUTED_VALUE"""),"DME3279")</f>
        <v>DME3279</v>
      </c>
      <c r="B1307" s="4" t="str">
        <f>IFERROR(__xludf.DUMMYFUNCTION("""COMPUTED_VALUE"""),"Sham Someshwar Makode")</f>
        <v>Sham Someshwar Makode</v>
      </c>
      <c r="C1307" s="4" t="str">
        <f>IFERROR(__xludf.DUMMYFUNCTION("""COMPUTED_VALUE"""),"sham.makode@onixnet.com")</f>
        <v>sham.makode@onixnet.com</v>
      </c>
      <c r="D1307" s="4" t="str">
        <f>IFERROR(__xludf.DUMMYFUNCTION("""COMPUTED_VALUE"""),"Active")</f>
        <v>Active</v>
      </c>
      <c r="E1307" s="4" t="str">
        <f>IFERROR(__xludf.DUMMYFUNCTION("""COMPUTED_VALUE"""),"Product Engineering")</f>
        <v>Product Engineering</v>
      </c>
      <c r="F1307" s="4" t="str">
        <f>IFERROR(__xludf.DUMMYFUNCTION("""COMPUTED_VALUE"""),"Aayush Sahu")</f>
        <v>Aayush Sahu</v>
      </c>
      <c r="G1307" s="4" t="str">
        <f>IFERROR(__xludf.DUMMYFUNCTION("""COMPUTED_VALUE"""),"Cluster - Mayur")</f>
        <v>Cluster - Mayur</v>
      </c>
      <c r="H1307" s="4" t="str">
        <f>IFERROR(__xludf.DUMMYFUNCTION("""COMPUTED_VALUE"""),"ONISMWCT2")</f>
        <v>ONISMWCT2</v>
      </c>
      <c r="I1307" s="5">
        <f>IFERROR(__xludf.DUMMYFUNCTION("""COMPUTED_VALUE"""),0.0)</f>
        <v>0</v>
      </c>
      <c r="J1307" s="4" t="str">
        <f>IFERROR(__xludf.DUMMYFUNCTION("""COMPUTED_VALUE"""),"Tier 4")</f>
        <v>Tier 4</v>
      </c>
      <c r="K1307" s="4" t="str">
        <f>IFERROR(__xludf.DUMMYFUNCTION("""COMPUTED_VALUE"""),"ID Created DRP score 0")</f>
        <v>ID Created DRP score 0</v>
      </c>
      <c r="L1307" s="4"/>
    </row>
    <row r="1308">
      <c r="A1308" s="4" t="str">
        <f>IFERROR(__xludf.DUMMYFUNCTION("""COMPUTED_VALUE"""),"DME3282")</f>
        <v>DME3282</v>
      </c>
      <c r="B1308" s="4" t="str">
        <f>IFERROR(__xludf.DUMMYFUNCTION("""COMPUTED_VALUE"""),"Pinna Aishwarya")</f>
        <v>Pinna Aishwarya</v>
      </c>
      <c r="C1308" s="4" t="str">
        <f>IFERROR(__xludf.DUMMYFUNCTION("""COMPUTED_VALUE"""),"aishwarya.pinna@onixnet.com")</f>
        <v>aishwarya.pinna@onixnet.com</v>
      </c>
      <c r="D1308" s="4" t="str">
        <f>IFERROR(__xludf.DUMMYFUNCTION("""COMPUTED_VALUE"""),"Active")</f>
        <v>Active</v>
      </c>
      <c r="E1308" s="4" t="str">
        <f>IFERROR(__xludf.DUMMYFUNCTION("""COMPUTED_VALUE"""),"Delivery Services")</f>
        <v>Delivery Services</v>
      </c>
      <c r="F1308" s="4" t="str">
        <f>IFERROR(__xludf.DUMMYFUNCTION("""COMPUTED_VALUE"""),"Vedant Bhogawade")</f>
        <v>Vedant Bhogawade</v>
      </c>
      <c r="G1308" s="4" t="str">
        <f>IFERROR(__xludf.DUMMYFUNCTION("""COMPUTED_VALUE"""),"Cluster - Varun")</f>
        <v>Cluster - Varun</v>
      </c>
      <c r="H1308" s="4" t="str">
        <f>IFERROR(__xludf.DUMMYFUNCTION("""COMPUTED_VALUE"""),"ONIAPWEP8")</f>
        <v>ONIAPWEP8</v>
      </c>
      <c r="I1308" s="5">
        <f>IFERROR(__xludf.DUMMYFUNCTION("""COMPUTED_VALUE"""),14.0)</f>
        <v>14</v>
      </c>
      <c r="J1308" s="4" t="str">
        <f>IFERROR(__xludf.DUMMYFUNCTION("""COMPUTED_VALUE"""),"Tier 4")</f>
        <v>Tier 4</v>
      </c>
      <c r="K1308" s="4" t="str">
        <f>IFERROR(__xludf.DUMMYFUNCTION("""COMPUTED_VALUE"""),"Active")</f>
        <v>Active</v>
      </c>
      <c r="L1308" s="4" t="str">
        <f>IFERROR(__xludf.DUMMYFUNCTION("""COMPUTED_VALUE"""),"Google Kubernetes Engine")</f>
        <v>Google Kubernetes Engine</v>
      </c>
    </row>
    <row r="1309">
      <c r="A1309" s="4" t="str">
        <f>IFERROR(__xludf.DUMMYFUNCTION("""COMPUTED_VALUE"""),"DMC1181")</f>
        <v>DMC1181</v>
      </c>
      <c r="B1309" s="4" t="str">
        <f>IFERROR(__xludf.DUMMYFUNCTION("""COMPUTED_VALUE"""),"Chandrika Vijaya Krishna Undavalli")</f>
        <v>Chandrika Vijaya Krishna Undavalli</v>
      </c>
      <c r="C1309" s="4" t="str">
        <f>IFERROR(__xludf.DUMMYFUNCTION("""COMPUTED_VALUE"""),"chandrika.undavalli@onixnet.us")</f>
        <v>chandrika.undavalli@onixnet.us</v>
      </c>
      <c r="D1309" s="4" t="str">
        <f>IFERROR(__xludf.DUMMYFUNCTION("""COMPUTED_VALUE"""),"Active")</f>
        <v>Active</v>
      </c>
      <c r="E1309" s="4" t="str">
        <f>IFERROR(__xludf.DUMMYFUNCTION("""COMPUTED_VALUE"""),"Product Engineering")</f>
        <v>Product Engineering</v>
      </c>
      <c r="F1309" s="4" t="str">
        <f>IFERROR(__xludf.DUMMYFUNCTION("""COMPUTED_VALUE"""),"Venkat Shivkumar")</f>
        <v>Venkat Shivkumar</v>
      </c>
      <c r="G1309" s="4" t="str">
        <f>IFERROR(__xludf.DUMMYFUNCTION("""COMPUTED_VALUE"""),"Cluster - Mayur")</f>
        <v>Cluster - Mayur</v>
      </c>
      <c r="H1309" s="4" t="str">
        <f>IFERROR(__xludf.DUMMYFUNCTION("""COMPUTED_VALUE"""),"ONICUJZW8")</f>
        <v>ONICUJZW8</v>
      </c>
      <c r="I1309" s="5">
        <f>IFERROR(__xludf.DUMMYFUNCTION("""COMPUTED_VALUE"""),19.0)</f>
        <v>19</v>
      </c>
      <c r="J1309" s="4" t="str">
        <f>IFERROR(__xludf.DUMMYFUNCTION("""COMPUTED_VALUE"""),"Tier 4")</f>
        <v>Tier 4</v>
      </c>
      <c r="K1309" s="4" t="str">
        <f>IFERROR(__xludf.DUMMYFUNCTION("""COMPUTED_VALUE"""),"Active")</f>
        <v>Active</v>
      </c>
      <c r="L1309" s="4" t="str">
        <f>IFERROR(__xludf.DUMMYFUNCTION("""COMPUTED_VALUE"""),"Google Kubernetes Engine")</f>
        <v>Google Kubernetes Engine</v>
      </c>
    </row>
    <row r="1310">
      <c r="A1310" s="4" t="str">
        <f>IFERROR(__xludf.DUMMYFUNCTION("""COMPUTED_VALUE"""),"DME3280")</f>
        <v>DME3280</v>
      </c>
      <c r="B1310" s="4" t="str">
        <f>IFERROR(__xludf.DUMMYFUNCTION("""COMPUTED_VALUE"""),"Dhanesh Bhagwan Deore")</f>
        <v>Dhanesh Bhagwan Deore</v>
      </c>
      <c r="C1310" s="4" t="str">
        <f>IFERROR(__xludf.DUMMYFUNCTION("""COMPUTED_VALUE"""),"dhanesh.deore@onixnet.com")</f>
        <v>dhanesh.deore@onixnet.com</v>
      </c>
      <c r="D1310" s="4" t="str">
        <f>IFERROR(__xludf.DUMMYFUNCTION("""COMPUTED_VALUE"""),"Active")</f>
        <v>Active</v>
      </c>
      <c r="E1310" s="4" t="str">
        <f>IFERROR(__xludf.DUMMYFUNCTION("""COMPUTED_VALUE"""),"Solutions and Pre-Sales")</f>
        <v>Solutions and Pre-Sales</v>
      </c>
      <c r="F1310" s="4" t="str">
        <f>IFERROR(__xludf.DUMMYFUNCTION("""COMPUTED_VALUE"""),"Priyanka Buwe")</f>
        <v>Priyanka Buwe</v>
      </c>
      <c r="G1310" s="4" t="str">
        <f>IFERROR(__xludf.DUMMYFUNCTION("""COMPUTED_VALUE"""),"Portfolio - Gaurav A (Presales)")</f>
        <v>Portfolio - Gaurav A (Presales)</v>
      </c>
      <c r="H1310" s="4" t="str">
        <f>IFERROR(__xludf.DUMMYFUNCTION("""COMPUTED_VALUE"""),"ONIDDKQJ3")</f>
        <v>ONIDDKQJ3</v>
      </c>
      <c r="I1310" s="5">
        <f>IFERROR(__xludf.DUMMYFUNCTION("""COMPUTED_VALUE"""),14.0)</f>
        <v>14</v>
      </c>
      <c r="J1310" s="4" t="str">
        <f>IFERROR(__xludf.DUMMYFUNCTION("""COMPUTED_VALUE"""),"Tier 4")</f>
        <v>Tier 4</v>
      </c>
      <c r="K1310" s="4" t="str">
        <f>IFERROR(__xludf.DUMMYFUNCTION("""COMPUTED_VALUE"""),"Active")</f>
        <v>Active</v>
      </c>
      <c r="L1310" s="4" t="str">
        <f>IFERROR(__xludf.DUMMYFUNCTION("""COMPUTED_VALUE"""),"Apigee API Management")</f>
        <v>Apigee API Management</v>
      </c>
    </row>
    <row r="1311">
      <c r="A1311" s="4" t="str">
        <f>IFERROR(__xludf.DUMMYFUNCTION("""COMPUTED_VALUE"""),"ONIX879")</f>
        <v>ONIX879</v>
      </c>
      <c r="B1311" s="4" t="str">
        <f>IFERROR(__xludf.DUMMYFUNCTION("""COMPUTED_VALUE"""),"Marvie Davenport")</f>
        <v>Marvie Davenport</v>
      </c>
      <c r="C1311" s="4" t="str">
        <f>IFERROR(__xludf.DUMMYFUNCTION("""COMPUTED_VALUE"""),"mj.davenport@onixnet.com")</f>
        <v>mj.davenport@onixnet.com</v>
      </c>
      <c r="D1311" s="4" t="str">
        <f>IFERROR(__xludf.DUMMYFUNCTION("""COMPUTED_VALUE"""),"Active")</f>
        <v>Active</v>
      </c>
      <c r="E1311" s="4" t="str">
        <f>IFERROR(__xludf.DUMMYFUNCTION("""COMPUTED_VALUE"""),"Delivery Services")</f>
        <v>Delivery Services</v>
      </c>
      <c r="F1311" s="4" t="str">
        <f>IFERROR(__xludf.DUMMYFUNCTION("""COMPUTED_VALUE"""),"Courtney Cline")</f>
        <v>Courtney Cline</v>
      </c>
      <c r="G1311" s="4" t="str">
        <f>IFERROR(__xludf.DUMMYFUNCTION("""COMPUTED_VALUE"""),"Portfolio - Courtney (US East)")</f>
        <v>Portfolio - Courtney (US East)</v>
      </c>
      <c r="H1311" s="4" t="str">
        <f>IFERROR(__xludf.DUMMYFUNCTION("""COMPUTED_VALUE"""),"ONIMDMIB7")</f>
        <v>ONIMDMIB7</v>
      </c>
      <c r="I1311" s="5">
        <f>IFERROR(__xludf.DUMMYFUNCTION("""COMPUTED_VALUE"""),0.0)</f>
        <v>0</v>
      </c>
      <c r="J1311" s="4" t="str">
        <f>IFERROR(__xludf.DUMMYFUNCTION("""COMPUTED_VALUE"""),"Tier 4")</f>
        <v>Tier 4</v>
      </c>
      <c r="K1311" s="4" t="str">
        <f>IFERROR(__xludf.DUMMYFUNCTION("""COMPUTED_VALUE"""),"ID Created DRP score 0")</f>
        <v>ID Created DRP score 0</v>
      </c>
      <c r="L1311" s="4"/>
    </row>
    <row r="1312">
      <c r="A1312" s="4" t="str">
        <f>IFERROR(__xludf.DUMMYFUNCTION("""COMPUTED_VALUE"""),"ONIX878")</f>
        <v>ONIX878</v>
      </c>
      <c r="B1312" s="4" t="str">
        <f>IFERROR(__xludf.DUMMYFUNCTION("""COMPUTED_VALUE"""),"William Reed")</f>
        <v>William Reed</v>
      </c>
      <c r="C1312" s="4" t="str">
        <f>IFERROR(__xludf.DUMMYFUNCTION("""COMPUTED_VALUE"""),"bill.reed@onixnet.com")</f>
        <v>bill.reed@onixnet.com</v>
      </c>
      <c r="D1312" s="4" t="str">
        <f>IFERROR(__xludf.DUMMYFUNCTION("""COMPUTED_VALUE"""),"Active")</f>
        <v>Active</v>
      </c>
      <c r="E1312" s="4" t="str">
        <f>IFERROR(__xludf.DUMMYFUNCTION("""COMPUTED_VALUE"""),"Workspace")</f>
        <v>Workspace</v>
      </c>
      <c r="F1312" s="4" t="str">
        <f>IFERROR(__xludf.DUMMYFUNCTION("""COMPUTED_VALUE"""),"Courtney Cline")</f>
        <v>Courtney Cline</v>
      </c>
      <c r="G1312" s="4" t="str">
        <f>IFERROR(__xludf.DUMMYFUNCTION("""COMPUTED_VALUE"""),"Portfolio - Courtney (US East)")</f>
        <v>Portfolio - Courtney (US East)</v>
      </c>
      <c r="H1312" s="4" t="str">
        <f>IFERROR(__xludf.DUMMYFUNCTION("""COMPUTED_VALUE"""),"ONIWRAYS9")</f>
        <v>ONIWRAYS9</v>
      </c>
      <c r="I1312" s="5">
        <f>IFERROR(__xludf.DUMMYFUNCTION("""COMPUTED_VALUE"""),9.0)</f>
        <v>9</v>
      </c>
      <c r="J1312" s="4" t="str">
        <f>IFERROR(__xludf.DUMMYFUNCTION("""COMPUTED_VALUE"""),"Tier 4")</f>
        <v>Tier 4</v>
      </c>
      <c r="K1312" s="4" t="str">
        <f>IFERROR(__xludf.DUMMYFUNCTION("""COMPUTED_VALUE"""),"Active")</f>
        <v>Active</v>
      </c>
      <c r="L1312" s="4"/>
    </row>
    <row r="1313">
      <c r="A1313" s="4" t="str">
        <f>IFERROR(__xludf.DUMMYFUNCTION("""COMPUTED_VALUE"""),"DME3281")</f>
        <v>DME3281</v>
      </c>
      <c r="B1313" s="4" t="str">
        <f>IFERROR(__xludf.DUMMYFUNCTION("""COMPUTED_VALUE"""),"Devayani Girish Pillai")</f>
        <v>Devayani Girish Pillai</v>
      </c>
      <c r="C1313" s="4" t="str">
        <f>IFERROR(__xludf.DUMMYFUNCTION("""COMPUTED_VALUE"""),"devayani.pillai@onixnet.com")</f>
        <v>devayani.pillai@onixnet.com</v>
      </c>
      <c r="D1313" s="4" t="str">
        <f>IFERROR(__xludf.DUMMYFUNCTION("""COMPUTED_VALUE"""),"Active")</f>
        <v>Active</v>
      </c>
      <c r="E1313" s="4" t="str">
        <f>IFERROR(__xludf.DUMMYFUNCTION("""COMPUTED_VALUE"""),"Delivery Services")</f>
        <v>Delivery Services</v>
      </c>
      <c r="F1313" s="4" t="str">
        <f>IFERROR(__xludf.DUMMYFUNCTION("""COMPUTED_VALUE"""),"Gaurav Bharara")</f>
        <v>Gaurav Bharara</v>
      </c>
      <c r="G1313" s="4" t="str">
        <f>IFERROR(__xludf.DUMMYFUNCTION("""COMPUTED_VALUE"""),"Cluster - Devayani")</f>
        <v>Cluster - Devayani</v>
      </c>
      <c r="H1313" s="4" t="str">
        <f>IFERROR(__xludf.DUMMYFUNCTION("""COMPUTED_VALUE"""),"ONIDPGEU1")</f>
        <v>ONIDPGEU1</v>
      </c>
      <c r="I1313" s="5">
        <f>IFERROR(__xludf.DUMMYFUNCTION("""COMPUTED_VALUE"""),24.0)</f>
        <v>24</v>
      </c>
      <c r="J1313" s="4" t="str">
        <f>IFERROR(__xludf.DUMMYFUNCTION("""COMPUTED_VALUE"""),"Tier 3")</f>
        <v>Tier 3</v>
      </c>
      <c r="K1313" s="4" t="str">
        <f>IFERROR(__xludf.DUMMYFUNCTION("""COMPUTED_VALUE"""),"Active")</f>
        <v>Active</v>
      </c>
      <c r="L1313" s="4" t="str">
        <f>IFERROR(__xludf.DUMMYFUNCTION("""COMPUTED_VALUE"""),"Gemini Enterprise Agent Platform")</f>
        <v>Gemini Enterprise Agent Platform</v>
      </c>
    </row>
    <row r="1314">
      <c r="A1314" s="4" t="str">
        <f>IFERROR(__xludf.DUMMYFUNCTION("""COMPUTED_VALUE"""),"ONIX880")</f>
        <v>ONIX880</v>
      </c>
      <c r="B1314" s="4" t="str">
        <f>IFERROR(__xludf.DUMMYFUNCTION("""COMPUTED_VALUE"""),"Payton Britton")</f>
        <v>Payton Britton</v>
      </c>
      <c r="C1314" s="4" t="str">
        <f>IFERROR(__xludf.DUMMYFUNCTION("""COMPUTED_VALUE"""),"payton.britton@onixnet.com")</f>
        <v>payton.britton@onixnet.com</v>
      </c>
      <c r="D1314" s="4" t="str">
        <f>IFERROR(__xludf.DUMMYFUNCTION("""COMPUTED_VALUE"""),"Active")</f>
        <v>Active</v>
      </c>
      <c r="E1314" s="4" t="str">
        <f>IFERROR(__xludf.DUMMYFUNCTION("""COMPUTED_VALUE"""),"Productivity &amp; Change Mgmt")</f>
        <v>Productivity &amp; Change Mgmt</v>
      </c>
      <c r="F1314" s="4" t="str">
        <f>IFERROR(__xludf.DUMMYFUNCTION("""COMPUTED_VALUE"""),"Courtney Cline")</f>
        <v>Courtney Cline</v>
      </c>
      <c r="G1314" s="4" t="str">
        <f>IFERROR(__xludf.DUMMYFUNCTION("""COMPUTED_VALUE"""),"Portfolio - Courtney (US East)")</f>
        <v>Portfolio - Courtney (US East)</v>
      </c>
      <c r="H1314" s="4" t="str">
        <f>IFERROR(__xludf.DUMMYFUNCTION("""COMPUTED_VALUE"""),"ONIPBCNM6")</f>
        <v>ONIPBCNM6</v>
      </c>
      <c r="I1314" s="5">
        <f>IFERROR(__xludf.DUMMYFUNCTION("""COMPUTED_VALUE"""),15.0)</f>
        <v>15</v>
      </c>
      <c r="J1314" s="4" t="str">
        <f>IFERROR(__xludf.DUMMYFUNCTION("""COMPUTED_VALUE"""),"Tier 4")</f>
        <v>Tier 4</v>
      </c>
      <c r="K1314" s="4" t="str">
        <f>IFERROR(__xludf.DUMMYFUNCTION("""COMPUTED_VALUE"""),"Active")</f>
        <v>Active</v>
      </c>
      <c r="L1314" s="4" t="str">
        <f>IFERROR(__xludf.DUMMYFUNCTION("""COMPUTED_VALUE"""),"Gemini Enterprise")</f>
        <v>Gemini Enterprise</v>
      </c>
    </row>
    <row r="1315">
      <c r="A1315" s="4" t="str">
        <f>IFERROR(__xludf.DUMMYFUNCTION("""COMPUTED_VALUE"""),"ONIX881")</f>
        <v>ONIX881</v>
      </c>
      <c r="B1315" s="4" t="str">
        <f>IFERROR(__xludf.DUMMYFUNCTION("""COMPUTED_VALUE"""),"Aneesh Tuggudem")</f>
        <v>Aneesh Tuggudem</v>
      </c>
      <c r="C1315" s="4" t="str">
        <f>IFERROR(__xludf.DUMMYFUNCTION("""COMPUTED_VALUE"""),"aneesh.tuggudem@onixnet.us")</f>
        <v>aneesh.tuggudem@onixnet.us</v>
      </c>
      <c r="D1315" s="4" t="str">
        <f>IFERROR(__xludf.DUMMYFUNCTION("""COMPUTED_VALUE"""),"Active")</f>
        <v>Active</v>
      </c>
      <c r="E1315" s="4" t="str">
        <f>IFERROR(__xludf.DUMMYFUNCTION("""COMPUTED_VALUE"""),"Sales Services")</f>
        <v>Sales Services</v>
      </c>
      <c r="F1315" s="4" t="str">
        <f>IFERROR(__xludf.DUMMYFUNCTION("""COMPUTED_VALUE"""),"Gaurav Agarwaal")</f>
        <v>Gaurav Agarwaal</v>
      </c>
      <c r="G1315" s="4" t="str">
        <f>IFERROR(__xludf.DUMMYFUNCTION("""COMPUTED_VALUE"""),"Portfolio - Gaurav A (Presales)")</f>
        <v>Portfolio - Gaurav A (Presales)</v>
      </c>
      <c r="H1315" s="4" t="str">
        <f>IFERROR(__xludf.DUMMYFUNCTION("""COMPUTED_VALUE"""),"ONIATWVR3")</f>
        <v>ONIATWVR3</v>
      </c>
      <c r="I1315" s="5">
        <f>IFERROR(__xludf.DUMMYFUNCTION("""COMPUTED_VALUE"""),5.0)</f>
        <v>5</v>
      </c>
      <c r="J1315" s="4" t="str">
        <f>IFERROR(__xludf.DUMMYFUNCTION("""COMPUTED_VALUE"""),"Tier 4")</f>
        <v>Tier 4</v>
      </c>
      <c r="K1315" s="4" t="str">
        <f>IFERROR(__xludf.DUMMYFUNCTION("""COMPUTED_VALUE"""),"Active")</f>
        <v>Active</v>
      </c>
      <c r="L1315" s="4" t="str">
        <f>IFERROR(__xludf.DUMMYFUNCTION("""COMPUTED_VALUE"""),"BigQuery")</f>
        <v>BigQuery</v>
      </c>
    </row>
    <row r="1316">
      <c r="A1316" s="4" t="str">
        <f>IFERROR(__xludf.DUMMYFUNCTION("""COMPUTED_VALUE"""),"DME3283")</f>
        <v>DME3283</v>
      </c>
      <c r="B1316" s="4" t="str">
        <f>IFERROR(__xludf.DUMMYFUNCTION("""COMPUTED_VALUE"""),"Soham Surendra Gaikwad")</f>
        <v>Soham Surendra Gaikwad</v>
      </c>
      <c r="C1316" s="4" t="str">
        <f>IFERROR(__xludf.DUMMYFUNCTION("""COMPUTED_VALUE"""),"soham.gaikwad@onixnet.com")</f>
        <v>soham.gaikwad@onixnet.com</v>
      </c>
      <c r="D1316" s="4" t="str">
        <f>IFERROR(__xludf.DUMMYFUNCTION("""COMPUTED_VALUE"""),"Active")</f>
        <v>Active</v>
      </c>
      <c r="E1316" s="4" t="str">
        <f>IFERROR(__xludf.DUMMYFUNCTION("""COMPUTED_VALUE"""),"Delivery Services")</f>
        <v>Delivery Services</v>
      </c>
      <c r="F1316" s="4" t="str">
        <f>IFERROR(__xludf.DUMMYFUNCTION("""COMPUTED_VALUE"""),"Amit Parekh")</f>
        <v>Amit Parekh</v>
      </c>
      <c r="G1316" s="4" t="str">
        <f>IFERROR(__xludf.DUMMYFUNCTION("""COMPUTED_VALUE"""),"Cluster - Sandeep")</f>
        <v>Cluster - Sandeep</v>
      </c>
      <c r="H1316" s="4" t="str">
        <f>IFERROR(__xludf.DUMMYFUNCTION("""COMPUTED_VALUE"""),"ONISGCFG2")</f>
        <v>ONISGCFG2</v>
      </c>
      <c r="I1316" s="5">
        <f>IFERROR(__xludf.DUMMYFUNCTION("""COMPUTED_VALUE"""),5.0)</f>
        <v>5</v>
      </c>
      <c r="J1316" s="4" t="str">
        <f>IFERROR(__xludf.DUMMYFUNCTION("""COMPUTED_VALUE"""),"Tier 4")</f>
        <v>Tier 4</v>
      </c>
      <c r="K1316" s="4" t="str">
        <f>IFERROR(__xludf.DUMMYFUNCTION("""COMPUTED_VALUE"""),"Active")</f>
        <v>Active</v>
      </c>
      <c r="L1316" s="4" t="str">
        <f>IFERROR(__xludf.DUMMYFUNCTION("""COMPUTED_VALUE"""),"AI Applications")</f>
        <v>AI Applications</v>
      </c>
    </row>
    <row r="1317">
      <c r="A1317" s="4" t="str">
        <f>IFERROR(__xludf.DUMMYFUNCTION("""COMPUTED_VALUE"""),"ONIX884")</f>
        <v>ONIX884</v>
      </c>
      <c r="B1317" s="4" t="str">
        <f>IFERROR(__xludf.DUMMYFUNCTION("""COMPUTED_VALUE"""),"Natalie Miller")</f>
        <v>Natalie Miller</v>
      </c>
      <c r="C1317" s="4" t="str">
        <f>IFERROR(__xludf.DUMMYFUNCTION("""COMPUTED_VALUE"""),"natalie.miller@onixnet.com")</f>
        <v>natalie.miller@onixnet.com</v>
      </c>
      <c r="D1317" s="4" t="str">
        <f>IFERROR(__xludf.DUMMYFUNCTION("""COMPUTED_VALUE"""),"Active")</f>
        <v>Active</v>
      </c>
      <c r="E1317" s="4" t="str">
        <f>IFERROR(__xludf.DUMMYFUNCTION("""COMPUTED_VALUE"""),"Delivery Services")</f>
        <v>Delivery Services</v>
      </c>
      <c r="F1317" s="4" t="str">
        <f>IFERROR(__xludf.DUMMYFUNCTION("""COMPUTED_VALUE"""),"Scott Fleming")</f>
        <v>Scott Fleming</v>
      </c>
      <c r="G1317" s="4" t="str">
        <f>IFERROR(__xludf.DUMMYFUNCTION("""COMPUTED_VALUE"""),"Portfolio - Scott")</f>
        <v>Portfolio - Scott</v>
      </c>
      <c r="H1317" s="4" t="str">
        <f>IFERROR(__xludf.DUMMYFUNCTION("""COMPUTED_VALUE"""),"ONINMMDY4")</f>
        <v>ONINMMDY4</v>
      </c>
      <c r="I1317" s="5">
        <f>IFERROR(__xludf.DUMMYFUNCTION("""COMPUTED_VALUE"""),44.0)</f>
        <v>44</v>
      </c>
      <c r="J1317" s="4" t="str">
        <f>IFERROR(__xludf.DUMMYFUNCTION("""COMPUTED_VALUE"""),"Tier 2")</f>
        <v>Tier 2</v>
      </c>
      <c r="K1317" s="4" t="str">
        <f>IFERROR(__xludf.DUMMYFUNCTION("""COMPUTED_VALUE"""),"Active")</f>
        <v>Active</v>
      </c>
      <c r="L1317" s="4" t="str">
        <f>IFERROR(__xludf.DUMMYFUNCTION("""COMPUTED_VALUE"""),"Gemini Enterprise")</f>
        <v>Gemini Enterprise</v>
      </c>
    </row>
    <row r="1318">
      <c r="A1318" s="4" t="str">
        <f>IFERROR(__xludf.DUMMYFUNCTION("""COMPUTED_VALUE"""),"DME3284")</f>
        <v>DME3284</v>
      </c>
      <c r="B1318" s="4" t="str">
        <f>IFERROR(__xludf.DUMMYFUNCTION("""COMPUTED_VALUE"""),"Amitpal Singh")</f>
        <v>Amitpal Singh</v>
      </c>
      <c r="C1318" s="4" t="str">
        <f>IFERROR(__xludf.DUMMYFUNCTION("""COMPUTED_VALUE"""),"amitpal.singh@onixnet.com")</f>
        <v>amitpal.singh@onixnet.com</v>
      </c>
      <c r="D1318" s="4" t="str">
        <f>IFERROR(__xludf.DUMMYFUNCTION("""COMPUTED_VALUE"""),"Active")</f>
        <v>Active</v>
      </c>
      <c r="E1318" s="4" t="str">
        <f>IFERROR(__xludf.DUMMYFUNCTION("""COMPUTED_VALUE"""),"Delivery Services")</f>
        <v>Delivery Services</v>
      </c>
      <c r="F1318" s="4" t="str">
        <f>IFERROR(__xludf.DUMMYFUNCTION("""COMPUTED_VALUE"""),"Sarang Katre")</f>
        <v>Sarang Katre</v>
      </c>
      <c r="G1318" s="4" t="str">
        <f>IFERROR(__xludf.DUMMYFUNCTION("""COMPUTED_VALUE"""),"Cluster - Kanhaiya")</f>
        <v>Cluster - Kanhaiya</v>
      </c>
      <c r="H1318" s="4" t="str">
        <f>IFERROR(__xludf.DUMMYFUNCTION("""COMPUTED_VALUE"""),"ONIASUOS3")</f>
        <v>ONIASUOS3</v>
      </c>
      <c r="I1318" s="5">
        <f>IFERROR(__xludf.DUMMYFUNCTION("""COMPUTED_VALUE"""),5.0)</f>
        <v>5</v>
      </c>
      <c r="J1318" s="4" t="str">
        <f>IFERROR(__xludf.DUMMYFUNCTION("""COMPUTED_VALUE"""),"Tier 4")</f>
        <v>Tier 4</v>
      </c>
      <c r="K1318" s="4" t="str">
        <f>IFERROR(__xludf.DUMMYFUNCTION("""COMPUTED_VALUE"""),"Active")</f>
        <v>Active</v>
      </c>
      <c r="L1318" s="4" t="str">
        <f>IFERROR(__xludf.DUMMYFUNCTION("""COMPUTED_VALUE"""),"Dataflow")</f>
        <v>Dataflow</v>
      </c>
    </row>
    <row r="1319">
      <c r="A1319" s="4" t="str">
        <f>IFERROR(__xludf.DUMMYFUNCTION("""COMPUTED_VALUE"""),"ONIX885")</f>
        <v>ONIX885</v>
      </c>
      <c r="B1319" s="4" t="str">
        <f>IFERROR(__xludf.DUMMYFUNCTION("""COMPUTED_VALUE"""),"Alfred Shum")</f>
        <v>Alfred Shum</v>
      </c>
      <c r="C1319" s="4" t="str">
        <f>IFERROR(__xludf.DUMMYFUNCTION("""COMPUTED_VALUE"""),"alfred.shum@onixnet.com")</f>
        <v>alfred.shum@onixnet.com</v>
      </c>
      <c r="D1319" s="4" t="str">
        <f>IFERROR(__xludf.DUMMYFUNCTION("""COMPUTED_VALUE"""),"Active")</f>
        <v>Active</v>
      </c>
      <c r="E1319" s="4" t="str">
        <f>IFERROR(__xludf.DUMMYFUNCTION("""COMPUTED_VALUE"""),"Delivery Services")</f>
        <v>Delivery Services</v>
      </c>
      <c r="F1319" s="4" t="str">
        <f>IFERROR(__xludf.DUMMYFUNCTION("""COMPUTED_VALUE"""),"Lynn Benway")</f>
        <v>Lynn Benway</v>
      </c>
      <c r="G1319" s="4" t="str">
        <f>IFERROR(__xludf.DUMMYFUNCTION("""COMPUTED_VALUE"""),"Portfolio - Rick")</f>
        <v>Portfolio - Rick</v>
      </c>
      <c r="H1319" s="4" t="str">
        <f>IFERROR(__xludf.DUMMYFUNCTION("""COMPUTED_VALUE"""),"ONIASSMU6")</f>
        <v>ONIASSMU6</v>
      </c>
      <c r="I1319" s="5">
        <f>IFERROR(__xludf.DUMMYFUNCTION("""COMPUTED_VALUE"""),20.0)</f>
        <v>20</v>
      </c>
      <c r="J1319" s="4" t="str">
        <f>IFERROR(__xludf.DUMMYFUNCTION("""COMPUTED_VALUE"""),"Tier 3")</f>
        <v>Tier 3</v>
      </c>
      <c r="K1319" s="4" t="str">
        <f>IFERROR(__xludf.DUMMYFUNCTION("""COMPUTED_VALUE"""),"Active")</f>
        <v>Active</v>
      </c>
      <c r="L1319" s="4" t="str">
        <f>IFERROR(__xludf.DUMMYFUNCTION("""COMPUTED_VALUE"""),"GECX - CCaaS")</f>
        <v>GECX - CCaaS</v>
      </c>
    </row>
    <row r="1320">
      <c r="A1320" s="4" t="str">
        <f>IFERROR(__xludf.DUMMYFUNCTION("""COMPUTED_VALUE"""),"DMUK0024")</f>
        <v>DMUK0024</v>
      </c>
      <c r="B1320" s="4" t="str">
        <f>IFERROR(__xludf.DUMMYFUNCTION("""COMPUTED_VALUE"""),"Andrew Lund")</f>
        <v>Andrew Lund</v>
      </c>
      <c r="C1320" s="4" t="str">
        <f>IFERROR(__xludf.DUMMYFUNCTION("""COMPUTED_VALUE"""),"andrew.lund@onixnet.com")</f>
        <v>andrew.lund@onixnet.com</v>
      </c>
      <c r="D1320" s="4" t="str">
        <f>IFERROR(__xludf.DUMMYFUNCTION("""COMPUTED_VALUE"""),"Active")</f>
        <v>Active</v>
      </c>
      <c r="E1320" s="4" t="str">
        <f>IFERROR(__xludf.DUMMYFUNCTION("""COMPUTED_VALUE"""),"Solutions and Pre-Sales")</f>
        <v>Solutions and Pre-Sales</v>
      </c>
      <c r="F1320" s="4" t="str">
        <f>IFERROR(__xludf.DUMMYFUNCTION("""COMPUTED_VALUE"""),"Vittorio Massimo Sanvito")</f>
        <v>Vittorio Massimo Sanvito</v>
      </c>
      <c r="G1320" s="4" t="str">
        <f>IFERROR(__xludf.DUMMYFUNCTION("""COMPUTED_VALUE"""),"Portfolio - Ankur (Sales)")</f>
        <v>Portfolio - Ankur (Sales)</v>
      </c>
      <c r="H1320" s="4" t="str">
        <f>IFERROR(__xludf.DUMMYFUNCTION("""COMPUTED_VALUE"""),"ONIALKZM5")</f>
        <v>ONIALKZM5</v>
      </c>
      <c r="I1320" s="5">
        <f>IFERROR(__xludf.DUMMYFUNCTION("""COMPUTED_VALUE"""),0.0)</f>
        <v>0</v>
      </c>
      <c r="J1320" s="4" t="str">
        <f>IFERROR(__xludf.DUMMYFUNCTION("""COMPUTED_VALUE"""),"Tier 4")</f>
        <v>Tier 4</v>
      </c>
      <c r="K1320" s="4" t="str">
        <f>IFERROR(__xludf.DUMMYFUNCTION("""COMPUTED_VALUE"""),"ID Created DRP score 0")</f>
        <v>ID Created DRP score 0</v>
      </c>
      <c r="L1320" s="4"/>
    </row>
    <row r="1321">
      <c r="A1321" s="4" t="str">
        <f>IFERROR(__xludf.DUMMYFUNCTION("""COMPUTED_VALUE"""),"ONIX886")</f>
        <v>ONIX886</v>
      </c>
      <c r="B1321" s="4" t="str">
        <f>IFERROR(__xludf.DUMMYFUNCTION("""COMPUTED_VALUE"""),"Shivansh Shrivastava")</f>
        <v>Shivansh Shrivastava</v>
      </c>
      <c r="C1321" s="4" t="str">
        <f>IFERROR(__xludf.DUMMYFUNCTION("""COMPUTED_VALUE"""),"shivansh.shrivastava@onixnet.com")</f>
        <v>shivansh.shrivastava@onixnet.com</v>
      </c>
      <c r="D1321" s="4" t="str">
        <f>IFERROR(__xludf.DUMMYFUNCTION("""COMPUTED_VALUE"""),"Active")</f>
        <v>Active</v>
      </c>
      <c r="E1321" s="4" t="str">
        <f>IFERROR(__xludf.DUMMYFUNCTION("""COMPUTED_VALUE"""),"Delivery Services")</f>
        <v>Delivery Services</v>
      </c>
      <c r="F1321" s="4" t="str">
        <f>IFERROR(__xludf.DUMMYFUNCTION("""COMPUTED_VALUE"""),"Gaurav Agarwaal")</f>
        <v>Gaurav Agarwaal</v>
      </c>
      <c r="G1321" s="4" t="str">
        <f>IFERROR(__xludf.DUMMYFUNCTION("""COMPUTED_VALUE"""),"Portfolio - Gaurav A (Presales)")</f>
        <v>Portfolio - Gaurav A (Presales)</v>
      </c>
      <c r="H1321" s="4"/>
      <c r="I1321" s="5"/>
      <c r="J1321" s="4"/>
      <c r="K1321" s="4" t="str">
        <f>IFERROR(__xludf.DUMMYFUNCTION("""COMPUTED_VALUE"""),"ID Not Created")</f>
        <v>ID Not Created</v>
      </c>
      <c r="L1321" s="4"/>
    </row>
    <row r="1322">
      <c r="A1322" s="4" t="str">
        <f>IFERROR(__xludf.DUMMYFUNCTION("""COMPUTED_VALUE"""),"DME3288")</f>
        <v>DME3288</v>
      </c>
      <c r="B1322" s="4" t="str">
        <f>IFERROR(__xludf.DUMMYFUNCTION("""COMPUTED_VALUE"""),"Gayathri Keerthivasagam")</f>
        <v>Gayathri Keerthivasagam</v>
      </c>
      <c r="C1322" s="4" t="str">
        <f>IFERROR(__xludf.DUMMYFUNCTION("""COMPUTED_VALUE"""),"gayathri.k@onixnet.com")</f>
        <v>gayathri.k@onixnet.com</v>
      </c>
      <c r="D1322" s="4" t="str">
        <f>IFERROR(__xludf.DUMMYFUNCTION("""COMPUTED_VALUE"""),"Active")</f>
        <v>Active</v>
      </c>
      <c r="E1322" s="4" t="str">
        <f>IFERROR(__xludf.DUMMYFUNCTION("""COMPUTED_VALUE"""),"Product Engineering")</f>
        <v>Product Engineering</v>
      </c>
      <c r="F1322" s="4" t="str">
        <f>IFERROR(__xludf.DUMMYFUNCTION("""COMPUTED_VALUE"""),"Savan Tak")</f>
        <v>Savan Tak</v>
      </c>
      <c r="G1322" s="4" t="str">
        <f>IFERROR(__xludf.DUMMYFUNCTION("""COMPUTED_VALUE"""),"Cluster - Mayur")</f>
        <v>Cluster - Mayur</v>
      </c>
      <c r="H1322" s="4" t="str">
        <f>IFERROR(__xludf.DUMMYFUNCTION("""COMPUTED_VALUE"""),"ONIGKWGC0")</f>
        <v>ONIGKWGC0</v>
      </c>
      <c r="I1322" s="5">
        <f>IFERROR(__xludf.DUMMYFUNCTION("""COMPUTED_VALUE"""),5.0)</f>
        <v>5</v>
      </c>
      <c r="J1322" s="4" t="str">
        <f>IFERROR(__xludf.DUMMYFUNCTION("""COMPUTED_VALUE"""),"Tier 4")</f>
        <v>Tier 4</v>
      </c>
      <c r="K1322" s="4" t="str">
        <f>IFERROR(__xludf.DUMMYFUNCTION("""COMPUTED_VALUE"""),"Active")</f>
        <v>Active</v>
      </c>
      <c r="L1322" s="4" t="str">
        <f>IFERROR(__xludf.DUMMYFUNCTION("""COMPUTED_VALUE"""),"Gemini Enterprise Agent Platform")</f>
        <v>Gemini Enterprise Agent Platform</v>
      </c>
    </row>
    <row r="1323">
      <c r="A1323" s="4" t="str">
        <f>IFERROR(__xludf.DUMMYFUNCTION("""COMPUTED_VALUE"""),"DME3285")</f>
        <v>DME3285</v>
      </c>
      <c r="B1323" s="4" t="str">
        <f>IFERROR(__xludf.DUMMYFUNCTION("""COMPUTED_VALUE"""),"Sourabh Prakash Gaikwad")</f>
        <v>Sourabh Prakash Gaikwad</v>
      </c>
      <c r="C1323" s="4" t="str">
        <f>IFERROR(__xludf.DUMMYFUNCTION("""COMPUTED_VALUE"""),"sourabh.gaikwad@onixnet.com")</f>
        <v>sourabh.gaikwad@onixnet.com</v>
      </c>
      <c r="D1323" s="4" t="str">
        <f>IFERROR(__xludf.DUMMYFUNCTION("""COMPUTED_VALUE"""),"Active")</f>
        <v>Active</v>
      </c>
      <c r="E1323" s="4" t="str">
        <f>IFERROR(__xludf.DUMMYFUNCTION("""COMPUTED_VALUE"""),"Delivery Services")</f>
        <v>Delivery Services</v>
      </c>
      <c r="F1323" s="4" t="str">
        <f>IFERROR(__xludf.DUMMYFUNCTION("""COMPUTED_VALUE"""),"Aditya Kumar Agarwal")</f>
        <v>Aditya Kumar Agarwal</v>
      </c>
      <c r="G1323" s="4" t="str">
        <f>IFERROR(__xludf.DUMMYFUNCTION("""COMPUTED_VALUE"""),"Cluster - Sagar")</f>
        <v>Cluster - Sagar</v>
      </c>
      <c r="H1323" s="4" t="str">
        <f>IFERROR(__xludf.DUMMYFUNCTION("""COMPUTED_VALUE"""),"ONISGLGQ9")</f>
        <v>ONISGLGQ9</v>
      </c>
      <c r="I1323" s="5">
        <f>IFERROR(__xludf.DUMMYFUNCTION("""COMPUTED_VALUE"""),19.0)</f>
        <v>19</v>
      </c>
      <c r="J1323" s="4" t="str">
        <f>IFERROR(__xludf.DUMMYFUNCTION("""COMPUTED_VALUE"""),"Tier 4")</f>
        <v>Tier 4</v>
      </c>
      <c r="K1323" s="4" t="str">
        <f>IFERROR(__xludf.DUMMYFUNCTION("""COMPUTED_VALUE"""),"Active")</f>
        <v>Active</v>
      </c>
      <c r="L1323" s="4" t="str">
        <f>IFERROR(__xludf.DUMMYFUNCTION("""COMPUTED_VALUE"""),"BigQuery")</f>
        <v>BigQuery</v>
      </c>
    </row>
    <row r="1324">
      <c r="A1324" s="4" t="str">
        <f>IFERROR(__xludf.DUMMYFUNCTION("""COMPUTED_VALUE"""),"DME3286")</f>
        <v>DME3286</v>
      </c>
      <c r="B1324" s="4" t="str">
        <f>IFERROR(__xludf.DUMMYFUNCTION("""COMPUTED_VALUE"""),"Vaidya Nikhil Santosh")</f>
        <v>Vaidya Nikhil Santosh</v>
      </c>
      <c r="C1324" s="4" t="str">
        <f>IFERROR(__xludf.DUMMYFUNCTION("""COMPUTED_VALUE"""),"nikhil.vaidya@onixnet.com")</f>
        <v>nikhil.vaidya@onixnet.com</v>
      </c>
      <c r="D1324" s="4" t="str">
        <f>IFERROR(__xludf.DUMMYFUNCTION("""COMPUTED_VALUE"""),"Active")</f>
        <v>Active</v>
      </c>
      <c r="E1324" s="4" t="str">
        <f>IFERROR(__xludf.DUMMYFUNCTION("""COMPUTED_VALUE"""),"Delivery Services")</f>
        <v>Delivery Services</v>
      </c>
      <c r="F1324" s="4" t="str">
        <f>IFERROR(__xludf.DUMMYFUNCTION("""COMPUTED_VALUE"""),"Punam S Paliwal")</f>
        <v>Punam S Paliwal</v>
      </c>
      <c r="G1324" s="4" t="str">
        <f>IFERROR(__xludf.DUMMYFUNCTION("""COMPUTED_VALUE"""),"Cluster - Sagar")</f>
        <v>Cluster - Sagar</v>
      </c>
      <c r="H1324" s="4" t="str">
        <f>IFERROR(__xludf.DUMMYFUNCTION("""COMPUTED_VALUE"""),"DATNVZTT6")</f>
        <v>DATNVZTT6</v>
      </c>
      <c r="I1324" s="5">
        <f>IFERROR(__xludf.DUMMYFUNCTION("""COMPUTED_VALUE"""),19.0)</f>
        <v>19</v>
      </c>
      <c r="J1324" s="4" t="str">
        <f>IFERROR(__xludf.DUMMYFUNCTION("""COMPUTED_VALUE"""),"Tier 4")</f>
        <v>Tier 4</v>
      </c>
      <c r="K1324" s="4" t="str">
        <f>IFERROR(__xludf.DUMMYFUNCTION("""COMPUTED_VALUE"""),"Active")</f>
        <v>Active</v>
      </c>
      <c r="L1324" s="4" t="str">
        <f>IFERROR(__xludf.DUMMYFUNCTION("""COMPUTED_VALUE"""),"BigQuery")</f>
        <v>BigQuery</v>
      </c>
    </row>
    <row r="1325">
      <c r="A1325" s="4" t="str">
        <f>IFERROR(__xludf.DUMMYFUNCTION("""COMPUTED_VALUE"""),"DME3287")</f>
        <v>DME3287</v>
      </c>
      <c r="B1325" s="4" t="str">
        <f>IFERROR(__xludf.DUMMYFUNCTION("""COMPUTED_VALUE"""),"Vipransh Anand")</f>
        <v>Vipransh Anand</v>
      </c>
      <c r="C1325" s="4" t="str">
        <f>IFERROR(__xludf.DUMMYFUNCTION("""COMPUTED_VALUE"""),"vipransh.anand@onixnet.com")</f>
        <v>vipransh.anand@onixnet.com</v>
      </c>
      <c r="D1325" s="4" t="str">
        <f>IFERROR(__xludf.DUMMYFUNCTION("""COMPUTED_VALUE"""),"Active")</f>
        <v>Active</v>
      </c>
      <c r="E1325" s="4" t="str">
        <f>IFERROR(__xludf.DUMMYFUNCTION("""COMPUTED_VALUE"""),"Delivery Services")</f>
        <v>Delivery Services</v>
      </c>
      <c r="F1325" s="4" t="str">
        <f>IFERROR(__xludf.DUMMYFUNCTION("""COMPUTED_VALUE"""),"Pooja Chawda")</f>
        <v>Pooja Chawda</v>
      </c>
      <c r="G1325" s="4" t="str">
        <f>IFERROR(__xludf.DUMMYFUNCTION("""COMPUTED_VALUE"""),"Cluster - Sandeep")</f>
        <v>Cluster - Sandeep</v>
      </c>
      <c r="H1325" s="4" t="str">
        <f>IFERROR(__xludf.DUMMYFUNCTION("""COMPUTED_VALUE"""),"ONIVAKZY5")</f>
        <v>ONIVAKZY5</v>
      </c>
      <c r="I1325" s="5">
        <f>IFERROR(__xludf.DUMMYFUNCTION("""COMPUTED_VALUE"""),40.0)</f>
        <v>40</v>
      </c>
      <c r="J1325" s="4" t="str">
        <f>IFERROR(__xludf.DUMMYFUNCTION("""COMPUTED_VALUE"""),"Tier 2")</f>
        <v>Tier 2</v>
      </c>
      <c r="K1325" s="4" t="str">
        <f>IFERROR(__xludf.DUMMYFUNCTION("""COMPUTED_VALUE"""),"Active")</f>
        <v>Active</v>
      </c>
      <c r="L1325" s="4" t="str">
        <f>IFERROR(__xludf.DUMMYFUNCTION("""COMPUTED_VALUE"""),"Gemini Enterprise Agent Platform")</f>
        <v>Gemini Enterprise Agent Platform</v>
      </c>
    </row>
    <row r="1326">
      <c r="A1326" s="4" t="str">
        <f>IFERROR(__xludf.DUMMYFUNCTION("""COMPUTED_VALUE"""),"DME3290")</f>
        <v>DME3290</v>
      </c>
      <c r="B1326" s="4" t="str">
        <f>IFERROR(__xludf.DUMMYFUNCTION("""COMPUTED_VALUE"""),"Vaibhav Bhatnagar")</f>
        <v>Vaibhav Bhatnagar</v>
      </c>
      <c r="C1326" s="4" t="str">
        <f>IFERROR(__xludf.DUMMYFUNCTION("""COMPUTED_VALUE"""),"vaibhav.bhatnagar@onixnet.com")</f>
        <v>vaibhav.bhatnagar@onixnet.com</v>
      </c>
      <c r="D1326" s="4" t="str">
        <f>IFERROR(__xludf.DUMMYFUNCTION("""COMPUTED_VALUE"""),"Active")</f>
        <v>Active</v>
      </c>
      <c r="E1326" s="4" t="str">
        <f>IFERROR(__xludf.DUMMYFUNCTION("""COMPUTED_VALUE"""),"Product Engineering")</f>
        <v>Product Engineering</v>
      </c>
      <c r="F1326" s="4" t="str">
        <f>IFERROR(__xludf.DUMMYFUNCTION("""COMPUTED_VALUE"""),"Samarth Chowksay")</f>
        <v>Samarth Chowksay</v>
      </c>
      <c r="G1326" s="4" t="str">
        <f>IFERROR(__xludf.DUMMYFUNCTION("""COMPUTED_VALUE"""),"Cluster - Mayur")</f>
        <v>Cluster - Mayur</v>
      </c>
      <c r="H1326" s="4" t="str">
        <f>IFERROR(__xludf.DUMMYFUNCTION("""COMPUTED_VALUE"""),"ONIVBPYO0")</f>
        <v>ONIVBPYO0</v>
      </c>
      <c r="I1326" s="5">
        <f>IFERROR(__xludf.DUMMYFUNCTION("""COMPUTED_VALUE"""),25.0)</f>
        <v>25</v>
      </c>
      <c r="J1326" s="4" t="str">
        <f>IFERROR(__xludf.DUMMYFUNCTION("""COMPUTED_VALUE"""),"Tier 3")</f>
        <v>Tier 3</v>
      </c>
      <c r="K1326" s="4" t="str">
        <f>IFERROR(__xludf.DUMMYFUNCTION("""COMPUTED_VALUE"""),"Active")</f>
        <v>Active</v>
      </c>
      <c r="L1326" s="4"/>
    </row>
    <row r="1327">
      <c r="A1327" s="4" t="str">
        <f>IFERROR(__xludf.DUMMYFUNCTION("""COMPUTED_VALUE"""),"DME3291")</f>
        <v>DME3291</v>
      </c>
      <c r="B1327" s="4" t="str">
        <f>IFERROR(__xludf.DUMMYFUNCTION("""COMPUTED_VALUE"""),"Laxmikant")</f>
        <v>Laxmikant</v>
      </c>
      <c r="C1327" s="4" t="str">
        <f>IFERROR(__xludf.DUMMYFUNCTION("""COMPUTED_VALUE"""),"laxmikant.chavan@onixnet.com")</f>
        <v>laxmikant.chavan@onixnet.com</v>
      </c>
      <c r="D1327" s="4" t="str">
        <f>IFERROR(__xludf.DUMMYFUNCTION("""COMPUTED_VALUE"""),"Active")</f>
        <v>Active</v>
      </c>
      <c r="E1327" s="4" t="str">
        <f>IFERROR(__xludf.DUMMYFUNCTION("""COMPUTED_VALUE"""),"Product Engineering")</f>
        <v>Product Engineering</v>
      </c>
      <c r="F1327" s="4" t="str">
        <f>IFERROR(__xludf.DUMMYFUNCTION("""COMPUTED_VALUE"""),"Savan Tak")</f>
        <v>Savan Tak</v>
      </c>
      <c r="G1327" s="4" t="str">
        <f>IFERROR(__xludf.DUMMYFUNCTION("""COMPUTED_VALUE"""),"Cluster - Mayur")</f>
        <v>Cluster - Mayur</v>
      </c>
      <c r="H1327" s="4" t="str">
        <f>IFERROR(__xludf.DUMMYFUNCTION("""COMPUTED_VALUE"""),"ONILCIHR1")</f>
        <v>ONILCIHR1</v>
      </c>
      <c r="I1327" s="5">
        <f>IFERROR(__xludf.DUMMYFUNCTION("""COMPUTED_VALUE"""),0.0)</f>
        <v>0</v>
      </c>
      <c r="J1327" s="4" t="str">
        <f>IFERROR(__xludf.DUMMYFUNCTION("""COMPUTED_VALUE"""),"Tier 4")</f>
        <v>Tier 4</v>
      </c>
      <c r="K1327" s="4" t="str">
        <f>IFERROR(__xludf.DUMMYFUNCTION("""COMPUTED_VALUE"""),"ID Created DRP score 0")</f>
        <v>ID Created DRP score 0</v>
      </c>
      <c r="L1327" s="4"/>
    </row>
    <row r="1328">
      <c r="A1328" s="4" t="str">
        <f>IFERROR(__xludf.DUMMYFUNCTION("""COMPUTED_VALUE"""),"DME3293")</f>
        <v>DME3293</v>
      </c>
      <c r="B1328" s="4" t="str">
        <f>IFERROR(__xludf.DUMMYFUNCTION("""COMPUTED_VALUE"""),"Abdul Kalam")</f>
        <v>Abdul Kalam</v>
      </c>
      <c r="C1328" s="4" t="str">
        <f>IFERROR(__xludf.DUMMYFUNCTION("""COMPUTED_VALUE"""),"abdulkalam.a@onixnet.com")</f>
        <v>abdulkalam.a@onixnet.com</v>
      </c>
      <c r="D1328" s="4" t="str">
        <f>IFERROR(__xludf.DUMMYFUNCTION("""COMPUTED_VALUE"""),"Active")</f>
        <v>Active</v>
      </c>
      <c r="E1328" s="4" t="str">
        <f>IFERROR(__xludf.DUMMYFUNCTION("""COMPUTED_VALUE"""),"Delivery Services")</f>
        <v>Delivery Services</v>
      </c>
      <c r="F1328" s="4" t="str">
        <f>IFERROR(__xludf.DUMMYFUNCTION("""COMPUTED_VALUE"""),"Vedant Bhogawade")</f>
        <v>Vedant Bhogawade</v>
      </c>
      <c r="G1328" s="4" t="str">
        <f>IFERROR(__xludf.DUMMYFUNCTION("""COMPUTED_VALUE"""),"Cluster - Varun")</f>
        <v>Cluster - Varun</v>
      </c>
      <c r="H1328" s="4" t="str">
        <f>IFERROR(__xludf.DUMMYFUNCTION("""COMPUTED_VALUE"""),"ONIAKCTT7")</f>
        <v>ONIAKCTT7</v>
      </c>
      <c r="I1328" s="5">
        <f>IFERROR(__xludf.DUMMYFUNCTION("""COMPUTED_VALUE"""),5.0)</f>
        <v>5</v>
      </c>
      <c r="J1328" s="4" t="str">
        <f>IFERROR(__xludf.DUMMYFUNCTION("""COMPUTED_VALUE"""),"Tier 4")</f>
        <v>Tier 4</v>
      </c>
      <c r="K1328" s="4" t="str">
        <f>IFERROR(__xludf.DUMMYFUNCTION("""COMPUTED_VALUE"""),"Active")</f>
        <v>Active</v>
      </c>
      <c r="L1328" s="4" t="str">
        <f>IFERROR(__xludf.DUMMYFUNCTION("""COMPUTED_VALUE"""),"Google Kubernetes Engine")</f>
        <v>Google Kubernetes Engine</v>
      </c>
    </row>
    <row r="1329">
      <c r="A1329" s="4" t="str">
        <f>IFERROR(__xludf.DUMMYFUNCTION("""COMPUTED_VALUE"""),"DME3292")</f>
        <v>DME3292</v>
      </c>
      <c r="B1329" s="4" t="str">
        <f>IFERROR(__xludf.DUMMYFUNCTION("""COMPUTED_VALUE"""),"Abhishek Singh")</f>
        <v>Abhishek Singh</v>
      </c>
      <c r="C1329" s="4" t="str">
        <f>IFERROR(__xludf.DUMMYFUNCTION("""COMPUTED_VALUE"""),"abhishek.Singh1@onixnet.com")</f>
        <v>abhishek.Singh1@onixnet.com</v>
      </c>
      <c r="D1329" s="4" t="str">
        <f>IFERROR(__xludf.DUMMYFUNCTION("""COMPUTED_VALUE"""),"Active")</f>
        <v>Active</v>
      </c>
      <c r="E1329" s="4" t="str">
        <f>IFERROR(__xludf.DUMMYFUNCTION("""COMPUTED_VALUE"""),"Product Engineering")</f>
        <v>Product Engineering</v>
      </c>
      <c r="F1329" s="4" t="str">
        <f>IFERROR(__xludf.DUMMYFUNCTION("""COMPUTED_VALUE"""),"Venkat Shivkumar")</f>
        <v>Venkat Shivkumar</v>
      </c>
      <c r="G1329" s="4" t="str">
        <f>IFERROR(__xludf.DUMMYFUNCTION("""COMPUTED_VALUE"""),"Cluster - Mayur")</f>
        <v>Cluster - Mayur</v>
      </c>
      <c r="H1329" s="4" t="str">
        <f>IFERROR(__xludf.DUMMYFUNCTION("""COMPUTED_VALUE"""),"ONIASBED7")</f>
        <v>ONIASBED7</v>
      </c>
      <c r="I1329" s="5">
        <f>IFERROR(__xludf.DUMMYFUNCTION("""COMPUTED_VALUE"""),5.0)</f>
        <v>5</v>
      </c>
      <c r="J1329" s="4" t="str">
        <f>IFERROR(__xludf.DUMMYFUNCTION("""COMPUTED_VALUE"""),"Tier 4")</f>
        <v>Tier 4</v>
      </c>
      <c r="K1329" s="4" t="str">
        <f>IFERROR(__xludf.DUMMYFUNCTION("""COMPUTED_VALUE"""),"Active")</f>
        <v>Active</v>
      </c>
      <c r="L1329" s="4" t="str">
        <f>IFERROR(__xludf.DUMMYFUNCTION("""COMPUTED_VALUE"""),"BigQuery")</f>
        <v>BigQuery</v>
      </c>
    </row>
    <row r="1330">
      <c r="A1330" s="4" t="str">
        <f>IFERROR(__xludf.DUMMYFUNCTION("""COMPUTED_VALUE"""),"DME3294")</f>
        <v>DME3294</v>
      </c>
      <c r="B1330" s="4" t="str">
        <f>IFERROR(__xludf.DUMMYFUNCTION("""COMPUTED_VALUE"""),"Potta Pujitha")</f>
        <v>Potta Pujitha</v>
      </c>
      <c r="C1330" s="4" t="str">
        <f>IFERROR(__xludf.DUMMYFUNCTION("""COMPUTED_VALUE"""),"pujitha.potta@onixnet.com")</f>
        <v>pujitha.potta@onixnet.com</v>
      </c>
      <c r="D1330" s="4" t="str">
        <f>IFERROR(__xludf.DUMMYFUNCTION("""COMPUTED_VALUE"""),"Active")</f>
        <v>Active</v>
      </c>
      <c r="E1330" s="4" t="str">
        <f>IFERROR(__xludf.DUMMYFUNCTION("""COMPUTED_VALUE"""),"Delivery Services")</f>
        <v>Delivery Services</v>
      </c>
      <c r="F1330" s="4" t="str">
        <f>IFERROR(__xludf.DUMMYFUNCTION("""COMPUTED_VALUE"""),"Vedant Bhogawade")</f>
        <v>Vedant Bhogawade</v>
      </c>
      <c r="G1330" s="4" t="str">
        <f>IFERROR(__xludf.DUMMYFUNCTION("""COMPUTED_VALUE"""),"Cluster - Varun")</f>
        <v>Cluster - Varun</v>
      </c>
      <c r="H1330" s="4" t="str">
        <f>IFERROR(__xludf.DUMMYFUNCTION("""COMPUTED_VALUE"""),"ONIPPNMF1")</f>
        <v>ONIPPNMF1</v>
      </c>
      <c r="I1330" s="5">
        <f>IFERROR(__xludf.DUMMYFUNCTION("""COMPUTED_VALUE"""),0.0)</f>
        <v>0</v>
      </c>
      <c r="J1330" s="4" t="str">
        <f>IFERROR(__xludf.DUMMYFUNCTION("""COMPUTED_VALUE"""),"Tier 4")</f>
        <v>Tier 4</v>
      </c>
      <c r="K1330" s="4" t="str">
        <f>IFERROR(__xludf.DUMMYFUNCTION("""COMPUTED_VALUE"""),"ID Created DRP score 0")</f>
        <v>ID Created DRP score 0</v>
      </c>
      <c r="L1330" s="4"/>
    </row>
    <row r="1331">
      <c r="A1331" s="4" t="str">
        <f>IFERROR(__xludf.DUMMYFUNCTION("""COMPUTED_VALUE"""),"DME3295")</f>
        <v>DME3295</v>
      </c>
      <c r="B1331" s="4" t="str">
        <f>IFERROR(__xludf.DUMMYFUNCTION("""COMPUTED_VALUE"""),"Aarti Kuber Chaple")</f>
        <v>Aarti Kuber Chaple</v>
      </c>
      <c r="C1331" s="4" t="str">
        <f>IFERROR(__xludf.DUMMYFUNCTION("""COMPUTED_VALUE"""),"aarti.chaple@onixnet.com")</f>
        <v>aarti.chaple@onixnet.com</v>
      </c>
      <c r="D1331" s="4" t="str">
        <f>IFERROR(__xludf.DUMMYFUNCTION("""COMPUTED_VALUE"""),"Active")</f>
        <v>Active</v>
      </c>
      <c r="E1331" s="4" t="str">
        <f>IFERROR(__xludf.DUMMYFUNCTION("""COMPUTED_VALUE"""),"Delivery Services")</f>
        <v>Delivery Services</v>
      </c>
      <c r="F1331" s="4" t="str">
        <f>IFERROR(__xludf.DUMMYFUNCTION("""COMPUTED_VALUE"""),"Vijender Bhardwaj")</f>
        <v>Vijender Bhardwaj</v>
      </c>
      <c r="G1331" s="4" t="str">
        <f>IFERROR(__xludf.DUMMYFUNCTION("""COMPUTED_VALUE"""),"Cluster - Varun")</f>
        <v>Cluster - Varun</v>
      </c>
      <c r="H1331" s="4"/>
      <c r="I1331" s="5"/>
      <c r="J1331" s="4"/>
      <c r="K1331" s="4" t="str">
        <f>IFERROR(__xludf.DUMMYFUNCTION("""COMPUTED_VALUE"""),"ID Not Created")</f>
        <v>ID Not Created</v>
      </c>
      <c r="L1331" s="4"/>
    </row>
    <row r="1332">
      <c r="A1332" s="4" t="str">
        <f>IFERROR(__xludf.DUMMYFUNCTION("""COMPUTED_VALUE"""),"ONIX887")</f>
        <v>ONIX887</v>
      </c>
      <c r="B1332" s="4" t="str">
        <f>IFERROR(__xludf.DUMMYFUNCTION("""COMPUTED_VALUE"""),"Corey Mercy")</f>
        <v>Corey Mercy</v>
      </c>
      <c r="C1332" s="4" t="str">
        <f>IFERROR(__xludf.DUMMYFUNCTION("""COMPUTED_VALUE"""),"corey.mercy@onixnet.com")</f>
        <v>corey.mercy@onixnet.com</v>
      </c>
      <c r="D1332" s="4" t="str">
        <f>IFERROR(__xludf.DUMMYFUNCTION("""COMPUTED_VALUE"""),"Active")</f>
        <v>Active</v>
      </c>
      <c r="E1332" s="4" t="str">
        <f>IFERROR(__xludf.DUMMYFUNCTION("""COMPUTED_VALUE"""),"Sales Services")</f>
        <v>Sales Services</v>
      </c>
      <c r="F1332" s="4" t="str">
        <f>IFERROR(__xludf.DUMMYFUNCTION("""COMPUTED_VALUE"""),"Ganesh Ramamoorthy")</f>
        <v>Ganesh Ramamoorthy</v>
      </c>
      <c r="G1332" s="4" t="str">
        <f>IFERROR(__xludf.DUMMYFUNCTION("""COMPUTED_VALUE"""),"Portfolio - Ankur (Sales)")</f>
        <v>Portfolio - Ankur (Sales)</v>
      </c>
      <c r="H1332" s="4" t="str">
        <f>IFERROR(__xludf.DUMMYFUNCTION("""COMPUTED_VALUE"""),"ONICMCTI9")</f>
        <v>ONICMCTI9</v>
      </c>
      <c r="I1332" s="5">
        <f>IFERROR(__xludf.DUMMYFUNCTION("""COMPUTED_VALUE"""),0.0)</f>
        <v>0</v>
      </c>
      <c r="J1332" s="4" t="str">
        <f>IFERROR(__xludf.DUMMYFUNCTION("""COMPUTED_VALUE"""),"Tier 4")</f>
        <v>Tier 4</v>
      </c>
      <c r="K1332" s="4" t="str">
        <f>IFERROR(__xludf.DUMMYFUNCTION("""COMPUTED_VALUE"""),"ID Created DRP score 0")</f>
        <v>ID Created DRP score 0</v>
      </c>
      <c r="L1332" s="4"/>
    </row>
    <row r="1333">
      <c r="A1333" s="4" t="str">
        <f>IFERROR(__xludf.DUMMYFUNCTION("""COMPUTED_VALUE"""),"DME3297")</f>
        <v>DME3297</v>
      </c>
      <c r="B1333" s="4" t="str">
        <f>IFERROR(__xludf.DUMMYFUNCTION("""COMPUTED_VALUE"""),"KORRAYI  VENKATA SIVA GANESH YADAV")</f>
        <v>KORRAYI  VENKATA SIVA GANESH YADAV</v>
      </c>
      <c r="C1333" s="4" t="str">
        <f>IFERROR(__xludf.DUMMYFUNCTION("""COMPUTED_VALUE"""),"ganesh.korrayi@onixnet.com")</f>
        <v>ganesh.korrayi@onixnet.com</v>
      </c>
      <c r="D1333" s="4" t="str">
        <f>IFERROR(__xludf.DUMMYFUNCTION("""COMPUTED_VALUE"""),"Active")</f>
        <v>Active</v>
      </c>
      <c r="E1333" s="4" t="str">
        <f>IFERROR(__xludf.DUMMYFUNCTION("""COMPUTED_VALUE"""),"Delivery Services")</f>
        <v>Delivery Services</v>
      </c>
      <c r="F1333" s="4" t="str">
        <f>IFERROR(__xludf.DUMMYFUNCTION("""COMPUTED_VALUE"""),"Priyanka Jain")</f>
        <v>Priyanka Jain</v>
      </c>
      <c r="G1333" s="4" t="str">
        <f>IFERROR(__xludf.DUMMYFUNCTION("""COMPUTED_VALUE"""),"Cluster - Sagar")</f>
        <v>Cluster - Sagar</v>
      </c>
      <c r="H1333" s="4" t="str">
        <f>IFERROR(__xludf.DUMMYFUNCTION("""COMPUTED_VALUE"""),"ONIVKUFK2")</f>
        <v>ONIVKUFK2</v>
      </c>
      <c r="I1333" s="5">
        <f>IFERROR(__xludf.DUMMYFUNCTION("""COMPUTED_VALUE"""),0.0)</f>
        <v>0</v>
      </c>
      <c r="J1333" s="4" t="str">
        <f>IFERROR(__xludf.DUMMYFUNCTION("""COMPUTED_VALUE"""),"Tier 4")</f>
        <v>Tier 4</v>
      </c>
      <c r="K1333" s="4" t="str">
        <f>IFERROR(__xludf.DUMMYFUNCTION("""COMPUTED_VALUE"""),"ID Created DRP score 0")</f>
        <v>ID Created DRP score 0</v>
      </c>
      <c r="L1333" s="4"/>
    </row>
    <row r="1334">
      <c r="A1334" s="4" t="str">
        <f>IFERROR(__xludf.DUMMYFUNCTION("""COMPUTED_VALUE"""),"ONIX894")</f>
        <v>ONIX894</v>
      </c>
      <c r="B1334" s="4" t="str">
        <f>IFERROR(__xludf.DUMMYFUNCTION("""COMPUTED_VALUE"""),"David Herman-Ifueko")</f>
        <v>David Herman-Ifueko</v>
      </c>
      <c r="C1334" s="4" t="str">
        <f>IFERROR(__xludf.DUMMYFUNCTION("""COMPUTED_VALUE"""),"david.herman@onixnet.com")</f>
        <v>david.herman@onixnet.com</v>
      </c>
      <c r="D1334" s="4" t="str">
        <f>IFERROR(__xludf.DUMMYFUNCTION("""COMPUTED_VALUE"""),"Active")</f>
        <v>Active</v>
      </c>
      <c r="E1334" s="4" t="str">
        <f>IFERROR(__xludf.DUMMYFUNCTION("""COMPUTED_VALUE"""),"Delivery Services")</f>
        <v>Delivery Services</v>
      </c>
      <c r="F1334" s="4" t="str">
        <f>IFERROR(__xludf.DUMMYFUNCTION("""COMPUTED_VALUE"""),"LeePatrick McIntire")</f>
        <v>LeePatrick McIntire</v>
      </c>
      <c r="G1334" s="4" t="str">
        <f>IFERROR(__xludf.DUMMYFUNCTION("""COMPUTED_VALUE"""),"Portfolio - Thomas (AI)")</f>
        <v>Portfolio - Thomas (AI)</v>
      </c>
      <c r="H1334" s="4" t="str">
        <f>IFERROR(__xludf.DUMMYFUNCTION("""COMPUTED_VALUE"""),"ONIDHFEY5")</f>
        <v>ONIDHFEY5</v>
      </c>
      <c r="I1334" s="5">
        <f>IFERROR(__xludf.DUMMYFUNCTION("""COMPUTED_VALUE"""),24.0)</f>
        <v>24</v>
      </c>
      <c r="J1334" s="4" t="str">
        <f>IFERROR(__xludf.DUMMYFUNCTION("""COMPUTED_VALUE"""),"Tier 3")</f>
        <v>Tier 3</v>
      </c>
      <c r="K1334" s="4" t="str">
        <f>IFERROR(__xludf.DUMMYFUNCTION("""COMPUTED_VALUE"""),"Active")</f>
        <v>Active</v>
      </c>
      <c r="L1334" s="4" t="str">
        <f>IFERROR(__xludf.DUMMYFUNCTION("""COMPUTED_VALUE"""),"Gemini Enterprise")</f>
        <v>Gemini Enterprise</v>
      </c>
    </row>
    <row r="1335">
      <c r="A1335" s="4" t="str">
        <f>IFERROR(__xludf.DUMMYFUNCTION("""COMPUTED_VALUE"""),"ONIX891")</f>
        <v>ONIX891</v>
      </c>
      <c r="B1335" s="4" t="str">
        <f>IFERROR(__xludf.DUMMYFUNCTION("""COMPUTED_VALUE"""),"Lucien Goode")</f>
        <v>Lucien Goode</v>
      </c>
      <c r="C1335" s="4" t="str">
        <f>IFERROR(__xludf.DUMMYFUNCTION("""COMPUTED_VALUE"""),"lucien.goode@onixnet.com")</f>
        <v>lucien.goode@onixnet.com</v>
      </c>
      <c r="D1335" s="4" t="str">
        <f>IFERROR(__xludf.DUMMYFUNCTION("""COMPUTED_VALUE"""),"Active")</f>
        <v>Active</v>
      </c>
      <c r="E1335" s="4" t="str">
        <f>IFERROR(__xludf.DUMMYFUNCTION("""COMPUTED_VALUE"""),"Delivery Services")</f>
        <v>Delivery Services</v>
      </c>
      <c r="F1335" s="4" t="str">
        <f>IFERROR(__xludf.DUMMYFUNCTION("""COMPUTED_VALUE"""),"David Noudaranouvong")</f>
        <v>David Noudaranouvong</v>
      </c>
      <c r="G1335" s="4" t="str">
        <f>IFERROR(__xludf.DUMMYFUNCTION("""COMPUTED_VALUE"""),"Portfolio - Thomas (AI)")</f>
        <v>Portfolio - Thomas (AI)</v>
      </c>
      <c r="H1335" s="4" t="str">
        <f>IFERROR(__xludf.DUMMYFUNCTION("""COMPUTED_VALUE"""),"ONILGTOE4")</f>
        <v>ONILGTOE4</v>
      </c>
      <c r="I1335" s="5">
        <f>IFERROR(__xludf.DUMMYFUNCTION("""COMPUTED_VALUE"""),9.0)</f>
        <v>9</v>
      </c>
      <c r="J1335" s="4" t="str">
        <f>IFERROR(__xludf.DUMMYFUNCTION("""COMPUTED_VALUE"""),"Tier 4")</f>
        <v>Tier 4</v>
      </c>
      <c r="K1335" s="4" t="str">
        <f>IFERROR(__xludf.DUMMYFUNCTION("""COMPUTED_VALUE"""),"Active")</f>
        <v>Active</v>
      </c>
      <c r="L1335" s="4" t="str">
        <f>IFERROR(__xludf.DUMMYFUNCTION("""COMPUTED_VALUE"""),"Gemini Enterprise Agent Platform")</f>
        <v>Gemini Enterprise Agent Platform</v>
      </c>
    </row>
    <row r="1336">
      <c r="A1336" s="4" t="str">
        <f>IFERROR(__xludf.DUMMYFUNCTION("""COMPUTED_VALUE"""),"ONIX892")</f>
        <v>ONIX892</v>
      </c>
      <c r="B1336" s="4" t="str">
        <f>IFERROR(__xludf.DUMMYFUNCTION("""COMPUTED_VALUE"""),"Tessa Juengst")</f>
        <v>Tessa Juengst</v>
      </c>
      <c r="C1336" s="4" t="str">
        <f>IFERROR(__xludf.DUMMYFUNCTION("""COMPUTED_VALUE"""),"tessa.juengst@onixnet.com")</f>
        <v>tessa.juengst@onixnet.com</v>
      </c>
      <c r="D1336" s="4" t="str">
        <f>IFERROR(__xludf.DUMMYFUNCTION("""COMPUTED_VALUE"""),"Active")</f>
        <v>Active</v>
      </c>
      <c r="E1336" s="4" t="str">
        <f>IFERROR(__xludf.DUMMYFUNCTION("""COMPUTED_VALUE"""),"Delivery Services")</f>
        <v>Delivery Services</v>
      </c>
      <c r="F1336" s="4" t="str">
        <f>IFERROR(__xludf.DUMMYFUNCTION("""COMPUTED_VALUE"""),"Pawan Kamat")</f>
        <v>Pawan Kamat</v>
      </c>
      <c r="G1336" s="4" t="str">
        <f>IFERROR(__xludf.DUMMYFUNCTION("""COMPUTED_VALUE"""),"Portfolio - Kanth")</f>
        <v>Portfolio - Kanth</v>
      </c>
      <c r="H1336" s="4" t="str">
        <f>IFERROR(__xludf.DUMMYFUNCTION("""COMPUTED_VALUE"""),"ONITJFRS5")</f>
        <v>ONITJFRS5</v>
      </c>
      <c r="I1336" s="5">
        <f>IFERROR(__xludf.DUMMYFUNCTION("""COMPUTED_VALUE"""),0.0)</f>
        <v>0</v>
      </c>
      <c r="J1336" s="4" t="str">
        <f>IFERROR(__xludf.DUMMYFUNCTION("""COMPUTED_VALUE"""),"Tier 4")</f>
        <v>Tier 4</v>
      </c>
      <c r="K1336" s="4" t="str">
        <f>IFERROR(__xludf.DUMMYFUNCTION("""COMPUTED_VALUE"""),"ID Created DRP score 0")</f>
        <v>ID Created DRP score 0</v>
      </c>
      <c r="L1336" s="4"/>
    </row>
    <row r="1337">
      <c r="A1337" s="4" t="str">
        <f>IFERROR(__xludf.DUMMYFUNCTION("""COMPUTED_VALUE"""),"ONIX890")</f>
        <v>ONIX890</v>
      </c>
      <c r="B1337" s="4" t="str">
        <f>IFERROR(__xludf.DUMMYFUNCTION("""COMPUTED_VALUE"""),"Thorton Paul")</f>
        <v>Thorton Paul</v>
      </c>
      <c r="C1337" s="4" t="str">
        <f>IFERROR(__xludf.DUMMYFUNCTION("""COMPUTED_VALUE"""),"thorton.paul@onixnet.com")</f>
        <v>thorton.paul@onixnet.com</v>
      </c>
      <c r="D1337" s="4" t="str">
        <f>IFERROR(__xludf.DUMMYFUNCTION("""COMPUTED_VALUE"""),"Active")</f>
        <v>Active</v>
      </c>
      <c r="E1337" s="4" t="str">
        <f>IFERROR(__xludf.DUMMYFUNCTION("""COMPUTED_VALUE"""),"Services Management")</f>
        <v>Services Management</v>
      </c>
      <c r="F1337" s="4" t="str">
        <f>IFERROR(__xludf.DUMMYFUNCTION("""COMPUTED_VALUE"""),"Kathleen Hansen")</f>
        <v>Kathleen Hansen</v>
      </c>
      <c r="G1337" s="4" t="str">
        <f>IFERROR(__xludf.DUMMYFUNCTION("""COMPUTED_VALUE"""),"Portfolio - Ankur (Sales)")</f>
        <v>Portfolio - Ankur (Sales)</v>
      </c>
      <c r="H1337" s="4" t="str">
        <f>IFERROR(__xludf.DUMMYFUNCTION("""COMPUTED_VALUE"""),"ONITPXDT7")</f>
        <v>ONITPXDT7</v>
      </c>
      <c r="I1337" s="5">
        <f>IFERROR(__xludf.DUMMYFUNCTION("""COMPUTED_VALUE"""),0.0)</f>
        <v>0</v>
      </c>
      <c r="J1337" s="4" t="str">
        <f>IFERROR(__xludf.DUMMYFUNCTION("""COMPUTED_VALUE"""),"Tier 4")</f>
        <v>Tier 4</v>
      </c>
      <c r="K1337" s="4" t="str">
        <f>IFERROR(__xludf.DUMMYFUNCTION("""COMPUTED_VALUE"""),"ID Created DRP score 0")</f>
        <v>ID Created DRP score 0</v>
      </c>
      <c r="L1337" s="4"/>
    </row>
    <row r="1338">
      <c r="A1338" s="4" t="str">
        <f>IFERROR(__xludf.DUMMYFUNCTION("""COMPUTED_VALUE"""),"ONIX889")</f>
        <v>ONIX889</v>
      </c>
      <c r="B1338" s="4" t="str">
        <f>IFERROR(__xludf.DUMMYFUNCTION("""COMPUTED_VALUE"""),"Vijay Saharan")</f>
        <v>Vijay Saharan</v>
      </c>
      <c r="C1338" s="4" t="str">
        <f>IFERROR(__xludf.DUMMYFUNCTION("""COMPUTED_VALUE"""),"vijay.saharan@onixnet.com")</f>
        <v>vijay.saharan@onixnet.com</v>
      </c>
      <c r="D1338" s="4" t="str">
        <f>IFERROR(__xludf.DUMMYFUNCTION("""COMPUTED_VALUE"""),"Active")</f>
        <v>Active</v>
      </c>
      <c r="E1338" s="4" t="str">
        <f>IFERROR(__xludf.DUMMYFUNCTION("""COMPUTED_VALUE"""),"Delivery Services")</f>
        <v>Delivery Services</v>
      </c>
      <c r="F1338" s="4" t="str">
        <f>IFERROR(__xludf.DUMMYFUNCTION("""COMPUTED_VALUE"""),"Venkata Naresh Kajjayam")</f>
        <v>Venkata Naresh Kajjayam</v>
      </c>
      <c r="G1338" s="4" t="str">
        <f>IFERROR(__xludf.DUMMYFUNCTION("""COMPUTED_VALUE"""),"Portfolio - Kanth")</f>
        <v>Portfolio - Kanth</v>
      </c>
      <c r="H1338" s="4" t="str">
        <f>IFERROR(__xludf.DUMMYFUNCTION("""COMPUTED_VALUE"""),"ONIVSYUR7")</f>
        <v>ONIVSYUR7</v>
      </c>
      <c r="I1338" s="5">
        <f>IFERROR(__xludf.DUMMYFUNCTION("""COMPUTED_VALUE"""),0.0)</f>
        <v>0</v>
      </c>
      <c r="J1338" s="4" t="str">
        <f>IFERROR(__xludf.DUMMYFUNCTION("""COMPUTED_VALUE"""),"Tier 4")</f>
        <v>Tier 4</v>
      </c>
      <c r="K1338" s="4" t="str">
        <f>IFERROR(__xludf.DUMMYFUNCTION("""COMPUTED_VALUE"""),"ID Created DRP score 0")</f>
        <v>ID Created DRP score 0</v>
      </c>
      <c r="L1338" s="4"/>
    </row>
    <row r="1339">
      <c r="A1339" s="4" t="str">
        <f>IFERROR(__xludf.DUMMYFUNCTION("""COMPUTED_VALUE"""),"DME3299")</f>
        <v>DME3299</v>
      </c>
      <c r="B1339" s="4" t="str">
        <f>IFERROR(__xludf.DUMMYFUNCTION("""COMPUTED_VALUE"""),"Kalyani Sahebrao Gaware")</f>
        <v>Kalyani Sahebrao Gaware</v>
      </c>
      <c r="C1339" s="4" t="str">
        <f>IFERROR(__xludf.DUMMYFUNCTION("""COMPUTED_VALUE"""),"kalyani.gaware@onixnet.com")</f>
        <v>kalyani.gaware@onixnet.com</v>
      </c>
      <c r="D1339" s="4" t="str">
        <f>IFERROR(__xludf.DUMMYFUNCTION("""COMPUTED_VALUE"""),"Active")</f>
        <v>Active</v>
      </c>
      <c r="E1339" s="4" t="str">
        <f>IFERROR(__xludf.DUMMYFUNCTION("""COMPUTED_VALUE"""),"Delivery Services")</f>
        <v>Delivery Services</v>
      </c>
      <c r="F1339" s="4" t="str">
        <f>IFERROR(__xludf.DUMMYFUNCTION("""COMPUTED_VALUE"""),"Vedant Bhogawade")</f>
        <v>Vedant Bhogawade</v>
      </c>
      <c r="G1339" s="4" t="str">
        <f>IFERROR(__xludf.DUMMYFUNCTION("""COMPUTED_VALUE"""),"Cluster - Varun")</f>
        <v>Cluster - Varun</v>
      </c>
      <c r="H1339" s="4" t="str">
        <f>IFERROR(__xludf.DUMMYFUNCTION("""COMPUTED_VALUE"""),"ONIKGMAN6")</f>
        <v>ONIKGMAN6</v>
      </c>
      <c r="I1339" s="5">
        <f>IFERROR(__xludf.DUMMYFUNCTION("""COMPUTED_VALUE"""),5.0)</f>
        <v>5</v>
      </c>
      <c r="J1339" s="4" t="str">
        <f>IFERROR(__xludf.DUMMYFUNCTION("""COMPUTED_VALUE"""),"Tier 4")</f>
        <v>Tier 4</v>
      </c>
      <c r="K1339" s="4" t="str">
        <f>IFERROR(__xludf.DUMMYFUNCTION("""COMPUTED_VALUE"""),"Active")</f>
        <v>Active</v>
      </c>
      <c r="L1339" s="4" t="str">
        <f>IFERROR(__xludf.DUMMYFUNCTION("""COMPUTED_VALUE"""),"BigQuery")</f>
        <v>BigQuery</v>
      </c>
    </row>
    <row r="1340">
      <c r="A1340" s="4" t="str">
        <f>IFERROR(__xludf.DUMMYFUNCTION("""COMPUTED_VALUE"""),"DME3300")</f>
        <v>DME3300</v>
      </c>
      <c r="B1340" s="4" t="str">
        <f>IFERROR(__xludf.DUMMYFUNCTION("""COMPUTED_VALUE"""),"Shaifali Banta")</f>
        <v>Shaifali Banta</v>
      </c>
      <c r="C1340" s="4" t="str">
        <f>IFERROR(__xludf.DUMMYFUNCTION("""COMPUTED_VALUE"""),"shaifali.banta@onixnet.com")</f>
        <v>shaifali.banta@onixnet.com</v>
      </c>
      <c r="D1340" s="4" t="str">
        <f>IFERROR(__xludf.DUMMYFUNCTION("""COMPUTED_VALUE"""),"Active")</f>
        <v>Active</v>
      </c>
      <c r="E1340" s="4" t="str">
        <f>IFERROR(__xludf.DUMMYFUNCTION("""COMPUTED_VALUE"""),"Product Engineering")</f>
        <v>Product Engineering</v>
      </c>
      <c r="F1340" s="4" t="str">
        <f>IFERROR(__xludf.DUMMYFUNCTION("""COMPUTED_VALUE"""),"Anand Sharma")</f>
        <v>Anand Sharma</v>
      </c>
      <c r="G1340" s="4" t="str">
        <f>IFERROR(__xludf.DUMMYFUNCTION("""COMPUTED_VALUE"""),"Cluster - Mayur")</f>
        <v>Cluster - Mayur</v>
      </c>
      <c r="H1340" s="4" t="str">
        <f>IFERROR(__xludf.DUMMYFUNCTION("""COMPUTED_VALUE"""),"ONISBEAK7")</f>
        <v>ONISBEAK7</v>
      </c>
      <c r="I1340" s="5">
        <f>IFERROR(__xludf.DUMMYFUNCTION("""COMPUTED_VALUE"""),0.0)</f>
        <v>0</v>
      </c>
      <c r="J1340" s="4" t="str">
        <f>IFERROR(__xludf.DUMMYFUNCTION("""COMPUTED_VALUE"""),"Tier 4")</f>
        <v>Tier 4</v>
      </c>
      <c r="K1340" s="4" t="str">
        <f>IFERROR(__xludf.DUMMYFUNCTION("""COMPUTED_VALUE"""),"ID Created DRP score 0")</f>
        <v>ID Created DRP score 0</v>
      </c>
      <c r="L1340" s="4"/>
    </row>
    <row r="1341">
      <c r="A1341" s="4" t="str">
        <f>IFERROR(__xludf.DUMMYFUNCTION("""COMPUTED_VALUE"""),"DME3304")</f>
        <v>DME3304</v>
      </c>
      <c r="B1341" s="4" t="str">
        <f>IFERROR(__xludf.DUMMYFUNCTION("""COMPUTED_VALUE"""),"Sanket Keshav Kumbhar")</f>
        <v>Sanket Keshav Kumbhar</v>
      </c>
      <c r="C1341" s="4" t="str">
        <f>IFERROR(__xludf.DUMMYFUNCTION("""COMPUTED_VALUE"""),"sanket.kumbhar@onixnet.com")</f>
        <v>sanket.kumbhar@onixnet.com</v>
      </c>
      <c r="D1341" s="4" t="str">
        <f>IFERROR(__xludf.DUMMYFUNCTION("""COMPUTED_VALUE"""),"Active")</f>
        <v>Active</v>
      </c>
      <c r="E1341" s="4" t="str">
        <f>IFERROR(__xludf.DUMMYFUNCTION("""COMPUTED_VALUE"""),"Solutions and Pre-Sales")</f>
        <v>Solutions and Pre-Sales</v>
      </c>
      <c r="F1341" s="4" t="str">
        <f>IFERROR(__xludf.DUMMYFUNCTION("""COMPUTED_VALUE"""),"Priya Ranjan")</f>
        <v>Priya Ranjan</v>
      </c>
      <c r="G1341" s="4" t="str">
        <f>IFERROR(__xludf.DUMMYFUNCTION("""COMPUTED_VALUE"""),"Portfolio - Gaurav A (Presales)")</f>
        <v>Portfolio - Gaurav A (Presales)</v>
      </c>
      <c r="H1341" s="4"/>
      <c r="I1341" s="5"/>
      <c r="J1341" s="4"/>
      <c r="K1341" s="4" t="str">
        <f>IFERROR(__xludf.DUMMYFUNCTION("""COMPUTED_VALUE"""),"ID Not Created")</f>
        <v>ID Not Created</v>
      </c>
      <c r="L1341" s="4"/>
    </row>
    <row r="1342">
      <c r="A1342" s="4" t="str">
        <f>IFERROR(__xludf.DUMMYFUNCTION("""COMPUTED_VALUE"""),"ONIX897")</f>
        <v>ONIX897</v>
      </c>
      <c r="B1342" s="4" t="str">
        <f>IFERROR(__xludf.DUMMYFUNCTION("""COMPUTED_VALUE"""),"Alex Tate-Moffo")</f>
        <v>Alex Tate-Moffo</v>
      </c>
      <c r="C1342" s="4" t="str">
        <f>IFERROR(__xludf.DUMMYFUNCTION("""COMPUTED_VALUE"""),"alex.tatemoffo@onixnet.com")</f>
        <v>alex.tatemoffo@onixnet.com</v>
      </c>
      <c r="D1342" s="4" t="str">
        <f>IFERROR(__xludf.DUMMYFUNCTION("""COMPUTED_VALUE"""),"Active")</f>
        <v>Active</v>
      </c>
      <c r="E1342" s="4" t="str">
        <f>IFERROR(__xludf.DUMMYFUNCTION("""COMPUTED_VALUE"""),"Delivery Services")</f>
        <v>Delivery Services</v>
      </c>
      <c r="F1342" s="4" t="str">
        <f>IFERROR(__xludf.DUMMYFUNCTION("""COMPUTED_VALUE"""),"James Vandermost")</f>
        <v>James Vandermost</v>
      </c>
      <c r="G1342" s="4" t="str">
        <f>IFERROR(__xludf.DUMMYFUNCTION("""COMPUTED_VALUE"""),"Portfolio - Thomas (AI)")</f>
        <v>Portfolio - Thomas (AI)</v>
      </c>
      <c r="H1342" s="4" t="str">
        <f>IFERROR(__xludf.DUMMYFUNCTION("""COMPUTED_VALUE"""),"ONIATOMB8")</f>
        <v>ONIATOMB8</v>
      </c>
      <c r="I1342" s="5">
        <f>IFERROR(__xludf.DUMMYFUNCTION("""COMPUTED_VALUE"""),49.0)</f>
        <v>49</v>
      </c>
      <c r="J1342" s="4" t="str">
        <f>IFERROR(__xludf.DUMMYFUNCTION("""COMPUTED_VALUE"""),"Tier 2")</f>
        <v>Tier 2</v>
      </c>
      <c r="K1342" s="4" t="str">
        <f>IFERROR(__xludf.DUMMYFUNCTION("""COMPUTED_VALUE"""),"Active")</f>
        <v>Active</v>
      </c>
      <c r="L1342" s="4" t="str">
        <f>IFERROR(__xludf.DUMMYFUNCTION("""COMPUTED_VALUE"""),"Gemini Enterprise Agent Platform")</f>
        <v>Gemini Enterprise Agent Platform</v>
      </c>
    </row>
    <row r="1343">
      <c r="A1343" s="4" t="str">
        <f>IFERROR(__xludf.DUMMYFUNCTION("""COMPUTED_VALUE"""),"DME3305")</f>
        <v>DME3305</v>
      </c>
      <c r="B1343" s="4" t="str">
        <f>IFERROR(__xludf.DUMMYFUNCTION("""COMPUTED_VALUE"""),"S Rashmi")</f>
        <v>S Rashmi</v>
      </c>
      <c r="C1343" s="4" t="str">
        <f>IFERROR(__xludf.DUMMYFUNCTION("""COMPUTED_VALUE"""),"rashmi.s@onixnet.com")</f>
        <v>rashmi.s@onixnet.com</v>
      </c>
      <c r="D1343" s="4" t="str">
        <f>IFERROR(__xludf.DUMMYFUNCTION("""COMPUTED_VALUE"""),"Active")</f>
        <v>Active</v>
      </c>
      <c r="E1343" s="4" t="str">
        <f>IFERROR(__xludf.DUMMYFUNCTION("""COMPUTED_VALUE"""),"Delivery Services")</f>
        <v>Delivery Services</v>
      </c>
      <c r="F1343" s="4" t="str">
        <f>IFERROR(__xludf.DUMMYFUNCTION("""COMPUTED_VALUE"""),"Devayani Girish Pillai")</f>
        <v>Devayani Girish Pillai</v>
      </c>
      <c r="G1343" s="4" t="str">
        <f>IFERROR(__xludf.DUMMYFUNCTION("""COMPUTED_VALUE"""),"Cluster - Devayani")</f>
        <v>Cluster - Devayani</v>
      </c>
      <c r="H1343" s="4" t="str">
        <f>IFERROR(__xludf.DUMMYFUNCTION("""COMPUTED_VALUE"""),"ONIRSAEX0")</f>
        <v>ONIRSAEX0</v>
      </c>
      <c r="I1343" s="5">
        <f>IFERROR(__xludf.DUMMYFUNCTION("""COMPUTED_VALUE"""),24.0)</f>
        <v>24</v>
      </c>
      <c r="J1343" s="4" t="str">
        <f>IFERROR(__xludf.DUMMYFUNCTION("""COMPUTED_VALUE"""),"Tier 3")</f>
        <v>Tier 3</v>
      </c>
      <c r="K1343" s="4" t="str">
        <f>IFERROR(__xludf.DUMMYFUNCTION("""COMPUTED_VALUE"""),"Active")</f>
        <v>Active</v>
      </c>
      <c r="L1343" s="4" t="str">
        <f>IFERROR(__xludf.DUMMYFUNCTION("""COMPUTED_VALUE"""),"Gemini Enterprise Agent Platform")</f>
        <v>Gemini Enterprise Agent Platform</v>
      </c>
    </row>
    <row r="1344">
      <c r="A1344" s="4" t="str">
        <f>IFERROR(__xludf.DUMMYFUNCTION("""COMPUTED_VALUE"""),"ONIX896")</f>
        <v>ONIX896</v>
      </c>
      <c r="B1344" s="4" t="str">
        <f>IFERROR(__xludf.DUMMYFUNCTION("""COMPUTED_VALUE"""),"Randall Eldridge")</f>
        <v>Randall Eldridge</v>
      </c>
      <c r="C1344" s="4" t="str">
        <f>IFERROR(__xludf.DUMMYFUNCTION("""COMPUTED_VALUE"""),"chad.eldridge@onixnet.com")</f>
        <v>chad.eldridge@onixnet.com</v>
      </c>
      <c r="D1344" s="4" t="str">
        <f>IFERROR(__xludf.DUMMYFUNCTION("""COMPUTED_VALUE"""),"Active")</f>
        <v>Active</v>
      </c>
      <c r="E1344" s="4" t="str">
        <f>IFERROR(__xludf.DUMMYFUNCTION("""COMPUTED_VALUE"""),"Delivery Services")</f>
        <v>Delivery Services</v>
      </c>
      <c r="F1344" s="4" t="str">
        <f>IFERROR(__xludf.DUMMYFUNCTION("""COMPUTED_VALUE"""),"LeePatrick McIntire")</f>
        <v>LeePatrick McIntire</v>
      </c>
      <c r="G1344" s="4" t="str">
        <f>IFERROR(__xludf.DUMMYFUNCTION("""COMPUTED_VALUE"""),"Portfolio - Thomas (AI)")</f>
        <v>Portfolio - Thomas (AI)</v>
      </c>
      <c r="H1344" s="4" t="str">
        <f>IFERROR(__xludf.DUMMYFUNCTION("""COMPUTED_VALUE"""),"ONICEDTP8")</f>
        <v>ONICEDTP8</v>
      </c>
      <c r="I1344" s="5">
        <f>IFERROR(__xludf.DUMMYFUNCTION("""COMPUTED_VALUE"""),19.0)</f>
        <v>19</v>
      </c>
      <c r="J1344" s="4" t="str">
        <f>IFERROR(__xludf.DUMMYFUNCTION("""COMPUTED_VALUE"""),"Tier 4")</f>
        <v>Tier 4</v>
      </c>
      <c r="K1344" s="4" t="str">
        <f>IFERROR(__xludf.DUMMYFUNCTION("""COMPUTED_VALUE"""),"Active")</f>
        <v>Active</v>
      </c>
      <c r="L1344" s="4" t="str">
        <f>IFERROR(__xludf.DUMMYFUNCTION("""COMPUTED_VALUE"""),"Google Cloud Networking")</f>
        <v>Google Cloud Networking</v>
      </c>
    </row>
    <row r="1345">
      <c r="A1345" s="4" t="str">
        <f>IFERROR(__xludf.DUMMYFUNCTION("""COMPUTED_VALUE"""),"ONIX898")</f>
        <v>ONIX898</v>
      </c>
      <c r="B1345" s="4" t="str">
        <f>IFERROR(__xludf.DUMMYFUNCTION("""COMPUTED_VALUE"""),"Tiffany Valentina")</f>
        <v>Tiffany Valentina</v>
      </c>
      <c r="C1345" s="4" t="str">
        <f>IFERROR(__xludf.DUMMYFUNCTION("""COMPUTED_VALUE"""),"tiffany.valentina@onixnet.com")</f>
        <v>tiffany.valentina@onixnet.com</v>
      </c>
      <c r="D1345" s="4" t="str">
        <f>IFERROR(__xludf.DUMMYFUNCTION("""COMPUTED_VALUE"""),"Active")</f>
        <v>Active</v>
      </c>
      <c r="E1345" s="4" t="str">
        <f>IFERROR(__xludf.DUMMYFUNCTION("""COMPUTED_VALUE"""),"Delivery Services")</f>
        <v>Delivery Services</v>
      </c>
      <c r="F1345" s="4" t="str">
        <f>IFERROR(__xludf.DUMMYFUNCTION("""COMPUTED_VALUE"""),"Kyle Clark")</f>
        <v>Kyle Clark</v>
      </c>
      <c r="G1345" s="4" t="str">
        <f>IFERROR(__xludf.DUMMYFUNCTION("""COMPUTED_VALUE"""),"Portfolio - Thomas (AI)")</f>
        <v>Portfolio - Thomas (AI)</v>
      </c>
      <c r="H1345" s="4" t="str">
        <f>IFERROR(__xludf.DUMMYFUNCTION("""COMPUTED_VALUE"""),"ONITVNON3")</f>
        <v>ONITVNON3</v>
      </c>
      <c r="I1345" s="5">
        <f>IFERROR(__xludf.DUMMYFUNCTION("""COMPUTED_VALUE"""),24.0)</f>
        <v>24</v>
      </c>
      <c r="J1345" s="4" t="str">
        <f>IFERROR(__xludf.DUMMYFUNCTION("""COMPUTED_VALUE"""),"Tier 3")</f>
        <v>Tier 3</v>
      </c>
      <c r="K1345" s="4" t="str">
        <f>IFERROR(__xludf.DUMMYFUNCTION("""COMPUTED_VALUE"""),"Active")</f>
        <v>Active</v>
      </c>
      <c r="L1345" s="4" t="str">
        <f>IFERROR(__xludf.DUMMYFUNCTION("""COMPUTED_VALUE"""),"Gemini Enterprise Agent Platform")</f>
        <v>Gemini Enterprise Agent Platform</v>
      </c>
    </row>
    <row r="1346">
      <c r="A1346" s="4" t="str">
        <f>IFERROR(__xludf.DUMMYFUNCTION("""COMPUTED_VALUE"""),"DME3307")</f>
        <v>DME3307</v>
      </c>
      <c r="B1346" s="4" t="str">
        <f>IFERROR(__xludf.DUMMYFUNCTION("""COMPUTED_VALUE"""),"Shreya Vijaykumar Ashtekar")</f>
        <v>Shreya Vijaykumar Ashtekar</v>
      </c>
      <c r="C1346" s="4" t="str">
        <f>IFERROR(__xludf.DUMMYFUNCTION("""COMPUTED_VALUE"""),"shreya.ashtekar@onixnet.com")</f>
        <v>shreya.ashtekar@onixnet.com</v>
      </c>
      <c r="D1346" s="4" t="str">
        <f>IFERROR(__xludf.DUMMYFUNCTION("""COMPUTED_VALUE"""),"Active")</f>
        <v>Active</v>
      </c>
      <c r="E1346" s="4" t="str">
        <f>IFERROR(__xludf.DUMMYFUNCTION("""COMPUTED_VALUE"""),"Delivery Services")</f>
        <v>Delivery Services</v>
      </c>
      <c r="F1346" s="4" t="str">
        <f>IFERROR(__xludf.DUMMYFUNCTION("""COMPUTED_VALUE"""),"Naveen Harish")</f>
        <v>Naveen Harish</v>
      </c>
      <c r="G1346" s="4" t="str">
        <f>IFERROR(__xludf.DUMMYFUNCTION("""COMPUTED_VALUE"""),"Cluster - Varun")</f>
        <v>Cluster - Varun</v>
      </c>
      <c r="H1346" s="4" t="str">
        <f>IFERROR(__xludf.DUMMYFUNCTION("""COMPUTED_VALUE"""),"ONISAKNG3")</f>
        <v>ONISAKNG3</v>
      </c>
      <c r="I1346" s="5">
        <f>IFERROR(__xludf.DUMMYFUNCTION("""COMPUTED_VALUE"""),0.0)</f>
        <v>0</v>
      </c>
      <c r="J1346" s="4" t="str">
        <f>IFERROR(__xludf.DUMMYFUNCTION("""COMPUTED_VALUE"""),"Tier 4")</f>
        <v>Tier 4</v>
      </c>
      <c r="K1346" s="4" t="str">
        <f>IFERROR(__xludf.DUMMYFUNCTION("""COMPUTED_VALUE"""),"ID Created DRP score 0")</f>
        <v>ID Created DRP score 0</v>
      </c>
      <c r="L1346" s="4"/>
    </row>
    <row r="1347">
      <c r="A1347" s="4" t="str">
        <f>IFERROR(__xludf.DUMMYFUNCTION("""COMPUTED_VALUE"""),"ONIX899")</f>
        <v>ONIX899</v>
      </c>
      <c r="B1347" s="4" t="str">
        <f>IFERROR(__xludf.DUMMYFUNCTION("""COMPUTED_VALUE"""),"Ilia Borovoi")</f>
        <v>Ilia Borovoi</v>
      </c>
      <c r="C1347" s="4" t="str">
        <f>IFERROR(__xludf.DUMMYFUNCTION("""COMPUTED_VALUE"""),"ilia.borovoi@onixnet.com")</f>
        <v>ilia.borovoi@onixnet.com</v>
      </c>
      <c r="D1347" s="4" t="str">
        <f>IFERROR(__xludf.DUMMYFUNCTION("""COMPUTED_VALUE"""),"Active")</f>
        <v>Active</v>
      </c>
      <c r="E1347" s="4" t="str">
        <f>IFERROR(__xludf.DUMMYFUNCTION("""COMPUTED_VALUE"""),"Delivery Services")</f>
        <v>Delivery Services</v>
      </c>
      <c r="F1347" s="4" t="str">
        <f>IFERROR(__xludf.DUMMYFUNCTION("""COMPUTED_VALUE"""),"LeePatrick McIntire")</f>
        <v>LeePatrick McIntire</v>
      </c>
      <c r="G1347" s="4" t="str">
        <f>IFERROR(__xludf.DUMMYFUNCTION("""COMPUTED_VALUE"""),"Portfolio - Thomas (AI)")</f>
        <v>Portfolio - Thomas (AI)</v>
      </c>
      <c r="H1347" s="4" t="str">
        <f>IFERROR(__xludf.DUMMYFUNCTION("""COMPUTED_VALUE"""),"ONIIBWYL1")</f>
        <v>ONIIBWYL1</v>
      </c>
      <c r="I1347" s="5">
        <f>IFERROR(__xludf.DUMMYFUNCTION("""COMPUTED_VALUE"""),14.0)</f>
        <v>14</v>
      </c>
      <c r="J1347" s="4" t="str">
        <f>IFERROR(__xludf.DUMMYFUNCTION("""COMPUTED_VALUE"""),"Tier 4")</f>
        <v>Tier 4</v>
      </c>
      <c r="K1347" s="4" t="str">
        <f>IFERROR(__xludf.DUMMYFUNCTION("""COMPUTED_VALUE"""),"Active")</f>
        <v>Active</v>
      </c>
      <c r="L1347" s="4" t="str">
        <f>IFERROR(__xludf.DUMMYFUNCTION("""COMPUTED_VALUE"""),"Apigee API Management")</f>
        <v>Apigee API Management</v>
      </c>
    </row>
    <row r="1348">
      <c r="A1348" s="4" t="str">
        <f>IFERROR(__xludf.DUMMYFUNCTION("""COMPUTED_VALUE"""),"DMC1209")</f>
        <v>DMC1209</v>
      </c>
      <c r="B1348" s="4" t="str">
        <f>IFERROR(__xludf.DUMMYFUNCTION("""COMPUTED_VALUE"""),"Abhay Madhorao Shahare")</f>
        <v>Abhay Madhorao Shahare</v>
      </c>
      <c r="C1348" s="4" t="str">
        <f>IFERROR(__xludf.DUMMYFUNCTION("""COMPUTED_VALUE"""),"abhay.shahare@onixnet.us")</f>
        <v>abhay.shahare@onixnet.us</v>
      </c>
      <c r="D1348" s="4" t="str">
        <f>IFERROR(__xludf.DUMMYFUNCTION("""COMPUTED_VALUE"""),"Active")</f>
        <v>Active</v>
      </c>
      <c r="E1348" s="4" t="str">
        <f>IFERROR(__xludf.DUMMYFUNCTION("""COMPUTED_VALUE"""),"Delivery Services")</f>
        <v>Delivery Services</v>
      </c>
      <c r="F1348" s="4" t="str">
        <f>IFERROR(__xludf.DUMMYFUNCTION("""COMPUTED_VALUE"""),"Sumati Patil")</f>
        <v>Sumati Patil</v>
      </c>
      <c r="G1348" s="4" t="str">
        <f>IFERROR(__xludf.DUMMYFUNCTION("""COMPUTED_VALUE"""),"Cluster - Sandeep")</f>
        <v>Cluster - Sandeep</v>
      </c>
      <c r="H1348" s="4" t="str">
        <f>IFERROR(__xludf.DUMMYFUNCTION("""COMPUTED_VALUE"""),"ONIASYJJ5")</f>
        <v>ONIASYJJ5</v>
      </c>
      <c r="I1348" s="5">
        <f>IFERROR(__xludf.DUMMYFUNCTION("""COMPUTED_VALUE"""),5.0)</f>
        <v>5</v>
      </c>
      <c r="J1348" s="4" t="str">
        <f>IFERROR(__xludf.DUMMYFUNCTION("""COMPUTED_VALUE"""),"Tier 4")</f>
        <v>Tier 4</v>
      </c>
      <c r="K1348" s="4" t="str">
        <f>IFERROR(__xludf.DUMMYFUNCTION("""COMPUTED_VALUE"""),"Active")</f>
        <v>Active</v>
      </c>
      <c r="L1348" s="4"/>
    </row>
    <row r="1349">
      <c r="A1349" s="4" t="str">
        <f>IFERROR(__xludf.DUMMYFUNCTION("""COMPUTED_VALUE"""),"DME3308")</f>
        <v>DME3308</v>
      </c>
      <c r="B1349" s="4" t="str">
        <f>IFERROR(__xludf.DUMMYFUNCTION("""COMPUTED_VALUE"""),"Addvija Shekhar Medhekar")</f>
        <v>Addvija Shekhar Medhekar</v>
      </c>
      <c r="C1349" s="4" t="str">
        <f>IFERROR(__xludf.DUMMYFUNCTION("""COMPUTED_VALUE"""),"addvija.medhekar@onixnet.com")</f>
        <v>addvija.medhekar@onixnet.com</v>
      </c>
      <c r="D1349" s="4" t="str">
        <f>IFERROR(__xludf.DUMMYFUNCTION("""COMPUTED_VALUE"""),"Active")</f>
        <v>Active</v>
      </c>
      <c r="E1349" s="4" t="str">
        <f>IFERROR(__xludf.DUMMYFUNCTION("""COMPUTED_VALUE"""),"Product Engineering")</f>
        <v>Product Engineering</v>
      </c>
      <c r="F1349" s="4" t="str">
        <f>IFERROR(__xludf.DUMMYFUNCTION("""COMPUTED_VALUE"""),"Imtiyaz Pathan")</f>
        <v>Imtiyaz Pathan</v>
      </c>
      <c r="G1349" s="4" t="str">
        <f>IFERROR(__xludf.DUMMYFUNCTION("""COMPUTED_VALUE"""),"Cluster - Mayur")</f>
        <v>Cluster - Mayur</v>
      </c>
      <c r="H1349" s="4"/>
      <c r="I1349" s="5"/>
      <c r="J1349" s="4"/>
      <c r="K1349" s="4" t="str">
        <f>IFERROR(__xludf.DUMMYFUNCTION("""COMPUTED_VALUE"""),"ID Not Created")</f>
        <v>ID Not Created</v>
      </c>
      <c r="L1349" s="4"/>
    </row>
    <row r="1350">
      <c r="A1350" s="4" t="str">
        <f>IFERROR(__xludf.DUMMYFUNCTION("""COMPUTED_VALUE"""),"DME3309")</f>
        <v>DME3309</v>
      </c>
      <c r="B1350" s="4" t="str">
        <f>IFERROR(__xludf.DUMMYFUNCTION("""COMPUTED_VALUE"""),"Sure Venkata Srinivasulu")</f>
        <v>Sure Venkata Srinivasulu</v>
      </c>
      <c r="C1350" s="4" t="str">
        <f>IFERROR(__xludf.DUMMYFUNCTION("""COMPUTED_VALUE"""),"srinivasulu.venkata@onixnet.com")</f>
        <v>srinivasulu.venkata@onixnet.com</v>
      </c>
      <c r="D1350" s="4" t="str">
        <f>IFERROR(__xludf.DUMMYFUNCTION("""COMPUTED_VALUE"""),"Active")</f>
        <v>Active</v>
      </c>
      <c r="E1350" s="4" t="str">
        <f>IFERROR(__xludf.DUMMYFUNCTION("""COMPUTED_VALUE"""),"Delivery Services")</f>
        <v>Delivery Services</v>
      </c>
      <c r="F1350" s="4" t="str">
        <f>IFERROR(__xludf.DUMMYFUNCTION("""COMPUTED_VALUE"""),"Naveen Harish")</f>
        <v>Naveen Harish</v>
      </c>
      <c r="G1350" s="4" t="str">
        <f>IFERROR(__xludf.DUMMYFUNCTION("""COMPUTED_VALUE"""),"Cluster - Varun")</f>
        <v>Cluster - Varun</v>
      </c>
      <c r="H1350" s="4" t="str">
        <f>IFERROR(__xludf.DUMMYFUNCTION("""COMPUTED_VALUE"""),"ONIVSTSW3")</f>
        <v>ONIVSTSW3</v>
      </c>
      <c r="I1350" s="5">
        <f>IFERROR(__xludf.DUMMYFUNCTION("""COMPUTED_VALUE"""),0.0)</f>
        <v>0</v>
      </c>
      <c r="J1350" s="4" t="str">
        <f>IFERROR(__xludf.DUMMYFUNCTION("""COMPUTED_VALUE"""),"Tier 4")</f>
        <v>Tier 4</v>
      </c>
      <c r="K1350" s="4" t="str">
        <f>IFERROR(__xludf.DUMMYFUNCTION("""COMPUTED_VALUE"""),"ID Created DRP score 0")</f>
        <v>ID Created DRP score 0</v>
      </c>
      <c r="L1350" s="4"/>
    </row>
    <row r="1351">
      <c r="A1351" s="4" t="str">
        <f>IFERROR(__xludf.DUMMYFUNCTION("""COMPUTED_VALUE"""),"DME3310")</f>
        <v>DME3310</v>
      </c>
      <c r="B1351" s="4" t="str">
        <f>IFERROR(__xludf.DUMMYFUNCTION("""COMPUTED_VALUE"""),"Samadhan Sanjay Ghuge")</f>
        <v>Samadhan Sanjay Ghuge</v>
      </c>
      <c r="C1351" s="4" t="str">
        <f>IFERROR(__xludf.DUMMYFUNCTION("""COMPUTED_VALUE"""),"samadhan.ghuge@onixnet.com")</f>
        <v>samadhan.ghuge@onixnet.com</v>
      </c>
      <c r="D1351" s="4" t="str">
        <f>IFERROR(__xludf.DUMMYFUNCTION("""COMPUTED_VALUE"""),"Active")</f>
        <v>Active</v>
      </c>
      <c r="E1351" s="4" t="str">
        <f>IFERROR(__xludf.DUMMYFUNCTION("""COMPUTED_VALUE"""),"Delivery Services")</f>
        <v>Delivery Services</v>
      </c>
      <c r="F1351" s="4" t="str">
        <f>IFERROR(__xludf.DUMMYFUNCTION("""COMPUTED_VALUE"""),"Varun Katyal")</f>
        <v>Varun Katyal</v>
      </c>
      <c r="G1351" s="4" t="str">
        <f>IFERROR(__xludf.DUMMYFUNCTION("""COMPUTED_VALUE"""),"Cluster - Varun")</f>
        <v>Cluster - Varun</v>
      </c>
      <c r="H1351" s="4" t="str">
        <f>IFERROR(__xludf.DUMMYFUNCTION("""COMPUTED_VALUE"""),"DATSGIAK7")</f>
        <v>DATSGIAK7</v>
      </c>
      <c r="I1351" s="5">
        <f>IFERROR(__xludf.DUMMYFUNCTION("""COMPUTED_VALUE"""),11.0)</f>
        <v>11</v>
      </c>
      <c r="J1351" s="4" t="str">
        <f>IFERROR(__xludf.DUMMYFUNCTION("""COMPUTED_VALUE"""),"Tier 4")</f>
        <v>Tier 4</v>
      </c>
      <c r="K1351" s="4" t="str">
        <f>IFERROR(__xludf.DUMMYFUNCTION("""COMPUTED_VALUE"""),"Active")</f>
        <v>Active</v>
      </c>
      <c r="L1351" s="4" t="str">
        <f>IFERROR(__xludf.DUMMYFUNCTION("""COMPUTED_VALUE"""),"Google Kubernetes Engine")</f>
        <v>Google Kubernetes Engine</v>
      </c>
    </row>
    <row r="1352">
      <c r="A1352" s="4" t="str">
        <f>IFERROR(__xludf.DUMMYFUNCTION("""COMPUTED_VALUE"""),"ONIX902")</f>
        <v>ONIX902</v>
      </c>
      <c r="B1352" s="4" t="str">
        <f>IFERROR(__xludf.DUMMYFUNCTION("""COMPUTED_VALUE"""),"Kate Chavira")</f>
        <v>Kate Chavira</v>
      </c>
      <c r="C1352" s="4" t="str">
        <f>IFERROR(__xludf.DUMMYFUNCTION("""COMPUTED_VALUE"""),"kate.chavira@onixnet.us")</f>
        <v>kate.chavira@onixnet.us</v>
      </c>
      <c r="D1352" s="4" t="str">
        <f>IFERROR(__xludf.DUMMYFUNCTION("""COMPUTED_VALUE"""),"Active")</f>
        <v>Active</v>
      </c>
      <c r="E1352" s="4" t="str">
        <f>IFERROR(__xludf.DUMMYFUNCTION("""COMPUTED_VALUE"""),"Delivery Services")</f>
        <v>Delivery Services</v>
      </c>
      <c r="F1352" s="4" t="str">
        <f>IFERROR(__xludf.DUMMYFUNCTION("""COMPUTED_VALUE"""),"LeePatrick McIntire")</f>
        <v>LeePatrick McIntire</v>
      </c>
      <c r="G1352" s="4" t="str">
        <f>IFERROR(__xludf.DUMMYFUNCTION("""COMPUTED_VALUE"""),"Portfolio - Thomas (AI)")</f>
        <v>Portfolio - Thomas (AI)</v>
      </c>
      <c r="H1352" s="4" t="str">
        <f>IFERROR(__xludf.DUMMYFUNCTION("""COMPUTED_VALUE"""),"ONIKCLWA3")</f>
        <v>ONIKCLWA3</v>
      </c>
      <c r="I1352" s="5">
        <f>IFERROR(__xludf.DUMMYFUNCTION("""COMPUTED_VALUE"""),0.0)</f>
        <v>0</v>
      </c>
      <c r="J1352" s="4" t="str">
        <f>IFERROR(__xludf.DUMMYFUNCTION("""COMPUTED_VALUE"""),"Tier 4")</f>
        <v>Tier 4</v>
      </c>
      <c r="K1352" s="4" t="str">
        <f>IFERROR(__xludf.DUMMYFUNCTION("""COMPUTED_VALUE"""),"ID Created DRP score 0")</f>
        <v>ID Created DRP score 0</v>
      </c>
      <c r="L1352" s="4"/>
    </row>
    <row r="1353">
      <c r="A1353" s="4" t="str">
        <f>IFERROR(__xludf.DUMMYFUNCTION("""COMPUTED_VALUE"""),"ONIX900")</f>
        <v>ONIX900</v>
      </c>
      <c r="B1353" s="4" t="str">
        <f>IFERROR(__xludf.DUMMYFUNCTION("""COMPUTED_VALUE"""),"Daniel Root")</f>
        <v>Daniel Root</v>
      </c>
      <c r="C1353" s="4" t="str">
        <f>IFERROR(__xludf.DUMMYFUNCTION("""COMPUTED_VALUE"""),"daniel.root@onixnet.com")</f>
        <v>daniel.root@onixnet.com</v>
      </c>
      <c r="D1353" s="4" t="str">
        <f>IFERROR(__xludf.DUMMYFUNCTION("""COMPUTED_VALUE"""),"Active")</f>
        <v>Active</v>
      </c>
      <c r="E1353" s="4" t="str">
        <f>IFERROR(__xludf.DUMMYFUNCTION("""COMPUTED_VALUE"""),"Delivery Services")</f>
        <v>Delivery Services</v>
      </c>
      <c r="F1353" s="4" t="str">
        <f>IFERROR(__xludf.DUMMYFUNCTION("""COMPUTED_VALUE"""),"Thomas Kraus")</f>
        <v>Thomas Kraus</v>
      </c>
      <c r="G1353" s="4" t="str">
        <f>IFERROR(__xludf.DUMMYFUNCTION("""COMPUTED_VALUE"""),"Portfolio - Thomas (AI)")</f>
        <v>Portfolio - Thomas (AI)</v>
      </c>
      <c r="H1353" s="4" t="str">
        <f>IFERROR(__xludf.DUMMYFUNCTION("""COMPUTED_VALUE"""),"ONIWRVCI8")</f>
        <v>ONIWRVCI8</v>
      </c>
      <c r="I1353" s="5">
        <f>IFERROR(__xludf.DUMMYFUNCTION("""COMPUTED_VALUE"""),14.0)</f>
        <v>14</v>
      </c>
      <c r="J1353" s="4" t="str">
        <f>IFERROR(__xludf.DUMMYFUNCTION("""COMPUTED_VALUE"""),"Tier 4")</f>
        <v>Tier 4</v>
      </c>
      <c r="K1353" s="4" t="str">
        <f>IFERROR(__xludf.DUMMYFUNCTION("""COMPUTED_VALUE"""),"Active")</f>
        <v>Active</v>
      </c>
      <c r="L1353" s="4" t="str">
        <f>IFERROR(__xludf.DUMMYFUNCTION("""COMPUTED_VALUE"""),"Apigee API Management")</f>
        <v>Apigee API Management</v>
      </c>
    </row>
    <row r="1354">
      <c r="A1354" s="4" t="str">
        <f>IFERROR(__xludf.DUMMYFUNCTION("""COMPUTED_VALUE"""),"ONIX901")</f>
        <v>ONIX901</v>
      </c>
      <c r="B1354" s="4" t="str">
        <f>IFERROR(__xludf.DUMMYFUNCTION("""COMPUTED_VALUE"""),"David Constantino")</f>
        <v>David Constantino</v>
      </c>
      <c r="C1354" s="4" t="str">
        <f>IFERROR(__xludf.DUMMYFUNCTION("""COMPUTED_VALUE"""),"david.constantino@onixnet.com")</f>
        <v>david.constantino@onixnet.com</v>
      </c>
      <c r="D1354" s="4" t="str">
        <f>IFERROR(__xludf.DUMMYFUNCTION("""COMPUTED_VALUE"""),"Active")</f>
        <v>Active</v>
      </c>
      <c r="E1354" s="4" t="str">
        <f>IFERROR(__xludf.DUMMYFUNCTION("""COMPUTED_VALUE"""),"Sales Overlay")</f>
        <v>Sales Overlay</v>
      </c>
      <c r="F1354" s="4" t="str">
        <f>IFERROR(__xludf.DUMMYFUNCTION("""COMPUTED_VALUE"""),"Prag Singh")</f>
        <v>Prag Singh</v>
      </c>
      <c r="G1354" s="4" t="str">
        <f>IFERROR(__xludf.DUMMYFUNCTION("""COMPUTED_VALUE"""),"Portfolio - Ankur (Sales)")</f>
        <v>Portfolio - Ankur (Sales)</v>
      </c>
      <c r="H1354" s="4" t="str">
        <f>IFERROR(__xludf.DUMMYFUNCTION("""COMPUTED_VALUE"""),"ONIDCFHN7")</f>
        <v>ONIDCFHN7</v>
      </c>
      <c r="I1354" s="5">
        <f>IFERROR(__xludf.DUMMYFUNCTION("""COMPUTED_VALUE"""),29.0)</f>
        <v>29</v>
      </c>
      <c r="J1354" s="4" t="str">
        <f>IFERROR(__xludf.DUMMYFUNCTION("""COMPUTED_VALUE"""),"Tier 3")</f>
        <v>Tier 3</v>
      </c>
      <c r="K1354" s="4" t="str">
        <f>IFERROR(__xludf.DUMMYFUNCTION("""COMPUTED_VALUE"""),"Active")</f>
        <v>Active</v>
      </c>
      <c r="L1354" s="4" t="str">
        <f>IFERROR(__xludf.DUMMYFUNCTION("""COMPUTED_VALUE"""),"Gemini Enterprise")</f>
        <v>Gemini Enterprise</v>
      </c>
    </row>
    <row r="1355">
      <c r="A1355" s="4" t="str">
        <f>IFERROR(__xludf.DUMMYFUNCTION("""COMPUTED_VALUE"""),"ONIX903")</f>
        <v>ONIX903</v>
      </c>
      <c r="B1355" s="4" t="str">
        <f>IFERROR(__xludf.DUMMYFUNCTION("""COMPUTED_VALUE"""),"Eric Kerney")</f>
        <v>Eric Kerney</v>
      </c>
      <c r="C1355" s="4" t="str">
        <f>IFERROR(__xludf.DUMMYFUNCTION("""COMPUTED_VALUE"""),"eric.kerney@onixnet.com")</f>
        <v>eric.kerney@onixnet.com</v>
      </c>
      <c r="D1355" s="4" t="str">
        <f>IFERROR(__xludf.DUMMYFUNCTION("""COMPUTED_VALUE"""),"Active")</f>
        <v>Active</v>
      </c>
      <c r="E1355" s="4" t="str">
        <f>IFERROR(__xludf.DUMMYFUNCTION("""COMPUTED_VALUE"""),"Maps")</f>
        <v>Maps</v>
      </c>
      <c r="F1355" s="4" t="str">
        <f>IFERROR(__xludf.DUMMYFUNCTION("""COMPUTED_VALUE"""),"Joel Martens")</f>
        <v>Joel Martens</v>
      </c>
      <c r="G1355" s="4" t="str">
        <f>IFERROR(__xludf.DUMMYFUNCTION("""COMPUTED_VALUE"""),"Portfolio - Scott")</f>
        <v>Portfolio - Scott</v>
      </c>
      <c r="H1355" s="4" t="str">
        <f>IFERROR(__xludf.DUMMYFUNCTION("""COMPUTED_VALUE"""),"ONIEKFDA4")</f>
        <v>ONIEKFDA4</v>
      </c>
      <c r="I1355" s="5">
        <f>IFERROR(__xludf.DUMMYFUNCTION("""COMPUTED_VALUE"""),0.0)</f>
        <v>0</v>
      </c>
      <c r="J1355" s="4" t="str">
        <f>IFERROR(__xludf.DUMMYFUNCTION("""COMPUTED_VALUE"""),"Tier 4")</f>
        <v>Tier 4</v>
      </c>
      <c r="K1355" s="4" t="str">
        <f>IFERROR(__xludf.DUMMYFUNCTION("""COMPUTED_VALUE"""),"ID Created DRP score 0")</f>
        <v>ID Created DRP score 0</v>
      </c>
      <c r="L1355" s="4"/>
    </row>
    <row r="1356">
      <c r="A1356" s="4" t="str">
        <f>IFERROR(__xludf.DUMMYFUNCTION("""COMPUTED_VALUE"""),"ONIX904")</f>
        <v>ONIX904</v>
      </c>
      <c r="B1356" s="4" t="str">
        <f>IFERROR(__xludf.DUMMYFUNCTION("""COMPUTED_VALUE"""),"Subramanyeshwar Gunturu")</f>
        <v>Subramanyeshwar Gunturu</v>
      </c>
      <c r="C1356" s="4" t="str">
        <f>IFERROR(__xludf.DUMMYFUNCTION("""COMPUTED_VALUE"""),"subram.gunturu@onixnet.com")</f>
        <v>subram.gunturu@onixnet.com</v>
      </c>
      <c r="D1356" s="4" t="str">
        <f>IFERROR(__xludf.DUMMYFUNCTION("""COMPUTED_VALUE"""),"Active")</f>
        <v>Active</v>
      </c>
      <c r="E1356" s="4" t="str">
        <f>IFERROR(__xludf.DUMMYFUNCTION("""COMPUTED_VALUE"""),"Delivery Services")</f>
        <v>Delivery Services</v>
      </c>
      <c r="F1356" s="4" t="str">
        <f>IFERROR(__xludf.DUMMYFUNCTION("""COMPUTED_VALUE"""),"Venkata Naresh Kajjayam")</f>
        <v>Venkata Naresh Kajjayam</v>
      </c>
      <c r="G1356" s="4" t="str">
        <f>IFERROR(__xludf.DUMMYFUNCTION("""COMPUTED_VALUE"""),"Portfolio - Kanth")</f>
        <v>Portfolio - Kanth</v>
      </c>
      <c r="H1356" s="4"/>
      <c r="I1356" s="5"/>
      <c r="J1356" s="4"/>
      <c r="K1356" s="4" t="str">
        <f>IFERROR(__xludf.DUMMYFUNCTION("""COMPUTED_VALUE"""),"ID Not Created")</f>
        <v>ID Not Created</v>
      </c>
      <c r="L1356" s="4"/>
    </row>
    <row r="1357">
      <c r="A1357" s="4" t="str">
        <f>IFERROR(__xludf.DUMMYFUNCTION("""COMPUTED_VALUE"""),"DME3313")</f>
        <v>DME3313</v>
      </c>
      <c r="B1357" s="4" t="str">
        <f>IFERROR(__xludf.DUMMYFUNCTION("""COMPUTED_VALUE"""),"Dhamarakonda Nikhil")</f>
        <v>Dhamarakonda Nikhil</v>
      </c>
      <c r="C1357" s="4" t="str">
        <f>IFERROR(__xludf.DUMMYFUNCTION("""COMPUTED_VALUE"""),"nikhil.dhamarakonda@onixnet.com")</f>
        <v>nikhil.dhamarakonda@onixnet.com</v>
      </c>
      <c r="D1357" s="4" t="str">
        <f>IFERROR(__xludf.DUMMYFUNCTION("""COMPUTED_VALUE"""),"Active")</f>
        <v>Active</v>
      </c>
      <c r="E1357" s="4" t="str">
        <f>IFERROR(__xludf.DUMMYFUNCTION("""COMPUTED_VALUE"""),"Delivery Services")</f>
        <v>Delivery Services</v>
      </c>
      <c r="F1357" s="4" t="str">
        <f>IFERROR(__xludf.DUMMYFUNCTION("""COMPUTED_VALUE"""),"Ritu Garg")</f>
        <v>Ritu Garg</v>
      </c>
      <c r="G1357" s="4" t="str">
        <f>IFERROR(__xludf.DUMMYFUNCTION("""COMPUTED_VALUE"""),"Cluster - Kalpa")</f>
        <v>Cluster - Kalpa</v>
      </c>
      <c r="H1357" s="4"/>
      <c r="I1357" s="5"/>
      <c r="J1357" s="4"/>
      <c r="K1357" s="4" t="str">
        <f>IFERROR(__xludf.DUMMYFUNCTION("""COMPUTED_VALUE"""),"ID Not Created")</f>
        <v>ID Not Created</v>
      </c>
      <c r="L1357" s="4"/>
    </row>
    <row r="1358">
      <c r="A1358" s="4" t="str">
        <f>IFERROR(__xludf.DUMMYFUNCTION("""COMPUTED_VALUE"""),"DME3314")</f>
        <v>DME3314</v>
      </c>
      <c r="B1358" s="4" t="str">
        <f>IFERROR(__xludf.DUMMYFUNCTION("""COMPUTED_VALUE"""),"Aniket Kumar Tripathi")</f>
        <v>Aniket Kumar Tripathi</v>
      </c>
      <c r="C1358" s="4" t="str">
        <f>IFERROR(__xludf.DUMMYFUNCTION("""COMPUTED_VALUE"""),"aniket.tripathi@onixnet.com")</f>
        <v>aniket.tripathi@onixnet.com</v>
      </c>
      <c r="D1358" s="4" t="str">
        <f>IFERROR(__xludf.DUMMYFUNCTION("""COMPUTED_VALUE"""),"Active")</f>
        <v>Active</v>
      </c>
      <c r="E1358" s="4" t="str">
        <f>IFERROR(__xludf.DUMMYFUNCTION("""COMPUTED_VALUE"""),"Delivery Services")</f>
        <v>Delivery Services</v>
      </c>
      <c r="F1358" s="4" t="str">
        <f>IFERROR(__xludf.DUMMYFUNCTION("""COMPUTED_VALUE"""),"Indrajit Omprakash Bhagat")</f>
        <v>Indrajit Omprakash Bhagat</v>
      </c>
      <c r="G1358" s="4" t="str">
        <f>IFERROR(__xludf.DUMMYFUNCTION("""COMPUTED_VALUE"""),"Cluster - Varun")</f>
        <v>Cluster - Varun</v>
      </c>
      <c r="H1358" s="4" t="str">
        <f>IFERROR(__xludf.DUMMYFUNCTION("""COMPUTED_VALUE"""),"ONIATWEV2")</f>
        <v>ONIATWEV2</v>
      </c>
      <c r="I1358" s="5">
        <f>IFERROR(__xludf.DUMMYFUNCTION("""COMPUTED_VALUE"""),0.0)</f>
        <v>0</v>
      </c>
      <c r="J1358" s="4" t="str">
        <f>IFERROR(__xludf.DUMMYFUNCTION("""COMPUTED_VALUE"""),"Tier 4")</f>
        <v>Tier 4</v>
      </c>
      <c r="K1358" s="4" t="str">
        <f>IFERROR(__xludf.DUMMYFUNCTION("""COMPUTED_VALUE"""),"ID Created DRP score 0")</f>
        <v>ID Created DRP score 0</v>
      </c>
      <c r="L1358" s="4"/>
    </row>
    <row r="1359">
      <c r="A1359" s="4" t="str">
        <f>IFERROR(__xludf.DUMMYFUNCTION("""COMPUTED_VALUE"""),"DMUK0032")</f>
        <v>DMUK0032</v>
      </c>
      <c r="B1359" s="4" t="str">
        <f>IFERROR(__xludf.DUMMYFUNCTION("""COMPUTED_VALUE"""),"Piotr Kleysa")</f>
        <v>Piotr Kleysa</v>
      </c>
      <c r="C1359" s="4" t="str">
        <f>IFERROR(__xludf.DUMMYFUNCTION("""COMPUTED_VALUE"""),"piotr.kleysa@onixnet.us")</f>
        <v>piotr.kleysa@onixnet.us</v>
      </c>
      <c r="D1359" s="4" t="str">
        <f>IFERROR(__xludf.DUMMYFUNCTION("""COMPUTED_VALUE"""),"Active")</f>
        <v>Active</v>
      </c>
      <c r="E1359" s="4" t="str">
        <f>IFERROR(__xludf.DUMMYFUNCTION("""COMPUTED_VALUE"""),"Delivery Services")</f>
        <v>Delivery Services</v>
      </c>
      <c r="F1359" s="4" t="str">
        <f>IFERROR(__xludf.DUMMYFUNCTION("""COMPUTED_VALUE"""),"Ashwin Ashok Jagtap")</f>
        <v>Ashwin Ashok Jagtap</v>
      </c>
      <c r="G1359" s="4" t="str">
        <f>IFERROR(__xludf.DUMMYFUNCTION("""COMPUTED_VALUE"""),"Portfolio - Siddharth")</f>
        <v>Portfolio - Siddharth</v>
      </c>
      <c r="H1359" s="4"/>
      <c r="I1359" s="5"/>
      <c r="J1359" s="4"/>
      <c r="K1359" s="4" t="str">
        <f>IFERROR(__xludf.DUMMYFUNCTION("""COMPUTED_VALUE"""),"ID Not Created")</f>
        <v>ID Not Created</v>
      </c>
      <c r="L1359" s="4"/>
    </row>
    <row r="1360">
      <c r="A1360" s="4" t="str">
        <f>IFERROR(__xludf.DUMMYFUNCTION("""COMPUTED_VALUE"""),"DME3317")</f>
        <v>DME3317</v>
      </c>
      <c r="B1360" s="4" t="str">
        <f>IFERROR(__xludf.DUMMYFUNCTION("""COMPUTED_VALUE"""),"Anirudh Bohra")</f>
        <v>Anirudh Bohra</v>
      </c>
      <c r="C1360" s="4" t="str">
        <f>IFERROR(__xludf.DUMMYFUNCTION("""COMPUTED_VALUE"""),"anirudh.bohara@onixnet.com")</f>
        <v>anirudh.bohara@onixnet.com</v>
      </c>
      <c r="D1360" s="4" t="str">
        <f>IFERROR(__xludf.DUMMYFUNCTION("""COMPUTED_VALUE"""),"Active")</f>
        <v>Active</v>
      </c>
      <c r="E1360" s="4" t="str">
        <f>IFERROR(__xludf.DUMMYFUNCTION("""COMPUTED_VALUE"""),"Delivery Services")</f>
        <v>Delivery Services</v>
      </c>
      <c r="F1360" s="4" t="str">
        <f>IFERROR(__xludf.DUMMYFUNCTION("""COMPUTED_VALUE"""),"Ashwini Kumar")</f>
        <v>Ashwini Kumar</v>
      </c>
      <c r="G1360" s="4" t="str">
        <f>IFERROR(__xludf.DUMMYFUNCTION("""COMPUTED_VALUE"""),"Cluster - Kanhaiya")</f>
        <v>Cluster - Kanhaiya</v>
      </c>
      <c r="H1360" s="4" t="str">
        <f>IFERROR(__xludf.DUMMYFUNCTION("""COMPUTED_VALUE"""),"ONIABXTT0")</f>
        <v>ONIABXTT0</v>
      </c>
      <c r="I1360" s="5">
        <f>IFERROR(__xludf.DUMMYFUNCTION("""COMPUTED_VALUE"""),0.0)</f>
        <v>0</v>
      </c>
      <c r="J1360" s="4" t="str">
        <f>IFERROR(__xludf.DUMMYFUNCTION("""COMPUTED_VALUE"""),"Tier 4")</f>
        <v>Tier 4</v>
      </c>
      <c r="K1360" s="4" t="str">
        <f>IFERROR(__xludf.DUMMYFUNCTION("""COMPUTED_VALUE"""),"ID Created DRP score 0")</f>
        <v>ID Created DRP score 0</v>
      </c>
      <c r="L1360" s="4"/>
    </row>
    <row r="1361">
      <c r="A1361" s="4" t="str">
        <f>IFERROR(__xludf.DUMMYFUNCTION("""COMPUTED_VALUE"""),"DME3318")</f>
        <v>DME3318</v>
      </c>
      <c r="B1361" s="4" t="str">
        <f>IFERROR(__xludf.DUMMYFUNCTION("""COMPUTED_VALUE"""),"Sudhir Singh")</f>
        <v>Sudhir Singh</v>
      </c>
      <c r="C1361" s="4" t="str">
        <f>IFERROR(__xludf.DUMMYFUNCTION("""COMPUTED_VALUE"""),"sudhir.singh1@onixnet.com")</f>
        <v>sudhir.singh1@onixnet.com</v>
      </c>
      <c r="D1361" s="4" t="str">
        <f>IFERROR(__xludf.DUMMYFUNCTION("""COMPUTED_VALUE"""),"Active")</f>
        <v>Active</v>
      </c>
      <c r="E1361" s="4" t="str">
        <f>IFERROR(__xludf.DUMMYFUNCTION("""COMPUTED_VALUE"""),"Delivery Services")</f>
        <v>Delivery Services</v>
      </c>
      <c r="F1361" s="4" t="str">
        <f>IFERROR(__xludf.DUMMYFUNCTION("""COMPUTED_VALUE"""),"Vijender Bhardwaj")</f>
        <v>Vijender Bhardwaj</v>
      </c>
      <c r="G1361" s="4" t="str">
        <f>IFERROR(__xludf.DUMMYFUNCTION("""COMPUTED_VALUE"""),"Cluster - Varun")</f>
        <v>Cluster - Varun</v>
      </c>
      <c r="H1361" s="4" t="str">
        <f>IFERROR(__xludf.DUMMYFUNCTION("""COMPUTED_VALUE"""),"ONISSXSF8")</f>
        <v>ONISSXSF8</v>
      </c>
      <c r="I1361" s="5">
        <f>IFERROR(__xludf.DUMMYFUNCTION("""COMPUTED_VALUE"""),0.0)</f>
        <v>0</v>
      </c>
      <c r="J1361" s="4" t="str">
        <f>IFERROR(__xludf.DUMMYFUNCTION("""COMPUTED_VALUE"""),"Tier 4")</f>
        <v>Tier 4</v>
      </c>
      <c r="K1361" s="4" t="str">
        <f>IFERROR(__xludf.DUMMYFUNCTION("""COMPUTED_VALUE"""),"ID Created DRP score 0")</f>
        <v>ID Created DRP score 0</v>
      </c>
      <c r="L1361" s="4"/>
    </row>
    <row r="1362">
      <c r="A1362" s="4" t="str">
        <f>IFERROR(__xludf.DUMMYFUNCTION("""COMPUTED_VALUE"""),"DME3319")</f>
        <v>DME3319</v>
      </c>
      <c r="B1362" s="4" t="str">
        <f>IFERROR(__xludf.DUMMYFUNCTION("""COMPUTED_VALUE"""),"Piyush Sanjay Adhalikar")</f>
        <v>Piyush Sanjay Adhalikar</v>
      </c>
      <c r="C1362" s="4" t="str">
        <f>IFERROR(__xludf.DUMMYFUNCTION("""COMPUTED_VALUE"""),"piyush.adhalikar@onixnet.com")</f>
        <v>piyush.adhalikar@onixnet.com</v>
      </c>
      <c r="D1362" s="4" t="str">
        <f>IFERROR(__xludf.DUMMYFUNCTION("""COMPUTED_VALUE"""),"Active")</f>
        <v>Active</v>
      </c>
      <c r="E1362" s="4" t="str">
        <f>IFERROR(__xludf.DUMMYFUNCTION("""COMPUTED_VALUE"""),"Delivery Services")</f>
        <v>Delivery Services</v>
      </c>
      <c r="F1362" s="4" t="str">
        <f>IFERROR(__xludf.DUMMYFUNCTION("""COMPUTED_VALUE"""),"Yash Kumar")</f>
        <v>Yash Kumar</v>
      </c>
      <c r="G1362" s="4" t="str">
        <f>IFERROR(__xludf.DUMMYFUNCTION("""COMPUTED_VALUE"""),"Cluster - Varun")</f>
        <v>Cluster - Varun</v>
      </c>
      <c r="H1362" s="4" t="str">
        <f>IFERROR(__xludf.DUMMYFUNCTION("""COMPUTED_VALUE"""),"ONIPAQJN2")</f>
        <v>ONIPAQJN2</v>
      </c>
      <c r="I1362" s="5">
        <f>IFERROR(__xludf.DUMMYFUNCTION("""COMPUTED_VALUE"""),25.0)</f>
        <v>25</v>
      </c>
      <c r="J1362" s="4" t="str">
        <f>IFERROR(__xludf.DUMMYFUNCTION("""COMPUTED_VALUE"""),"Tier 3")</f>
        <v>Tier 3</v>
      </c>
      <c r="K1362" s="4" t="str">
        <f>IFERROR(__xludf.DUMMYFUNCTION("""COMPUTED_VALUE"""),"Active")</f>
        <v>Active</v>
      </c>
      <c r="L1362" s="4" t="str">
        <f>IFERROR(__xludf.DUMMYFUNCTION("""COMPUTED_VALUE"""),"Google Kubernetes Engine")</f>
        <v>Google Kubernetes Engine</v>
      </c>
    </row>
    <row r="1363">
      <c r="A1363" s="4" t="str">
        <f>IFERROR(__xludf.DUMMYFUNCTION("""COMPUTED_VALUE"""),"DME3320")</f>
        <v>DME3320</v>
      </c>
      <c r="B1363" s="4" t="str">
        <f>IFERROR(__xludf.DUMMYFUNCTION("""COMPUTED_VALUE"""),"Omkar Bhalchandra Warule")</f>
        <v>Omkar Bhalchandra Warule</v>
      </c>
      <c r="C1363" s="4" t="str">
        <f>IFERROR(__xludf.DUMMYFUNCTION("""COMPUTED_VALUE"""),"omkar.warule@onixnet.com")</f>
        <v>omkar.warule@onixnet.com</v>
      </c>
      <c r="D1363" s="4" t="str">
        <f>IFERROR(__xludf.DUMMYFUNCTION("""COMPUTED_VALUE"""),"Active")</f>
        <v>Active</v>
      </c>
      <c r="E1363" s="4" t="str">
        <f>IFERROR(__xludf.DUMMYFUNCTION("""COMPUTED_VALUE"""),"Delivery Services")</f>
        <v>Delivery Services</v>
      </c>
      <c r="F1363" s="4" t="str">
        <f>IFERROR(__xludf.DUMMYFUNCTION("""COMPUTED_VALUE"""),"Aniket Bidkar")</f>
        <v>Aniket Bidkar</v>
      </c>
      <c r="G1363" s="4" t="str">
        <f>IFERROR(__xludf.DUMMYFUNCTION("""COMPUTED_VALUE"""),"Cluster - Kanhaiya")</f>
        <v>Cluster - Kanhaiya</v>
      </c>
      <c r="H1363" s="4" t="str">
        <f>IFERROR(__xludf.DUMMYFUNCTION("""COMPUTED_VALUE"""),"ONIOWCPI8")</f>
        <v>ONIOWCPI8</v>
      </c>
      <c r="I1363" s="5">
        <f>IFERROR(__xludf.DUMMYFUNCTION("""COMPUTED_VALUE"""),0.0)</f>
        <v>0</v>
      </c>
      <c r="J1363" s="4" t="str">
        <f>IFERROR(__xludf.DUMMYFUNCTION("""COMPUTED_VALUE"""),"Tier 4")</f>
        <v>Tier 4</v>
      </c>
      <c r="K1363" s="4" t="str">
        <f>IFERROR(__xludf.DUMMYFUNCTION("""COMPUTED_VALUE"""),"ID Created DRP score 0")</f>
        <v>ID Created DRP score 0</v>
      </c>
      <c r="L1363" s="4"/>
    </row>
    <row r="1364">
      <c r="A1364" s="4" t="str">
        <f>IFERROR(__xludf.DUMMYFUNCTION("""COMPUTED_VALUE"""),"DME3321")</f>
        <v>DME3321</v>
      </c>
      <c r="B1364" s="4" t="str">
        <f>IFERROR(__xludf.DUMMYFUNCTION("""COMPUTED_VALUE"""),"Priyanka Jain")</f>
        <v>Priyanka Jain</v>
      </c>
      <c r="C1364" s="4" t="str">
        <f>IFERROR(__xludf.DUMMYFUNCTION("""COMPUTED_VALUE"""),"priyanka.jain@onixnet.com")</f>
        <v>priyanka.jain@onixnet.com</v>
      </c>
      <c r="D1364" s="4" t="str">
        <f>IFERROR(__xludf.DUMMYFUNCTION("""COMPUTED_VALUE"""),"Active")</f>
        <v>Active</v>
      </c>
      <c r="E1364" s="4" t="str">
        <f>IFERROR(__xludf.DUMMYFUNCTION("""COMPUTED_VALUE"""),"Delivery Services")</f>
        <v>Delivery Services</v>
      </c>
      <c r="F1364" s="4" t="str">
        <f>IFERROR(__xludf.DUMMYFUNCTION("""COMPUTED_VALUE"""),"Amit Argade")</f>
        <v>Amit Argade</v>
      </c>
      <c r="G1364" s="4" t="str">
        <f>IFERROR(__xludf.DUMMYFUNCTION("""COMPUTED_VALUE"""),"Cluster - Sagar")</f>
        <v>Cluster - Sagar</v>
      </c>
      <c r="H1364" s="4" t="str">
        <f>IFERROR(__xludf.DUMMYFUNCTION("""COMPUTED_VALUE"""),"ONIPJKIP4")</f>
        <v>ONIPJKIP4</v>
      </c>
      <c r="I1364" s="5">
        <f>IFERROR(__xludf.DUMMYFUNCTION("""COMPUTED_VALUE"""),0.0)</f>
        <v>0</v>
      </c>
      <c r="J1364" s="4" t="str">
        <f>IFERROR(__xludf.DUMMYFUNCTION("""COMPUTED_VALUE"""),"Tier 4")</f>
        <v>Tier 4</v>
      </c>
      <c r="K1364" s="4" t="str">
        <f>IFERROR(__xludf.DUMMYFUNCTION("""COMPUTED_VALUE"""),"ID Created DRP score 0")</f>
        <v>ID Created DRP score 0</v>
      </c>
      <c r="L1364" s="4"/>
    </row>
    <row r="1365">
      <c r="A1365" s="4" t="str">
        <f>IFERROR(__xludf.DUMMYFUNCTION("""COMPUTED_VALUE"""),"DME3322")</f>
        <v>DME3322</v>
      </c>
      <c r="B1365" s="4" t="str">
        <f>IFERROR(__xludf.DUMMYFUNCTION("""COMPUTED_VALUE"""),"Anjali Akshay Lakekar")</f>
        <v>Anjali Akshay Lakekar</v>
      </c>
      <c r="C1365" s="4" t="str">
        <f>IFERROR(__xludf.DUMMYFUNCTION("""COMPUTED_VALUE"""),"anjali.lakekar@onixnet.com")</f>
        <v>anjali.lakekar@onixnet.com</v>
      </c>
      <c r="D1365" s="4" t="str">
        <f>IFERROR(__xludf.DUMMYFUNCTION("""COMPUTED_VALUE"""),"Active")</f>
        <v>Active</v>
      </c>
      <c r="E1365" s="4" t="str">
        <f>IFERROR(__xludf.DUMMYFUNCTION("""COMPUTED_VALUE"""),"Product Engineering")</f>
        <v>Product Engineering</v>
      </c>
      <c r="F1365" s="4" t="str">
        <f>IFERROR(__xludf.DUMMYFUNCTION("""COMPUTED_VALUE"""),"Ritu Garg")</f>
        <v>Ritu Garg</v>
      </c>
      <c r="G1365" s="4" t="str">
        <f>IFERROR(__xludf.DUMMYFUNCTION("""COMPUTED_VALUE"""),"Cluster - Kalpa")</f>
        <v>Cluster - Kalpa</v>
      </c>
      <c r="H1365" s="4"/>
      <c r="I1365" s="5"/>
      <c r="J1365" s="4"/>
      <c r="K1365" s="4" t="str">
        <f>IFERROR(__xludf.DUMMYFUNCTION("""COMPUTED_VALUE"""),"ID Not Created")</f>
        <v>ID Not Created</v>
      </c>
      <c r="L1365" s="4"/>
    </row>
    <row r="1366">
      <c r="A1366" s="4" t="str">
        <f>IFERROR(__xludf.DUMMYFUNCTION("""COMPUTED_VALUE"""),"DME3323")</f>
        <v>DME3323</v>
      </c>
      <c r="B1366" s="4" t="str">
        <f>IFERROR(__xludf.DUMMYFUNCTION("""COMPUTED_VALUE"""),"Tanya Sharma")</f>
        <v>Tanya Sharma</v>
      </c>
      <c r="C1366" s="4" t="str">
        <f>IFERROR(__xludf.DUMMYFUNCTION("""COMPUTED_VALUE"""),"tanya.sharma@onixnet.com")</f>
        <v>tanya.sharma@onixnet.com</v>
      </c>
      <c r="D1366" s="4" t="str">
        <f>IFERROR(__xludf.DUMMYFUNCTION("""COMPUTED_VALUE"""),"Active")</f>
        <v>Active</v>
      </c>
      <c r="E1366" s="4" t="str">
        <f>IFERROR(__xludf.DUMMYFUNCTION("""COMPUTED_VALUE"""),"Product Engineering")</f>
        <v>Product Engineering</v>
      </c>
      <c r="F1366" s="4" t="str">
        <f>IFERROR(__xludf.DUMMYFUNCTION("""COMPUTED_VALUE"""),"Yogendra Singh")</f>
        <v>Yogendra Singh</v>
      </c>
      <c r="G1366" s="4" t="str">
        <f>IFERROR(__xludf.DUMMYFUNCTION("""COMPUTED_VALUE"""),"Cluster - Mayur")</f>
        <v>Cluster - Mayur</v>
      </c>
      <c r="H1366" s="4"/>
      <c r="I1366" s="5"/>
      <c r="J1366" s="4"/>
      <c r="K1366" s="4" t="str">
        <f>IFERROR(__xludf.DUMMYFUNCTION("""COMPUTED_VALUE"""),"ID Not Created")</f>
        <v>ID Not Created</v>
      </c>
      <c r="L1366" s="4"/>
    </row>
    <row r="1367">
      <c r="A1367" s="4" t="str">
        <f>IFERROR(__xludf.DUMMYFUNCTION("""COMPUTED_VALUE"""),"DME3324")</f>
        <v>DME3324</v>
      </c>
      <c r="B1367" s="4" t="str">
        <f>IFERROR(__xludf.DUMMYFUNCTION("""COMPUTED_VALUE"""),"Dhanraj Shrivastav")</f>
        <v>Dhanraj Shrivastav</v>
      </c>
      <c r="C1367" s="4" t="str">
        <f>IFERROR(__xludf.DUMMYFUNCTION("""COMPUTED_VALUE"""),"dhanraj.shrivastav@onixnet.com")</f>
        <v>dhanraj.shrivastav@onixnet.com</v>
      </c>
      <c r="D1367" s="4" t="str">
        <f>IFERROR(__xludf.DUMMYFUNCTION("""COMPUTED_VALUE"""),"Active")</f>
        <v>Active</v>
      </c>
      <c r="E1367" s="4" t="str">
        <f>IFERROR(__xludf.DUMMYFUNCTION("""COMPUTED_VALUE"""),"Product Engineering")</f>
        <v>Product Engineering</v>
      </c>
      <c r="F1367" s="4" t="str">
        <f>IFERROR(__xludf.DUMMYFUNCTION("""COMPUTED_VALUE"""),"Cyrin Sam")</f>
        <v>Cyrin Sam</v>
      </c>
      <c r="G1367" s="4" t="str">
        <f>IFERROR(__xludf.DUMMYFUNCTION("""COMPUTED_VALUE"""),"Cluster - Mayur")</f>
        <v>Cluster - Mayur</v>
      </c>
      <c r="H1367" s="4" t="str">
        <f>IFERROR(__xludf.DUMMYFUNCTION("""COMPUTED_VALUE"""),"ONIDSNME0")</f>
        <v>ONIDSNME0</v>
      </c>
      <c r="I1367" s="5">
        <f>IFERROR(__xludf.DUMMYFUNCTION("""COMPUTED_VALUE"""),0.0)</f>
        <v>0</v>
      </c>
      <c r="J1367" s="4" t="str">
        <f>IFERROR(__xludf.DUMMYFUNCTION("""COMPUTED_VALUE"""),"Tier 4")</f>
        <v>Tier 4</v>
      </c>
      <c r="K1367" s="4" t="str">
        <f>IFERROR(__xludf.DUMMYFUNCTION("""COMPUTED_VALUE"""),"ID Created DRP score 0")</f>
        <v>ID Created DRP score 0</v>
      </c>
      <c r="L1367" s="4"/>
    </row>
    <row r="1368">
      <c r="A1368" s="4" t="str">
        <f>IFERROR(__xludf.DUMMYFUNCTION("""COMPUTED_VALUE"""),"DME3326")</f>
        <v>DME3326</v>
      </c>
      <c r="B1368" s="4" t="str">
        <f>IFERROR(__xludf.DUMMYFUNCTION("""COMPUTED_VALUE"""),"Gaurav Jaykumar Munot")</f>
        <v>Gaurav Jaykumar Munot</v>
      </c>
      <c r="C1368" s="4" t="str">
        <f>IFERROR(__xludf.DUMMYFUNCTION("""COMPUTED_VALUE"""),"gaurav.munot@onixnet.com")</f>
        <v>gaurav.munot@onixnet.com</v>
      </c>
      <c r="D1368" s="4" t="str">
        <f>IFERROR(__xludf.DUMMYFUNCTION("""COMPUTED_VALUE"""),"Active")</f>
        <v>Active</v>
      </c>
      <c r="E1368" s="4" t="str">
        <f>IFERROR(__xludf.DUMMYFUNCTION("""COMPUTED_VALUE"""),"Product Engineering")</f>
        <v>Product Engineering</v>
      </c>
      <c r="F1368" s="4" t="str">
        <f>IFERROR(__xludf.DUMMYFUNCTION("""COMPUTED_VALUE"""),"Amruta Shreerang Urane")</f>
        <v>Amruta Shreerang Urane</v>
      </c>
      <c r="G1368" s="4" t="str">
        <f>IFERROR(__xludf.DUMMYFUNCTION("""COMPUTED_VALUE"""),"Cluster - Kalpa")</f>
        <v>Cluster - Kalpa</v>
      </c>
      <c r="H1368" s="4"/>
      <c r="I1368" s="5"/>
      <c r="J1368" s="4"/>
      <c r="K1368" s="4" t="str">
        <f>IFERROR(__xludf.DUMMYFUNCTION("""COMPUTED_VALUE"""),"ID Not Created")</f>
        <v>ID Not Created</v>
      </c>
      <c r="L1368" s="4"/>
    </row>
    <row r="1369">
      <c r="A1369" s="4" t="str">
        <f>IFERROR(__xludf.DUMMYFUNCTION("""COMPUTED_VALUE"""),"DME3327")</f>
        <v>DME3327</v>
      </c>
      <c r="B1369" s="4" t="str">
        <f>IFERROR(__xludf.DUMMYFUNCTION("""COMPUTED_VALUE"""),"Moshin Omar Ahmed")</f>
        <v>Moshin Omar Ahmed</v>
      </c>
      <c r="C1369" s="4" t="str">
        <f>IFERROR(__xludf.DUMMYFUNCTION("""COMPUTED_VALUE"""),"moshin.ahmed@onixnet.com")</f>
        <v>moshin.ahmed@onixnet.com</v>
      </c>
      <c r="D1369" s="4" t="str">
        <f>IFERROR(__xludf.DUMMYFUNCTION("""COMPUTED_VALUE"""),"Active")</f>
        <v>Active</v>
      </c>
      <c r="E1369" s="4" t="str">
        <f>IFERROR(__xludf.DUMMYFUNCTION("""COMPUTED_VALUE"""),"Product Engineering")</f>
        <v>Product Engineering</v>
      </c>
      <c r="F1369" s="4" t="str">
        <f>IFERROR(__xludf.DUMMYFUNCTION("""COMPUTED_VALUE"""),"Sohil Salvi")</f>
        <v>Sohil Salvi</v>
      </c>
      <c r="G1369" s="4" t="str">
        <f>IFERROR(__xludf.DUMMYFUNCTION("""COMPUTED_VALUE"""),"Cluster - Mayur")</f>
        <v>Cluster - Mayur</v>
      </c>
      <c r="H1369" s="4" t="str">
        <f>IFERROR(__xludf.DUMMYFUNCTION("""COMPUTED_VALUE"""),"ONIMATVE1")</f>
        <v>ONIMATVE1</v>
      </c>
      <c r="I1369" s="5">
        <f>IFERROR(__xludf.DUMMYFUNCTION("""COMPUTED_VALUE"""),0.0)</f>
        <v>0</v>
      </c>
      <c r="J1369" s="4" t="str">
        <f>IFERROR(__xludf.DUMMYFUNCTION("""COMPUTED_VALUE"""),"Tier 4")</f>
        <v>Tier 4</v>
      </c>
      <c r="K1369" s="4" t="str">
        <f>IFERROR(__xludf.DUMMYFUNCTION("""COMPUTED_VALUE"""),"ID Created DRP score 0")</f>
        <v>ID Created DRP score 0</v>
      </c>
      <c r="L1369" s="4"/>
    </row>
    <row r="1370">
      <c r="A1370" s="4" t="str">
        <f>IFERROR(__xludf.DUMMYFUNCTION("""COMPUTED_VALUE"""),"DME3329")</f>
        <v>DME3329</v>
      </c>
      <c r="B1370" s="4" t="str">
        <f>IFERROR(__xludf.DUMMYFUNCTION("""COMPUTED_VALUE"""),"Dinesh Kumar")</f>
        <v>Dinesh Kumar</v>
      </c>
      <c r="C1370" s="4" t="str">
        <f>IFERROR(__xludf.DUMMYFUNCTION("""COMPUTED_VALUE"""),"dinesh.kumar@onixnet.com")</f>
        <v>dinesh.kumar@onixnet.com</v>
      </c>
      <c r="D1370" s="4" t="str">
        <f>IFERROR(__xludf.DUMMYFUNCTION("""COMPUTED_VALUE"""),"Active")</f>
        <v>Active</v>
      </c>
      <c r="E1370" s="4" t="str">
        <f>IFERROR(__xludf.DUMMYFUNCTION("""COMPUTED_VALUE"""),"Delivery Services")</f>
        <v>Delivery Services</v>
      </c>
      <c r="F1370" s="4" t="str">
        <f>IFERROR(__xludf.DUMMYFUNCTION("""COMPUTED_VALUE"""),"Varun Katyal")</f>
        <v>Varun Katyal</v>
      </c>
      <c r="G1370" s="4" t="str">
        <f>IFERROR(__xludf.DUMMYFUNCTION("""COMPUTED_VALUE"""),"Cluster - Varun")</f>
        <v>Cluster - Varun</v>
      </c>
      <c r="H1370" s="4" t="str">
        <f>IFERROR(__xludf.DUMMYFUNCTION("""COMPUTED_VALUE"""),"ONIDKVZH7")</f>
        <v>ONIDKVZH7</v>
      </c>
      <c r="I1370" s="5">
        <f>IFERROR(__xludf.DUMMYFUNCTION("""COMPUTED_VALUE"""),14.0)</f>
        <v>14</v>
      </c>
      <c r="J1370" s="4" t="str">
        <f>IFERROR(__xludf.DUMMYFUNCTION("""COMPUTED_VALUE"""),"Tier 4")</f>
        <v>Tier 4</v>
      </c>
      <c r="K1370" s="4" t="str">
        <f>IFERROR(__xludf.DUMMYFUNCTION("""COMPUTED_VALUE"""),"Active")</f>
        <v>Active</v>
      </c>
      <c r="L1370" s="4" t="str">
        <f>IFERROR(__xludf.DUMMYFUNCTION("""COMPUTED_VALUE"""),"Google Kubernetes Engine")</f>
        <v>Google Kubernetes Engine</v>
      </c>
    </row>
    <row r="1371">
      <c r="A1371" s="4" t="str">
        <f>IFERROR(__xludf.DUMMYFUNCTION("""COMPUTED_VALUE"""),"DME3330")</f>
        <v>DME3330</v>
      </c>
      <c r="B1371" s="4" t="str">
        <f>IFERROR(__xludf.DUMMYFUNCTION("""COMPUTED_VALUE"""),"Sripathi Ajay kumar Reddy")</f>
        <v>Sripathi Ajay kumar Reddy</v>
      </c>
      <c r="C1371" s="4" t="str">
        <f>IFERROR(__xludf.DUMMYFUNCTION("""COMPUTED_VALUE"""),"ajay.sripathi@onixnet.com")</f>
        <v>ajay.sripathi@onixnet.com</v>
      </c>
      <c r="D1371" s="4" t="str">
        <f>IFERROR(__xludf.DUMMYFUNCTION("""COMPUTED_VALUE"""),"Active")</f>
        <v>Active</v>
      </c>
      <c r="E1371" s="4" t="str">
        <f>IFERROR(__xludf.DUMMYFUNCTION("""COMPUTED_VALUE"""),"Delivery Services")</f>
        <v>Delivery Services</v>
      </c>
      <c r="F1371" s="4" t="str">
        <f>IFERROR(__xludf.DUMMYFUNCTION("""COMPUTED_VALUE"""),"Yash Kumar")</f>
        <v>Yash Kumar</v>
      </c>
      <c r="G1371" s="4" t="str">
        <f>IFERROR(__xludf.DUMMYFUNCTION("""COMPUTED_VALUE"""),"Cluster - Varun")</f>
        <v>Cluster - Varun</v>
      </c>
      <c r="H1371" s="4" t="str">
        <f>IFERROR(__xludf.DUMMYFUNCTION("""COMPUTED_VALUE"""),"ONISRXXF9")</f>
        <v>ONISRXXF9</v>
      </c>
      <c r="I1371" s="5">
        <f>IFERROR(__xludf.DUMMYFUNCTION("""COMPUTED_VALUE"""),0.0)</f>
        <v>0</v>
      </c>
      <c r="J1371" s="4" t="str">
        <f>IFERROR(__xludf.DUMMYFUNCTION("""COMPUTED_VALUE"""),"Tier 4")</f>
        <v>Tier 4</v>
      </c>
      <c r="K1371" s="4" t="str">
        <f>IFERROR(__xludf.DUMMYFUNCTION("""COMPUTED_VALUE"""),"ID Created DRP score 0")</f>
        <v>ID Created DRP score 0</v>
      </c>
      <c r="L1371" s="4"/>
    </row>
    <row r="1372">
      <c r="A1372" s="4" t="str">
        <f>IFERROR(__xludf.DUMMYFUNCTION("""COMPUTED_VALUE"""),"DME3334")</f>
        <v>DME3334</v>
      </c>
      <c r="B1372" s="4" t="str">
        <f>IFERROR(__xludf.DUMMYFUNCTION("""COMPUTED_VALUE"""),"Sharayu Dilip Palwekar")</f>
        <v>Sharayu Dilip Palwekar</v>
      </c>
      <c r="C1372" s="4" t="str">
        <f>IFERROR(__xludf.DUMMYFUNCTION("""COMPUTED_VALUE"""),"sharayu.palwekar@onixnet.com")</f>
        <v>sharayu.palwekar@onixnet.com</v>
      </c>
      <c r="D1372" s="4" t="str">
        <f>IFERROR(__xludf.DUMMYFUNCTION("""COMPUTED_VALUE"""),"Active")</f>
        <v>Active</v>
      </c>
      <c r="E1372" s="4" t="str">
        <f>IFERROR(__xludf.DUMMYFUNCTION("""COMPUTED_VALUE"""),"Product Engineering")</f>
        <v>Product Engineering</v>
      </c>
      <c r="F1372" s="4" t="str">
        <f>IFERROR(__xludf.DUMMYFUNCTION("""COMPUTED_VALUE"""),"Uday Hajare")</f>
        <v>Uday Hajare</v>
      </c>
      <c r="G1372" s="4" t="str">
        <f>IFERROR(__xludf.DUMMYFUNCTION("""COMPUTED_VALUE"""),"Cluster - Mayur")</f>
        <v>Cluster - Mayur</v>
      </c>
      <c r="H1372" s="4"/>
      <c r="I1372" s="5"/>
      <c r="J1372" s="4"/>
      <c r="K1372" s="4" t="str">
        <f>IFERROR(__xludf.DUMMYFUNCTION("""COMPUTED_VALUE"""),"ID Not Created")</f>
        <v>ID Not Created</v>
      </c>
      <c r="L1372" s="4"/>
    </row>
    <row r="1373">
      <c r="A1373" s="4" t="str">
        <f>IFERROR(__xludf.DUMMYFUNCTION("""COMPUTED_VALUE"""),"DME3335")</f>
        <v>DME3335</v>
      </c>
      <c r="B1373" s="4" t="str">
        <f>IFERROR(__xludf.DUMMYFUNCTION("""COMPUTED_VALUE"""),"Nuha Imtiyaz Mukadam")</f>
        <v>Nuha Imtiyaz Mukadam</v>
      </c>
      <c r="C1373" s="4" t="str">
        <f>IFERROR(__xludf.DUMMYFUNCTION("""COMPUTED_VALUE"""),"nuha.mukadam@onixnet.com")</f>
        <v>nuha.mukadam@onixnet.com</v>
      </c>
      <c r="D1373" s="4" t="str">
        <f>IFERROR(__xludf.DUMMYFUNCTION("""COMPUTED_VALUE"""),"Active")</f>
        <v>Active</v>
      </c>
      <c r="E1373" s="4" t="str">
        <f>IFERROR(__xludf.DUMMYFUNCTION("""COMPUTED_VALUE"""),"Product Engineering")</f>
        <v>Product Engineering</v>
      </c>
      <c r="F1373" s="4" t="str">
        <f>IFERROR(__xludf.DUMMYFUNCTION("""COMPUTED_VALUE"""),"Samarth Chowksay")</f>
        <v>Samarth Chowksay</v>
      </c>
      <c r="G1373" s="4" t="str">
        <f>IFERROR(__xludf.DUMMYFUNCTION("""COMPUTED_VALUE"""),"Cluster - Mayur")</f>
        <v>Cluster - Mayur</v>
      </c>
      <c r="H1373" s="4" t="str">
        <f>IFERROR(__xludf.DUMMYFUNCTION("""COMPUTED_VALUE"""),"ONINMLOA7")</f>
        <v>ONINMLOA7</v>
      </c>
      <c r="I1373" s="5">
        <f>IFERROR(__xludf.DUMMYFUNCTION("""COMPUTED_VALUE"""),0.0)</f>
        <v>0</v>
      </c>
      <c r="J1373" s="4" t="str">
        <f>IFERROR(__xludf.DUMMYFUNCTION("""COMPUTED_VALUE"""),"Tier 4")</f>
        <v>Tier 4</v>
      </c>
      <c r="K1373" s="4" t="str">
        <f>IFERROR(__xludf.DUMMYFUNCTION("""COMPUTED_VALUE"""),"ID Created DRP score 0")</f>
        <v>ID Created DRP score 0</v>
      </c>
      <c r="L1373" s="4"/>
    </row>
    <row r="1374">
      <c r="A1374" s="4" t="str">
        <f>IFERROR(__xludf.DUMMYFUNCTION("""COMPUTED_VALUE"""),"DME3336")</f>
        <v>DME3336</v>
      </c>
      <c r="B1374" s="4" t="str">
        <f>IFERROR(__xludf.DUMMYFUNCTION("""COMPUTED_VALUE"""),"Aryan Ashok Patil")</f>
        <v>Aryan Ashok Patil</v>
      </c>
      <c r="C1374" s="4" t="str">
        <f>IFERROR(__xludf.DUMMYFUNCTION("""COMPUTED_VALUE"""),"aryan.patil@onixnet.com")</f>
        <v>aryan.patil@onixnet.com</v>
      </c>
      <c r="D1374" s="4" t="str">
        <f>IFERROR(__xludf.DUMMYFUNCTION("""COMPUTED_VALUE"""),"Active")</f>
        <v>Active</v>
      </c>
      <c r="E1374" s="4" t="str">
        <f>IFERROR(__xludf.DUMMYFUNCTION("""COMPUTED_VALUE"""),"Product Engineering")</f>
        <v>Product Engineering</v>
      </c>
      <c r="F1374" s="4" t="str">
        <f>IFERROR(__xludf.DUMMYFUNCTION("""COMPUTED_VALUE"""),"Yogendra Singh")</f>
        <v>Yogendra Singh</v>
      </c>
      <c r="G1374" s="4" t="str">
        <f>IFERROR(__xludf.DUMMYFUNCTION("""COMPUTED_VALUE"""),"Cluster - Mayur")</f>
        <v>Cluster - Mayur</v>
      </c>
      <c r="H1374" s="4"/>
      <c r="I1374" s="5"/>
      <c r="J1374" s="4"/>
      <c r="K1374" s="4" t="str">
        <f>IFERROR(__xludf.DUMMYFUNCTION("""COMPUTED_VALUE"""),"ID Not Created")</f>
        <v>ID Not Created</v>
      </c>
      <c r="L1374" s="4"/>
    </row>
    <row r="1375">
      <c r="A1375" s="4" t="str">
        <f>IFERROR(__xludf.DUMMYFUNCTION("""COMPUTED_VALUE"""),"DME3337")</f>
        <v>DME3337</v>
      </c>
      <c r="B1375" s="4" t="str">
        <f>IFERROR(__xludf.DUMMYFUNCTION("""COMPUTED_VALUE"""),"Saie Shyamkant Topare")</f>
        <v>Saie Shyamkant Topare</v>
      </c>
      <c r="C1375" s="4" t="str">
        <f>IFERROR(__xludf.DUMMYFUNCTION("""COMPUTED_VALUE"""),"saie.topare@onixnet.com")</f>
        <v>saie.topare@onixnet.com</v>
      </c>
      <c r="D1375" s="4" t="str">
        <f>IFERROR(__xludf.DUMMYFUNCTION("""COMPUTED_VALUE"""),"Active")</f>
        <v>Active</v>
      </c>
      <c r="E1375" s="4" t="str">
        <f>IFERROR(__xludf.DUMMYFUNCTION("""COMPUTED_VALUE"""),"Product Engineering")</f>
        <v>Product Engineering</v>
      </c>
      <c r="F1375" s="4" t="str">
        <f>IFERROR(__xludf.DUMMYFUNCTION("""COMPUTED_VALUE"""),"Vikas Suryawanshi")</f>
        <v>Vikas Suryawanshi</v>
      </c>
      <c r="G1375" s="4" t="str">
        <f>IFERROR(__xludf.DUMMYFUNCTION("""COMPUTED_VALUE"""),"Cluster - Mayur")</f>
        <v>Cluster - Mayur</v>
      </c>
      <c r="H1375" s="4"/>
      <c r="I1375" s="5"/>
      <c r="J1375" s="4"/>
      <c r="K1375" s="4" t="str">
        <f>IFERROR(__xludf.DUMMYFUNCTION("""COMPUTED_VALUE"""),"ID Not Created")</f>
        <v>ID Not Created</v>
      </c>
      <c r="L1375" s="4"/>
    </row>
    <row r="1376">
      <c r="A1376" s="4" t="str">
        <f>IFERROR(__xludf.DUMMYFUNCTION("""COMPUTED_VALUE"""),"DME3338")</f>
        <v>DME3338</v>
      </c>
      <c r="B1376" s="4" t="str">
        <f>IFERROR(__xludf.DUMMYFUNCTION("""COMPUTED_VALUE"""),"Deepak Zumbar Shitole")</f>
        <v>Deepak Zumbar Shitole</v>
      </c>
      <c r="C1376" s="4" t="str">
        <f>IFERROR(__xludf.DUMMYFUNCTION("""COMPUTED_VALUE"""),"deepak.shitole@onixnet.com")</f>
        <v>deepak.shitole@onixnet.com</v>
      </c>
      <c r="D1376" s="4" t="str">
        <f>IFERROR(__xludf.DUMMYFUNCTION("""COMPUTED_VALUE"""),"Active")</f>
        <v>Active</v>
      </c>
      <c r="E1376" s="4" t="str">
        <f>IFERROR(__xludf.DUMMYFUNCTION("""COMPUTED_VALUE"""),"Product Engineering")</f>
        <v>Product Engineering</v>
      </c>
      <c r="F1376" s="4" t="str">
        <f>IFERROR(__xludf.DUMMYFUNCTION("""COMPUTED_VALUE"""),"Praveen Kumar")</f>
        <v>Praveen Kumar</v>
      </c>
      <c r="G1376" s="4" t="str">
        <f>IFERROR(__xludf.DUMMYFUNCTION("""COMPUTED_VALUE"""),"Cluster - Mayur")</f>
        <v>Cluster - Mayur</v>
      </c>
      <c r="H1376" s="4"/>
      <c r="I1376" s="5"/>
      <c r="J1376" s="4"/>
      <c r="K1376" s="4" t="str">
        <f>IFERROR(__xludf.DUMMYFUNCTION("""COMPUTED_VALUE"""),"ID Not Created")</f>
        <v>ID Not Created</v>
      </c>
      <c r="L1376" s="4"/>
    </row>
    <row r="1377">
      <c r="A1377" s="4" t="str">
        <f>IFERROR(__xludf.DUMMYFUNCTION("""COMPUTED_VALUE"""),"DME3339")</f>
        <v>DME3339</v>
      </c>
      <c r="B1377" s="4" t="str">
        <f>IFERROR(__xludf.DUMMYFUNCTION("""COMPUTED_VALUE"""),"Samrat Mahadeo Patil")</f>
        <v>Samrat Mahadeo Patil</v>
      </c>
      <c r="C1377" s="4" t="str">
        <f>IFERROR(__xludf.DUMMYFUNCTION("""COMPUTED_VALUE"""),"samrat.patil@onixnet.com")</f>
        <v>samrat.patil@onixnet.com</v>
      </c>
      <c r="D1377" s="4" t="str">
        <f>IFERROR(__xludf.DUMMYFUNCTION("""COMPUTED_VALUE"""),"Active")</f>
        <v>Active</v>
      </c>
      <c r="E1377" s="4" t="str">
        <f>IFERROR(__xludf.DUMMYFUNCTION("""COMPUTED_VALUE"""),"Product Engineering")</f>
        <v>Product Engineering</v>
      </c>
      <c r="F1377" s="4" t="str">
        <f>IFERROR(__xludf.DUMMYFUNCTION("""COMPUTED_VALUE"""),"Aniruddha Mandan")</f>
        <v>Aniruddha Mandan</v>
      </c>
      <c r="G1377" s="4" t="str">
        <f>IFERROR(__xludf.DUMMYFUNCTION("""COMPUTED_VALUE"""),"Cluster - Mayur")</f>
        <v>Cluster - Mayur</v>
      </c>
      <c r="H1377" s="4" t="str">
        <f>IFERROR(__xludf.DUMMYFUNCTION("""COMPUTED_VALUE"""),"ONISPJLF8")</f>
        <v>ONISPJLF8</v>
      </c>
      <c r="I1377" s="5">
        <f>IFERROR(__xludf.DUMMYFUNCTION("""COMPUTED_VALUE"""),0.0)</f>
        <v>0</v>
      </c>
      <c r="J1377" s="4" t="str">
        <f>IFERROR(__xludf.DUMMYFUNCTION("""COMPUTED_VALUE"""),"Tier 4")</f>
        <v>Tier 4</v>
      </c>
      <c r="K1377" s="4" t="str">
        <f>IFERROR(__xludf.DUMMYFUNCTION("""COMPUTED_VALUE"""),"ID Created DRP score 0")</f>
        <v>ID Created DRP score 0</v>
      </c>
      <c r="L1377" s="4"/>
    </row>
    <row r="1378">
      <c r="A1378" s="4" t="str">
        <f>IFERROR(__xludf.DUMMYFUNCTION("""COMPUTED_VALUE"""),"DME3343")</f>
        <v>DME3343</v>
      </c>
      <c r="B1378" s="4" t="str">
        <f>IFERROR(__xludf.DUMMYFUNCTION("""COMPUTED_VALUE"""),"Aayushi Agrawal")</f>
        <v>Aayushi Agrawal</v>
      </c>
      <c r="C1378" s="4" t="str">
        <f>IFERROR(__xludf.DUMMYFUNCTION("""COMPUTED_VALUE"""),"aayushi.agrawal@onixnet.com")</f>
        <v>aayushi.agrawal@onixnet.com</v>
      </c>
      <c r="D1378" s="4" t="str">
        <f>IFERROR(__xludf.DUMMYFUNCTION("""COMPUTED_VALUE"""),"Active")</f>
        <v>Active</v>
      </c>
      <c r="E1378" s="4" t="str">
        <f>IFERROR(__xludf.DUMMYFUNCTION("""COMPUTED_VALUE"""),"Delivery Services")</f>
        <v>Delivery Services</v>
      </c>
      <c r="F1378" s="4" t="str">
        <f>IFERROR(__xludf.DUMMYFUNCTION("""COMPUTED_VALUE"""),"Anubhav Sharma")</f>
        <v>Anubhav Sharma</v>
      </c>
      <c r="G1378" s="4" t="str">
        <f>IFERROR(__xludf.DUMMYFUNCTION("""COMPUTED_VALUE"""),"Cluster - Varun")</f>
        <v>Cluster - Varun</v>
      </c>
      <c r="H1378" s="4" t="str">
        <f>IFERROR(__xludf.DUMMYFUNCTION("""COMPUTED_VALUE"""),"ONIAASOG0")</f>
        <v>ONIAASOG0</v>
      </c>
      <c r="I1378" s="5">
        <f>IFERROR(__xludf.DUMMYFUNCTION("""COMPUTED_VALUE"""),19.0)</f>
        <v>19</v>
      </c>
      <c r="J1378" s="4" t="str">
        <f>IFERROR(__xludf.DUMMYFUNCTION("""COMPUTED_VALUE"""),"Tier 4")</f>
        <v>Tier 4</v>
      </c>
      <c r="K1378" s="4" t="str">
        <f>IFERROR(__xludf.DUMMYFUNCTION("""COMPUTED_VALUE"""),"Active")</f>
        <v>Active</v>
      </c>
      <c r="L1378" s="4" t="str">
        <f>IFERROR(__xludf.DUMMYFUNCTION("""COMPUTED_VALUE"""),"Google Kubernetes Engine")</f>
        <v>Google Kubernetes Engine</v>
      </c>
    </row>
    <row r="1379">
      <c r="A1379" s="4" t="str">
        <f>IFERROR(__xludf.DUMMYFUNCTION("""COMPUTED_VALUE"""),"DME3345")</f>
        <v>DME3345</v>
      </c>
      <c r="B1379" s="4" t="str">
        <f>IFERROR(__xludf.DUMMYFUNCTION("""COMPUTED_VALUE"""),"Aniket Amol Kakade")</f>
        <v>Aniket Amol Kakade</v>
      </c>
      <c r="C1379" s="4" t="str">
        <f>IFERROR(__xludf.DUMMYFUNCTION("""COMPUTED_VALUE"""),"aniket.kakade@onixnet.com")</f>
        <v>aniket.kakade@onixnet.com</v>
      </c>
      <c r="D1379" s="4" t="str">
        <f>IFERROR(__xludf.DUMMYFUNCTION("""COMPUTED_VALUE"""),"Active")</f>
        <v>Active</v>
      </c>
      <c r="E1379" s="4" t="str">
        <f>IFERROR(__xludf.DUMMYFUNCTION("""COMPUTED_VALUE"""),"Product Engineering")</f>
        <v>Product Engineering</v>
      </c>
      <c r="F1379" s="4" t="str">
        <f>IFERROR(__xludf.DUMMYFUNCTION("""COMPUTED_VALUE"""),"Dhiraj Kumar")</f>
        <v>Dhiraj Kumar</v>
      </c>
      <c r="G1379" s="4" t="str">
        <f>IFERROR(__xludf.DUMMYFUNCTION("""COMPUTED_VALUE"""),"Cluster - Mayur")</f>
        <v>Cluster - Mayur</v>
      </c>
      <c r="H1379" s="4" t="str">
        <f>IFERROR(__xludf.DUMMYFUNCTION("""COMPUTED_VALUE"""),"ONIAKJTW2")</f>
        <v>ONIAKJTW2</v>
      </c>
      <c r="I1379" s="5">
        <f>IFERROR(__xludf.DUMMYFUNCTION("""COMPUTED_VALUE"""),0.0)</f>
        <v>0</v>
      </c>
      <c r="J1379" s="4" t="str">
        <f>IFERROR(__xludf.DUMMYFUNCTION("""COMPUTED_VALUE"""),"Tier 4")</f>
        <v>Tier 4</v>
      </c>
      <c r="K1379" s="4" t="str">
        <f>IFERROR(__xludf.DUMMYFUNCTION("""COMPUTED_VALUE"""),"ID Created DRP score 0")</f>
        <v>ID Created DRP score 0</v>
      </c>
      <c r="L1379" s="4"/>
    </row>
    <row r="1380">
      <c r="A1380" s="4" t="str">
        <f>IFERROR(__xludf.DUMMYFUNCTION("""COMPUTED_VALUE"""),"DME3346")</f>
        <v>DME3346</v>
      </c>
      <c r="B1380" s="4" t="str">
        <f>IFERROR(__xludf.DUMMYFUNCTION("""COMPUTED_VALUE"""),"Sagar Koul")</f>
        <v>Sagar Koul</v>
      </c>
      <c r="C1380" s="4" t="str">
        <f>IFERROR(__xludf.DUMMYFUNCTION("""COMPUTED_VALUE"""),"sagar.koul@onixnet.com")</f>
        <v>sagar.koul@onixnet.com</v>
      </c>
      <c r="D1380" s="4" t="str">
        <f>IFERROR(__xludf.DUMMYFUNCTION("""COMPUTED_VALUE"""),"Active")</f>
        <v>Active</v>
      </c>
      <c r="E1380" s="4" t="str">
        <f>IFERROR(__xludf.DUMMYFUNCTION("""COMPUTED_VALUE"""),"Delivery Services")</f>
        <v>Delivery Services</v>
      </c>
      <c r="F1380" s="4" t="str">
        <f>IFERROR(__xludf.DUMMYFUNCTION("""COMPUTED_VALUE"""),"Rajinder Thakur")</f>
        <v>Rajinder Thakur</v>
      </c>
      <c r="G1380" s="4" t="str">
        <f>IFERROR(__xludf.DUMMYFUNCTION("""COMPUTED_VALUE"""),"Cluster - Varun")</f>
        <v>Cluster - Varun</v>
      </c>
      <c r="H1380" s="4" t="str">
        <f>IFERROR(__xludf.DUMMYFUNCTION("""COMPUTED_VALUE"""),"ONISKGPT6")</f>
        <v>ONISKGPT6</v>
      </c>
      <c r="I1380" s="5">
        <f>IFERROR(__xludf.DUMMYFUNCTION("""COMPUTED_VALUE"""),9.0)</f>
        <v>9</v>
      </c>
      <c r="J1380" s="4" t="str">
        <f>IFERROR(__xludf.DUMMYFUNCTION("""COMPUTED_VALUE"""),"Tier 4")</f>
        <v>Tier 4</v>
      </c>
      <c r="K1380" s="4" t="str">
        <f>IFERROR(__xludf.DUMMYFUNCTION("""COMPUTED_VALUE"""),"Active")</f>
        <v>Active</v>
      </c>
      <c r="L1380" s="4"/>
    </row>
    <row r="1381">
      <c r="A1381" s="4" t="str">
        <f>IFERROR(__xludf.DUMMYFUNCTION("""COMPUTED_VALUE"""),"DME3347")</f>
        <v>DME3347</v>
      </c>
      <c r="B1381" s="4" t="str">
        <f>IFERROR(__xludf.DUMMYFUNCTION("""COMPUTED_VALUE"""),"Dhepale Daivashala Vijay")</f>
        <v>Dhepale Daivashala Vijay</v>
      </c>
      <c r="C1381" s="4" t="str">
        <f>IFERROR(__xludf.DUMMYFUNCTION("""COMPUTED_VALUE"""),"daivashala.dhepale@onixnet.com")</f>
        <v>daivashala.dhepale@onixnet.com</v>
      </c>
      <c r="D1381" s="4" t="str">
        <f>IFERROR(__xludf.DUMMYFUNCTION("""COMPUTED_VALUE"""),"Active")</f>
        <v>Active</v>
      </c>
      <c r="E1381" s="4" t="str">
        <f>IFERROR(__xludf.DUMMYFUNCTION("""COMPUTED_VALUE"""),"Delivery Services")</f>
        <v>Delivery Services</v>
      </c>
      <c r="F1381" s="4" t="str">
        <f>IFERROR(__xludf.DUMMYFUNCTION("""COMPUTED_VALUE"""),"Minal Patil")</f>
        <v>Minal Patil</v>
      </c>
      <c r="G1381" s="4" t="str">
        <f>IFERROR(__xludf.DUMMYFUNCTION("""COMPUTED_VALUE"""),"Cluster - Devayani")</f>
        <v>Cluster - Devayani</v>
      </c>
      <c r="H1381" s="4" t="str">
        <f>IFERROR(__xludf.DUMMYFUNCTION("""COMPUTED_VALUE"""),"ONIDDNXE1")</f>
        <v>ONIDDNXE1</v>
      </c>
      <c r="I1381" s="5">
        <f>IFERROR(__xludf.DUMMYFUNCTION("""COMPUTED_VALUE"""),46.0)</f>
        <v>46</v>
      </c>
      <c r="J1381" s="4" t="str">
        <f>IFERROR(__xludf.DUMMYFUNCTION("""COMPUTED_VALUE"""),"Tier 2")</f>
        <v>Tier 2</v>
      </c>
      <c r="K1381" s="4" t="str">
        <f>IFERROR(__xludf.DUMMYFUNCTION("""COMPUTED_VALUE"""),"Active")</f>
        <v>Active</v>
      </c>
      <c r="L1381" s="4" t="str">
        <f>IFERROR(__xludf.DUMMYFUNCTION("""COMPUTED_VALUE"""),"Gemini Enterprise Agent Platform")</f>
        <v>Gemini Enterprise Agent Platform</v>
      </c>
    </row>
    <row r="1382">
      <c r="A1382" s="4" t="str">
        <f>IFERROR(__xludf.DUMMYFUNCTION("""COMPUTED_VALUE"""),"DME3349")</f>
        <v>DME3349</v>
      </c>
      <c r="B1382" s="4" t="str">
        <f>IFERROR(__xludf.DUMMYFUNCTION("""COMPUTED_VALUE"""),"Dhruv Srivastava")</f>
        <v>Dhruv Srivastava</v>
      </c>
      <c r="C1382" s="4" t="str">
        <f>IFERROR(__xludf.DUMMYFUNCTION("""COMPUTED_VALUE"""),"dhruv.srivastava@onixnet.com")</f>
        <v>dhruv.srivastava@onixnet.com</v>
      </c>
      <c r="D1382" s="4" t="str">
        <f>IFERROR(__xludf.DUMMYFUNCTION("""COMPUTED_VALUE"""),"Active")</f>
        <v>Active</v>
      </c>
      <c r="E1382" s="4" t="str">
        <f>IFERROR(__xludf.DUMMYFUNCTION("""COMPUTED_VALUE"""),"Delivery Services")</f>
        <v>Delivery Services</v>
      </c>
      <c r="F1382" s="4" t="str">
        <f>IFERROR(__xludf.DUMMYFUNCTION("""COMPUTED_VALUE"""),"Indrajit Omprakash Bhagat")</f>
        <v>Indrajit Omprakash Bhagat</v>
      </c>
      <c r="G1382" s="4" t="str">
        <f>IFERROR(__xludf.DUMMYFUNCTION("""COMPUTED_VALUE"""),"Cluster - Varun")</f>
        <v>Cluster - Varun</v>
      </c>
      <c r="H1382" s="4" t="str">
        <f>IFERROR(__xludf.DUMMYFUNCTION("""COMPUTED_VALUE"""),"ONIDSZYN2")</f>
        <v>ONIDSZYN2</v>
      </c>
      <c r="I1382" s="5">
        <f>IFERROR(__xludf.DUMMYFUNCTION("""COMPUTED_VALUE"""),5.0)</f>
        <v>5</v>
      </c>
      <c r="J1382" s="4" t="str">
        <f>IFERROR(__xludf.DUMMYFUNCTION("""COMPUTED_VALUE"""),"Tier 4")</f>
        <v>Tier 4</v>
      </c>
      <c r="K1382" s="4" t="str">
        <f>IFERROR(__xludf.DUMMYFUNCTION("""COMPUTED_VALUE"""),"Active")</f>
        <v>Active</v>
      </c>
      <c r="L1382" s="4" t="str">
        <f>IFERROR(__xludf.DUMMYFUNCTION("""COMPUTED_VALUE"""),"Google Kubernetes Engine")</f>
        <v>Google Kubernetes Engine</v>
      </c>
    </row>
    <row r="1383">
      <c r="A1383" s="4" t="str">
        <f>IFERROR(__xludf.DUMMYFUNCTION("""COMPUTED_VALUE"""),"ONIX911")</f>
        <v>ONIX911</v>
      </c>
      <c r="B1383" s="4" t="str">
        <f>IFERROR(__xludf.DUMMYFUNCTION("""COMPUTED_VALUE"""),"Srikanth Thiruvengadam")</f>
        <v>Srikanth Thiruvengadam</v>
      </c>
      <c r="C1383" s="4" t="str">
        <f>IFERROR(__xludf.DUMMYFUNCTION("""COMPUTED_VALUE"""),"srikanth.thiruvengadam@onixnet.com")</f>
        <v>srikanth.thiruvengadam@onixnet.com</v>
      </c>
      <c r="D1383" s="4" t="str">
        <f>IFERROR(__xludf.DUMMYFUNCTION("""COMPUTED_VALUE"""),"Active")</f>
        <v>Active</v>
      </c>
      <c r="E1383" s="4" t="str">
        <f>IFERROR(__xludf.DUMMYFUNCTION("""COMPUTED_VALUE"""),"Services")</f>
        <v>Services</v>
      </c>
      <c r="F1383" s="4" t="str">
        <f>IFERROR(__xludf.DUMMYFUNCTION("""COMPUTED_VALUE"""),"Patrick Schablitzki")</f>
        <v>Patrick Schablitzki</v>
      </c>
      <c r="G1383" s="4" t="str">
        <f>IFERROR(__xludf.DUMMYFUNCTION("""COMPUTED_VALUE"""),"Portfolio - Patrick")</f>
        <v>Portfolio - Patrick</v>
      </c>
      <c r="H1383" s="4"/>
      <c r="I1383" s="5"/>
      <c r="J1383" s="4"/>
      <c r="K1383" s="4" t="str">
        <f>IFERROR(__xludf.DUMMYFUNCTION("""COMPUTED_VALUE"""),"ID Not Created")</f>
        <v>ID Not Created</v>
      </c>
      <c r="L1383" s="4"/>
    </row>
    <row r="1384">
      <c r="A1384" s="4" t="str">
        <f>IFERROR(__xludf.DUMMYFUNCTION("""COMPUTED_VALUE"""),"DME3350")</f>
        <v>DME3350</v>
      </c>
      <c r="B1384" s="4" t="str">
        <f>IFERROR(__xludf.DUMMYFUNCTION("""COMPUTED_VALUE"""),"Ravindra Vishnu Shirsath")</f>
        <v>Ravindra Vishnu Shirsath</v>
      </c>
      <c r="C1384" s="4" t="str">
        <f>IFERROR(__xludf.DUMMYFUNCTION("""COMPUTED_VALUE"""),"ravindra.shirsath@onixnet.com")</f>
        <v>ravindra.shirsath@onixnet.com</v>
      </c>
      <c r="D1384" s="4" t="str">
        <f>IFERROR(__xludf.DUMMYFUNCTION("""COMPUTED_VALUE"""),"Active")</f>
        <v>Active</v>
      </c>
      <c r="E1384" s="4" t="str">
        <f>IFERROR(__xludf.DUMMYFUNCTION("""COMPUTED_VALUE"""),"Product Engineering")</f>
        <v>Product Engineering</v>
      </c>
      <c r="F1384" s="4" t="str">
        <f>IFERROR(__xludf.DUMMYFUNCTION("""COMPUTED_VALUE"""),"Mayur Jain")</f>
        <v>Mayur Jain</v>
      </c>
      <c r="G1384" s="4" t="str">
        <f>IFERROR(__xludf.DUMMYFUNCTION("""COMPUTED_VALUE"""),"Cluster - Mayur")</f>
        <v>Cluster - Mayur</v>
      </c>
      <c r="H1384" s="4" t="str">
        <f>IFERROR(__xludf.DUMMYFUNCTION("""COMPUTED_VALUE"""),"ONIRSCAO2")</f>
        <v>ONIRSCAO2</v>
      </c>
      <c r="I1384" s="5">
        <f>IFERROR(__xludf.DUMMYFUNCTION("""COMPUTED_VALUE"""),0.0)</f>
        <v>0</v>
      </c>
      <c r="J1384" s="4" t="str">
        <f>IFERROR(__xludf.DUMMYFUNCTION("""COMPUTED_VALUE"""),"Tier 4")</f>
        <v>Tier 4</v>
      </c>
      <c r="K1384" s="4" t="str">
        <f>IFERROR(__xludf.DUMMYFUNCTION("""COMPUTED_VALUE"""),"ID Created DRP score 0")</f>
        <v>ID Created DRP score 0</v>
      </c>
      <c r="L1384" s="4"/>
    </row>
    <row r="1385">
      <c r="A1385" s="4" t="str">
        <f>IFERROR(__xludf.DUMMYFUNCTION("""COMPUTED_VALUE"""),"DMC1231")</f>
        <v>DMC1231</v>
      </c>
      <c r="B1385" s="4" t="str">
        <f>IFERROR(__xludf.DUMMYFUNCTION("""COMPUTED_VALUE"""),"Divya Sandip Ubarhande")</f>
        <v>Divya Sandip Ubarhande</v>
      </c>
      <c r="C1385" s="4" t="str">
        <f>IFERROR(__xludf.DUMMYFUNCTION("""COMPUTED_VALUE"""),"divya.ubarhande@onixnet.us")</f>
        <v>divya.ubarhande@onixnet.us</v>
      </c>
      <c r="D1385" s="4" t="str">
        <f>IFERROR(__xludf.DUMMYFUNCTION("""COMPUTED_VALUE"""),"Active")</f>
        <v>Active</v>
      </c>
      <c r="E1385" s="4" t="str">
        <f>IFERROR(__xludf.DUMMYFUNCTION("""COMPUTED_VALUE"""),"Corporate Operations")</f>
        <v>Corporate Operations</v>
      </c>
      <c r="F1385" s="4" t="str">
        <f>IFERROR(__xludf.DUMMYFUNCTION("""COMPUTED_VALUE"""),"Nikhil Ashok Shelke")</f>
        <v>Nikhil Ashok Shelke</v>
      </c>
      <c r="G1385" s="4" t="str">
        <f>IFERROR(__xludf.DUMMYFUNCTION("""COMPUTED_VALUE"""),"Cluster - Bishakha")</f>
        <v>Cluster - Bishakha</v>
      </c>
      <c r="H1385" s="4" t="str">
        <f>IFERROR(__xludf.DUMMYFUNCTION("""COMPUTED_VALUE"""),"ONIDUJWR6")</f>
        <v>ONIDUJWR6</v>
      </c>
      <c r="I1385" s="5">
        <f>IFERROR(__xludf.DUMMYFUNCTION("""COMPUTED_VALUE"""),45.0)</f>
        <v>45</v>
      </c>
      <c r="J1385" s="4" t="str">
        <f>IFERROR(__xludf.DUMMYFUNCTION("""COMPUTED_VALUE"""),"Tier 2")</f>
        <v>Tier 2</v>
      </c>
      <c r="K1385" s="4" t="str">
        <f>IFERROR(__xludf.DUMMYFUNCTION("""COMPUTED_VALUE"""),"Active")</f>
        <v>Active</v>
      </c>
      <c r="L1385" s="4" t="str">
        <f>IFERROR(__xludf.DUMMYFUNCTION("""COMPUTED_VALUE"""),"Gemini Enterprise Agent Platform")</f>
        <v>Gemini Enterprise Agent Platform</v>
      </c>
    </row>
    <row r="1386">
      <c r="A1386" s="4" t="str">
        <f>IFERROR(__xludf.DUMMYFUNCTION("""COMPUTED_VALUE"""),"DME3351")</f>
        <v>DME3351</v>
      </c>
      <c r="B1386" s="4" t="str">
        <f>IFERROR(__xludf.DUMMYFUNCTION("""COMPUTED_VALUE"""),"Ashok Kumar")</f>
        <v>Ashok Kumar</v>
      </c>
      <c r="C1386" s="4" t="str">
        <f>IFERROR(__xludf.DUMMYFUNCTION("""COMPUTED_VALUE"""),"ashok.kumar@onixnet.com")</f>
        <v>ashok.kumar@onixnet.com</v>
      </c>
      <c r="D1386" s="4" t="str">
        <f>IFERROR(__xludf.DUMMYFUNCTION("""COMPUTED_VALUE"""),"Active")</f>
        <v>Active</v>
      </c>
      <c r="E1386" s="4" t="str">
        <f>IFERROR(__xludf.DUMMYFUNCTION("""COMPUTED_VALUE"""),"Delivery Services")</f>
        <v>Delivery Services</v>
      </c>
      <c r="F1386" s="4" t="str">
        <f>IFERROR(__xludf.DUMMYFUNCTION("""COMPUTED_VALUE"""),"Anubhav Sharma")</f>
        <v>Anubhav Sharma</v>
      </c>
      <c r="G1386" s="4" t="str">
        <f>IFERROR(__xludf.DUMMYFUNCTION("""COMPUTED_VALUE"""),"Cluster - Varun")</f>
        <v>Cluster - Varun</v>
      </c>
      <c r="H1386" s="4" t="str">
        <f>IFERROR(__xludf.DUMMYFUNCTION("""COMPUTED_VALUE"""),"ONIAKWLF9")</f>
        <v>ONIAKWLF9</v>
      </c>
      <c r="I1386" s="5">
        <f>IFERROR(__xludf.DUMMYFUNCTION("""COMPUTED_VALUE"""),19.0)</f>
        <v>19</v>
      </c>
      <c r="J1386" s="4" t="str">
        <f>IFERROR(__xludf.DUMMYFUNCTION("""COMPUTED_VALUE"""),"Tier 4")</f>
        <v>Tier 4</v>
      </c>
      <c r="K1386" s="4" t="str">
        <f>IFERROR(__xludf.DUMMYFUNCTION("""COMPUTED_VALUE"""),"Active")</f>
        <v>Active</v>
      </c>
      <c r="L1386" s="4" t="str">
        <f>IFERROR(__xludf.DUMMYFUNCTION("""COMPUTED_VALUE"""),"Google Kubernetes Engine")</f>
        <v>Google Kubernetes Engine</v>
      </c>
    </row>
    <row r="1387">
      <c r="A1387" s="4" t="str">
        <f>IFERROR(__xludf.DUMMYFUNCTION("""COMPUTED_VALUE"""),"DME3352")</f>
        <v>DME3352</v>
      </c>
      <c r="B1387" s="4" t="str">
        <f>IFERROR(__xludf.DUMMYFUNCTION("""COMPUTED_VALUE"""),"Suvankar Bhattacharya")</f>
        <v>Suvankar Bhattacharya</v>
      </c>
      <c r="C1387" s="4" t="str">
        <f>IFERROR(__xludf.DUMMYFUNCTION("""COMPUTED_VALUE"""),"suvankar.bhattacharya@onixnet.com")</f>
        <v>suvankar.bhattacharya@onixnet.com</v>
      </c>
      <c r="D1387" s="4" t="str">
        <f>IFERROR(__xludf.DUMMYFUNCTION("""COMPUTED_VALUE"""),"Active")</f>
        <v>Active</v>
      </c>
      <c r="E1387" s="4" t="str">
        <f>IFERROR(__xludf.DUMMYFUNCTION("""COMPUTED_VALUE"""),"Delivery Services")</f>
        <v>Delivery Services</v>
      </c>
      <c r="F1387" s="4" t="str">
        <f>IFERROR(__xludf.DUMMYFUNCTION("""COMPUTED_VALUE"""),"Anubhav Sharma")</f>
        <v>Anubhav Sharma</v>
      </c>
      <c r="G1387" s="4" t="str">
        <f>IFERROR(__xludf.DUMMYFUNCTION("""COMPUTED_VALUE"""),"Cluster - Varun")</f>
        <v>Cluster - Varun</v>
      </c>
      <c r="H1387" s="4" t="str">
        <f>IFERROR(__xludf.DUMMYFUNCTION("""COMPUTED_VALUE"""),"ONISBJFG9")</f>
        <v>ONISBJFG9</v>
      </c>
      <c r="I1387" s="5">
        <f>IFERROR(__xludf.DUMMYFUNCTION("""COMPUTED_VALUE"""),19.0)</f>
        <v>19</v>
      </c>
      <c r="J1387" s="4" t="str">
        <f>IFERROR(__xludf.DUMMYFUNCTION("""COMPUTED_VALUE"""),"Tier 4")</f>
        <v>Tier 4</v>
      </c>
      <c r="K1387" s="4" t="str">
        <f>IFERROR(__xludf.DUMMYFUNCTION("""COMPUTED_VALUE"""),"Active")</f>
        <v>Active</v>
      </c>
      <c r="L1387" s="4" t="str">
        <f>IFERROR(__xludf.DUMMYFUNCTION("""COMPUTED_VALUE"""),"Google Kubernetes Engine")</f>
        <v>Google Kubernetes Engine</v>
      </c>
    </row>
    <row r="1388">
      <c r="A1388" s="4" t="str">
        <f>IFERROR(__xludf.DUMMYFUNCTION("""COMPUTED_VALUE"""),"DME2749")</f>
        <v>DME2749</v>
      </c>
      <c r="B1388" s="4" t="str">
        <f>IFERROR(__xludf.DUMMYFUNCTION("""COMPUTED_VALUE"""),"Pawan Singh")</f>
        <v>Pawan Singh</v>
      </c>
      <c r="C1388" s="4" t="str">
        <f>IFERROR(__xludf.DUMMYFUNCTION("""COMPUTED_VALUE"""),"pawan.singh@onixnet.com")</f>
        <v>pawan.singh@onixnet.com</v>
      </c>
      <c r="D1388" s="4" t="str">
        <f>IFERROR(__xludf.DUMMYFUNCTION("""COMPUTED_VALUE"""),"Active")</f>
        <v>Active</v>
      </c>
      <c r="E1388" s="4" t="str">
        <f>IFERROR(__xludf.DUMMYFUNCTION("""COMPUTED_VALUE"""),"Corporate Operations")</f>
        <v>Corporate Operations</v>
      </c>
      <c r="F1388" s="4" t="str">
        <f>IFERROR(__xludf.DUMMYFUNCTION("""COMPUTED_VALUE"""),"Satya Pillai")</f>
        <v>Satya Pillai</v>
      </c>
      <c r="G1388" s="4" t="str">
        <f>IFERROR(__xludf.DUMMYFUNCTION("""COMPUTED_VALUE"""),"Cluster - Satya")</f>
        <v>Cluster - Satya</v>
      </c>
      <c r="H1388" s="4" t="str">
        <f>IFERROR(__xludf.DUMMYFUNCTION("""COMPUTED_VALUE"""),"ONIPSTXI9")</f>
        <v>ONIPSTXI9</v>
      </c>
      <c r="I1388" s="5">
        <f>IFERROR(__xludf.DUMMYFUNCTION("""COMPUTED_VALUE"""),10.0)</f>
        <v>10</v>
      </c>
      <c r="J1388" s="4" t="str">
        <f>IFERROR(__xludf.DUMMYFUNCTION("""COMPUTED_VALUE"""),"Tier 4")</f>
        <v>Tier 4</v>
      </c>
      <c r="K1388" s="4" t="str">
        <f>IFERROR(__xludf.DUMMYFUNCTION("""COMPUTED_VALUE"""),"Active")</f>
        <v>Active</v>
      </c>
      <c r="L1388" s="4" t="str">
        <f>IFERROR(__xludf.DUMMYFUNCTION("""COMPUTED_VALUE"""),"Cloud Security")</f>
        <v>Cloud Security</v>
      </c>
    </row>
    <row r="1389">
      <c r="A1389" s="4" t="str">
        <f>IFERROR(__xludf.DUMMYFUNCTION("""COMPUTED_VALUE"""),"DME3108")</f>
        <v>DME3108</v>
      </c>
      <c r="B1389" s="4" t="str">
        <f>IFERROR(__xludf.DUMMYFUNCTION("""COMPUTED_VALUE"""),"Vaibhav Dhumal")</f>
        <v>Vaibhav Dhumal</v>
      </c>
      <c r="C1389" s="4" t="str">
        <f>IFERROR(__xludf.DUMMYFUNCTION("""COMPUTED_VALUE"""),"vaibhav.dhumal@onixnet.com")</f>
        <v>vaibhav.dhumal@onixnet.com</v>
      </c>
      <c r="D1389" s="4" t="str">
        <f>IFERROR(__xludf.DUMMYFUNCTION("""COMPUTED_VALUE"""),"Active")</f>
        <v>Active</v>
      </c>
      <c r="E1389" s="4" t="str">
        <f>IFERROR(__xludf.DUMMYFUNCTION("""COMPUTED_VALUE"""),"Corporate Operations")</f>
        <v>Corporate Operations</v>
      </c>
      <c r="F1389" s="4" t="str">
        <f>IFERROR(__xludf.DUMMYFUNCTION("""COMPUTED_VALUE"""),"Satya Pillai")</f>
        <v>Satya Pillai</v>
      </c>
      <c r="G1389" s="4" t="str">
        <f>IFERROR(__xludf.DUMMYFUNCTION("""COMPUTED_VALUE"""),"Cluster - Satya")</f>
        <v>Cluster - Satya</v>
      </c>
      <c r="H1389" s="4" t="str">
        <f>IFERROR(__xludf.DUMMYFUNCTION("""COMPUTED_VALUE"""),"ONIVDQKG1")</f>
        <v>ONIVDQKG1</v>
      </c>
      <c r="I1389" s="5">
        <f>IFERROR(__xludf.DUMMYFUNCTION("""COMPUTED_VALUE"""),15.0)</f>
        <v>15</v>
      </c>
      <c r="J1389" s="4" t="str">
        <f>IFERROR(__xludf.DUMMYFUNCTION("""COMPUTED_VALUE"""),"Tier 4")</f>
        <v>Tier 4</v>
      </c>
      <c r="K1389" s="4" t="str">
        <f>IFERROR(__xludf.DUMMYFUNCTION("""COMPUTED_VALUE"""),"Active")</f>
        <v>Active</v>
      </c>
      <c r="L1389" s="4" t="str">
        <f>IFERROR(__xludf.DUMMYFUNCTION("""COMPUTED_VALUE"""),"Google Kubernetes Engine")</f>
        <v>Google Kubernetes Engine</v>
      </c>
    </row>
    <row r="1390">
      <c r="A1390" s="4" t="str">
        <f>IFERROR(__xludf.DUMMYFUNCTION("""COMPUTED_VALUE"""),"DMC1200")</f>
        <v>DMC1200</v>
      </c>
      <c r="B1390" s="4" t="str">
        <f>IFERROR(__xludf.DUMMYFUNCTION("""COMPUTED_VALUE"""),"Tanmay Bhujade")</f>
        <v>Tanmay Bhujade</v>
      </c>
      <c r="C1390" s="4" t="str">
        <f>IFERROR(__xludf.DUMMYFUNCTION("""COMPUTED_VALUE"""),"tanmay.bhujade@onixnet.us")</f>
        <v>tanmay.bhujade@onixnet.us</v>
      </c>
      <c r="D1390" s="4" t="str">
        <f>IFERROR(__xludf.DUMMYFUNCTION("""COMPUTED_VALUE"""),"Active")</f>
        <v>Active</v>
      </c>
      <c r="E1390" s="4" t="str">
        <f>IFERROR(__xludf.DUMMYFUNCTION("""COMPUTED_VALUE"""),"Corporate Operations")</f>
        <v>Corporate Operations</v>
      </c>
      <c r="F1390" s="4" t="str">
        <f>IFERROR(__xludf.DUMMYFUNCTION("""COMPUTED_VALUE"""),"Nikhil Ashok Shelke")</f>
        <v>Nikhil Ashok Shelke</v>
      </c>
      <c r="G1390" s="4" t="str">
        <f>IFERROR(__xludf.DUMMYFUNCTION("""COMPUTED_VALUE"""),"Cluster - Bishakha")</f>
        <v>Cluster - Bishakha</v>
      </c>
      <c r="H1390" s="4" t="str">
        <f>IFERROR(__xludf.DUMMYFUNCTION("""COMPUTED_VALUE"""),"ONITBLNK1")</f>
        <v>ONITBLNK1</v>
      </c>
      <c r="I1390" s="5">
        <f>IFERROR(__xludf.DUMMYFUNCTION("""COMPUTED_VALUE"""),40.0)</f>
        <v>40</v>
      </c>
      <c r="J1390" s="4" t="str">
        <f>IFERROR(__xludf.DUMMYFUNCTION("""COMPUTED_VALUE"""),"Tier 2")</f>
        <v>Tier 2</v>
      </c>
      <c r="K1390" s="4" t="str">
        <f>IFERROR(__xludf.DUMMYFUNCTION("""COMPUTED_VALUE"""),"Active")</f>
        <v>Active</v>
      </c>
      <c r="L1390" s="4" t="str">
        <f>IFERROR(__xludf.DUMMYFUNCTION("""COMPUTED_VALUE"""),"Gemini Enterprise Agent Platform")</f>
        <v>Gemini Enterprise Agent Platform</v>
      </c>
    </row>
    <row r="1391">
      <c r="A1391" s="4" t="str">
        <f>IFERROR(__xludf.DUMMYFUNCTION("""COMPUTED_VALUE"""),"DMC1206")</f>
        <v>DMC1206</v>
      </c>
      <c r="B1391" s="4" t="str">
        <f>IFERROR(__xludf.DUMMYFUNCTION("""COMPUTED_VALUE"""),"Mihika Nangare")</f>
        <v>Mihika Nangare</v>
      </c>
      <c r="C1391" s="4" t="str">
        <f>IFERROR(__xludf.DUMMYFUNCTION("""COMPUTED_VALUE"""),"mihika.nangare@onixnet.us")</f>
        <v>mihika.nangare@onixnet.us</v>
      </c>
      <c r="D1391" s="4" t="str">
        <f>IFERROR(__xludf.DUMMYFUNCTION("""COMPUTED_VALUE"""),"Active")</f>
        <v>Active</v>
      </c>
      <c r="E1391" s="4" t="str">
        <f>IFERROR(__xludf.DUMMYFUNCTION("""COMPUTED_VALUE"""),"Corporate Operations")</f>
        <v>Corporate Operations</v>
      </c>
      <c r="F1391" s="4" t="str">
        <f>IFERROR(__xludf.DUMMYFUNCTION("""COMPUTED_VALUE"""),"Nikhil Ashok Shelke")</f>
        <v>Nikhil Ashok Shelke</v>
      </c>
      <c r="G1391" s="4" t="str">
        <f>IFERROR(__xludf.DUMMYFUNCTION("""COMPUTED_VALUE"""),"Cluster - Bishakha")</f>
        <v>Cluster - Bishakha</v>
      </c>
      <c r="H1391" s="4" t="str">
        <f>IFERROR(__xludf.DUMMYFUNCTION("""COMPUTED_VALUE"""),"ONIMNVRZ3")</f>
        <v>ONIMNVRZ3</v>
      </c>
      <c r="I1391" s="5">
        <f>IFERROR(__xludf.DUMMYFUNCTION("""COMPUTED_VALUE"""),5.0)</f>
        <v>5</v>
      </c>
      <c r="J1391" s="4" t="str">
        <f>IFERROR(__xludf.DUMMYFUNCTION("""COMPUTED_VALUE"""),"Tier 4")</f>
        <v>Tier 4</v>
      </c>
      <c r="K1391" s="4" t="str">
        <f>IFERROR(__xludf.DUMMYFUNCTION("""COMPUTED_VALUE"""),"Active")</f>
        <v>Active</v>
      </c>
      <c r="L1391" s="4" t="str">
        <f>IFERROR(__xludf.DUMMYFUNCTION("""COMPUTED_VALUE"""),"Gemini Enterprise Agent Platform")</f>
        <v>Gemini Enterprise Agent Platform</v>
      </c>
    </row>
    <row r="1392">
      <c r="A1392" s="4" t="str">
        <f>IFERROR(__xludf.DUMMYFUNCTION("""COMPUTED_VALUE"""),"ONIX814")</f>
        <v>ONIX814</v>
      </c>
      <c r="B1392" s="4" t="str">
        <f>IFERROR(__xludf.DUMMYFUNCTION("""COMPUTED_VALUE"""),"Pratik Karhekar")</f>
        <v>Pratik Karhekar</v>
      </c>
      <c r="C1392" s="4" t="str">
        <f>IFERROR(__xludf.DUMMYFUNCTION("""COMPUTED_VALUE"""),"pratik.karhekar@onixnet.com")</f>
        <v>pratik.karhekar@onixnet.com</v>
      </c>
      <c r="D1392" s="4" t="str">
        <f>IFERROR(__xludf.DUMMYFUNCTION("""COMPUTED_VALUE"""),"Active")</f>
        <v>Active</v>
      </c>
      <c r="E1392" s="4" t="str">
        <f>IFERROR(__xludf.DUMMYFUNCTION("""COMPUTED_VALUE"""),"Services")</f>
        <v>Services</v>
      </c>
      <c r="F1392" s="4" t="str">
        <f>IFERROR(__xludf.DUMMYFUNCTION("""COMPUTED_VALUE"""),"Venkat Srinivasan")</f>
        <v>Venkat Srinivasan</v>
      </c>
      <c r="G1392" s="4" t="str">
        <f>IFERROR(__xludf.DUMMYFUNCTION("""COMPUTED_VALUE"""),"Portfolio - Rajesh")</f>
        <v>Portfolio - Rajesh</v>
      </c>
      <c r="H1392" s="4" t="str">
        <f>IFERROR(__xludf.DUMMYFUNCTION("""COMPUTED_VALUE"""),"ONIPKGYV8")</f>
        <v>ONIPKGYV8</v>
      </c>
      <c r="I1392" s="5">
        <f>IFERROR(__xludf.DUMMYFUNCTION("""COMPUTED_VALUE"""),15.0)</f>
        <v>15</v>
      </c>
      <c r="J1392" s="4" t="str">
        <f>IFERROR(__xludf.DUMMYFUNCTION("""COMPUTED_VALUE"""),"Tier 4")</f>
        <v>Tier 4</v>
      </c>
      <c r="K1392" s="4" t="str">
        <f>IFERROR(__xludf.DUMMYFUNCTION("""COMPUTED_VALUE"""),"Active")</f>
        <v>Active</v>
      </c>
      <c r="L1392" s="4" t="str">
        <f>IFERROR(__xludf.DUMMYFUNCTION("""COMPUTED_VALUE"""),"BigQuery")</f>
        <v>BigQuery</v>
      </c>
    </row>
    <row r="1393">
      <c r="A1393" s="4" t="str">
        <f>IFERROR(__xludf.DUMMYFUNCTION("""COMPUTED_VALUE"""),"DME2762")</f>
        <v>DME2762</v>
      </c>
      <c r="B1393" s="4" t="str">
        <f>IFERROR(__xludf.DUMMYFUNCTION("""COMPUTED_VALUE"""),"Yuvraj Mahajan")</f>
        <v>Yuvraj Mahajan</v>
      </c>
      <c r="C1393" s="4" t="str">
        <f>IFERROR(__xludf.DUMMYFUNCTION("""COMPUTED_VALUE"""),"yuvraj.mahajan@onixnet.com")</f>
        <v>yuvraj.mahajan@onixnet.com</v>
      </c>
      <c r="D1393" s="4" t="str">
        <f>IFERROR(__xludf.DUMMYFUNCTION("""COMPUTED_VALUE"""),"Active")</f>
        <v>Active</v>
      </c>
      <c r="E1393" s="4" t="str">
        <f>IFERROR(__xludf.DUMMYFUNCTION("""COMPUTED_VALUE"""),"Corporate Operations")</f>
        <v>Corporate Operations</v>
      </c>
      <c r="F1393" s="4" t="str">
        <f>IFERROR(__xludf.DUMMYFUNCTION("""COMPUTED_VALUE"""),"Satya Pillai")</f>
        <v>Satya Pillai</v>
      </c>
      <c r="G1393" s="4" t="str">
        <f>IFERROR(__xludf.DUMMYFUNCTION("""COMPUTED_VALUE"""),"Cluster - Satya")</f>
        <v>Cluster - Satya</v>
      </c>
      <c r="H1393" s="4" t="str">
        <f>IFERROR(__xludf.DUMMYFUNCTION("""COMPUTED_VALUE"""),"ONIYMIVO8")</f>
        <v>ONIYMIVO8</v>
      </c>
      <c r="I1393" s="5">
        <f>IFERROR(__xludf.DUMMYFUNCTION("""COMPUTED_VALUE"""),15.0)</f>
        <v>15</v>
      </c>
      <c r="J1393" s="4" t="str">
        <f>IFERROR(__xludf.DUMMYFUNCTION("""COMPUTED_VALUE"""),"Tier 4")</f>
        <v>Tier 4</v>
      </c>
      <c r="K1393" s="4" t="str">
        <f>IFERROR(__xludf.DUMMYFUNCTION("""COMPUTED_VALUE"""),"Active")</f>
        <v>Active</v>
      </c>
      <c r="L1393" s="4" t="str">
        <f>IFERROR(__xludf.DUMMYFUNCTION("""COMPUTED_VALUE"""),"Google Kubernetes Engine")</f>
        <v>Google Kubernetes Engine</v>
      </c>
    </row>
    <row r="1394">
      <c r="A1394" s="4" t="str">
        <f>IFERROR(__xludf.DUMMYFUNCTION("""COMPUTED_VALUE"""),"DME2819")</f>
        <v>DME2819</v>
      </c>
      <c r="B1394" s="4" t="str">
        <f>IFERROR(__xludf.DUMMYFUNCTION("""COMPUTED_VALUE"""),"Shubham Chandan")</f>
        <v>Shubham Chandan</v>
      </c>
      <c r="C1394" s="4" t="str">
        <f>IFERROR(__xludf.DUMMYFUNCTION("""COMPUTED_VALUE"""),"shubham.chandan@onixnet.com")</f>
        <v>shubham.chandan@onixnet.com</v>
      </c>
      <c r="D1394" s="4" t="str">
        <f>IFERROR(__xludf.DUMMYFUNCTION("""COMPUTED_VALUE"""),"Active")</f>
        <v>Active</v>
      </c>
      <c r="E1394" s="4" t="str">
        <f>IFERROR(__xludf.DUMMYFUNCTION("""COMPUTED_VALUE"""),"Corporate Operations")</f>
        <v>Corporate Operations</v>
      </c>
      <c r="F1394" s="4" t="str">
        <f>IFERROR(__xludf.DUMMYFUNCTION("""COMPUTED_VALUE"""),"Satya Pillai")</f>
        <v>Satya Pillai</v>
      </c>
      <c r="G1394" s="4" t="str">
        <f>IFERROR(__xludf.DUMMYFUNCTION("""COMPUTED_VALUE"""),"Cluster - Satya")</f>
        <v>Cluster - Satya</v>
      </c>
      <c r="H1394" s="4" t="str">
        <f>IFERROR(__xludf.DUMMYFUNCTION("""COMPUTED_VALUE"""),"ONISCMHJ3")</f>
        <v>ONISCMHJ3</v>
      </c>
      <c r="I1394" s="5">
        <f>IFERROR(__xludf.DUMMYFUNCTION("""COMPUTED_VALUE"""),18.0)</f>
        <v>18</v>
      </c>
      <c r="J1394" s="4" t="str">
        <f>IFERROR(__xludf.DUMMYFUNCTION("""COMPUTED_VALUE"""),"Tier 4")</f>
        <v>Tier 4</v>
      </c>
      <c r="K1394" s="4" t="str">
        <f>IFERROR(__xludf.DUMMYFUNCTION("""COMPUTED_VALUE"""),"Active")</f>
        <v>Active</v>
      </c>
      <c r="L1394" s="4" t="str">
        <f>IFERROR(__xludf.DUMMYFUNCTION("""COMPUTED_VALUE"""),"Google Kubernetes Engine")</f>
        <v>Google Kubernetes Engine</v>
      </c>
    </row>
    <row r="1395">
      <c r="A1395" s="4" t="str">
        <f>IFERROR(__xludf.DUMMYFUNCTION("""COMPUTED_VALUE"""),"ONIX917")</f>
        <v>ONIX917</v>
      </c>
      <c r="B1395" s="4" t="str">
        <f>IFERROR(__xludf.DUMMYFUNCTION("""COMPUTED_VALUE"""),"Sunny Jaiswal")</f>
        <v>Sunny Jaiswal</v>
      </c>
      <c r="C1395" s="4" t="str">
        <f>IFERROR(__xludf.DUMMYFUNCTION("""COMPUTED_VALUE"""),"sunny.jaiswal@onixnet.com")</f>
        <v>sunny.jaiswal@onixnet.com</v>
      </c>
      <c r="D1395" s="4" t="str">
        <f>IFERROR(__xludf.DUMMYFUNCTION("""COMPUTED_VALUE"""),"Active")</f>
        <v>Active</v>
      </c>
      <c r="E1395" s="4" t="str">
        <f>IFERROR(__xludf.DUMMYFUNCTION("""COMPUTED_VALUE"""),"Delivery Services")</f>
        <v>Delivery Services</v>
      </c>
      <c r="F1395" s="4" t="str">
        <f>IFERROR(__xludf.DUMMYFUNCTION("""COMPUTED_VALUE"""),"Neeraj Arora")</f>
        <v>Neeraj Arora</v>
      </c>
      <c r="G1395" s="4" t="str">
        <f>IFERROR(__xludf.DUMMYFUNCTION("""COMPUTED_VALUE"""),"Portfolio - Kanth")</f>
        <v>Portfolio - Kanth</v>
      </c>
      <c r="H1395" s="4" t="str">
        <f>IFERROR(__xludf.DUMMYFUNCTION("""COMPUTED_VALUE"""),"ONISJIWD3")</f>
        <v>ONISJIWD3</v>
      </c>
      <c r="I1395" s="5">
        <f>IFERROR(__xludf.DUMMYFUNCTION("""COMPUTED_VALUE"""),12.0)</f>
        <v>12</v>
      </c>
      <c r="J1395" s="4" t="str">
        <f>IFERROR(__xludf.DUMMYFUNCTION("""COMPUTED_VALUE"""),"Tier 4")</f>
        <v>Tier 4</v>
      </c>
      <c r="K1395" s="4" t="str">
        <f>IFERROR(__xludf.DUMMYFUNCTION("""COMPUTED_VALUE"""),"Active")</f>
        <v>Active</v>
      </c>
      <c r="L1395" s="4" t="str">
        <f>IFERROR(__xludf.DUMMYFUNCTION("""COMPUTED_VALUE"""),"Gemini Enterprise Agent Platform")</f>
        <v>Gemini Enterprise Agent Platform</v>
      </c>
    </row>
    <row r="1396">
      <c r="A1396" s="4" t="str">
        <f>IFERROR(__xludf.DUMMYFUNCTION("""COMPUTED_VALUE"""),"DME3358")</f>
        <v>DME3358</v>
      </c>
      <c r="B1396" s="4" t="str">
        <f>IFERROR(__xludf.DUMMYFUNCTION("""COMPUTED_VALUE"""),"Balasubramani Sundar")</f>
        <v>Balasubramani Sundar</v>
      </c>
      <c r="C1396" s="4" t="str">
        <f>IFERROR(__xludf.DUMMYFUNCTION("""COMPUTED_VALUE"""),"balasubramani.sundar@onixnet.com")</f>
        <v>balasubramani.sundar@onixnet.com</v>
      </c>
      <c r="D1396" s="4" t="str">
        <f>IFERROR(__xludf.DUMMYFUNCTION("""COMPUTED_VALUE"""),"Active")</f>
        <v>Active</v>
      </c>
      <c r="E1396" s="4" t="str">
        <f>IFERROR(__xludf.DUMMYFUNCTION("""COMPUTED_VALUE"""),"Delivery Services")</f>
        <v>Delivery Services</v>
      </c>
      <c r="F1396" s="4" t="str">
        <f>IFERROR(__xludf.DUMMYFUNCTION("""COMPUTED_VALUE"""),"Indrajit Omprakash Bhagat")</f>
        <v>Indrajit Omprakash Bhagat</v>
      </c>
      <c r="G1396" s="4" t="str">
        <f>IFERROR(__xludf.DUMMYFUNCTION("""COMPUTED_VALUE"""),"Cluster - Varun")</f>
        <v>Cluster - Varun</v>
      </c>
      <c r="H1396" s="4" t="str">
        <f>IFERROR(__xludf.DUMMYFUNCTION("""COMPUTED_VALUE"""),"ONIBSFFX7")</f>
        <v>ONIBSFFX7</v>
      </c>
      <c r="I1396" s="5">
        <f>IFERROR(__xludf.DUMMYFUNCTION("""COMPUTED_VALUE"""),39.0)</f>
        <v>39</v>
      </c>
      <c r="J1396" s="4" t="str">
        <f>IFERROR(__xludf.DUMMYFUNCTION("""COMPUTED_VALUE"""),"Tier 2")</f>
        <v>Tier 2</v>
      </c>
      <c r="K1396" s="4" t="str">
        <f>IFERROR(__xludf.DUMMYFUNCTION("""COMPUTED_VALUE"""),"Active")</f>
        <v>Active</v>
      </c>
      <c r="L1396" s="4" t="str">
        <f>IFERROR(__xludf.DUMMYFUNCTION("""COMPUTED_VALUE"""),"Google Compute Engine")</f>
        <v>Google Compute Engine</v>
      </c>
    </row>
    <row r="1397">
      <c r="A1397" s="4" t="str">
        <f>IFERROR(__xludf.DUMMYFUNCTION("""COMPUTED_VALUE"""),"DME2892")</f>
        <v>DME2892</v>
      </c>
      <c r="B1397" s="4" t="str">
        <f>IFERROR(__xludf.DUMMYFUNCTION("""COMPUTED_VALUE"""),"Akshay shah")</f>
        <v>Akshay shah</v>
      </c>
      <c r="C1397" s="4" t="str">
        <f>IFERROR(__xludf.DUMMYFUNCTION("""COMPUTED_VALUE"""),"akshay.shah@onixnet.com")</f>
        <v>akshay.shah@onixnet.com</v>
      </c>
      <c r="D1397" s="4" t="str">
        <f>IFERROR(__xludf.DUMMYFUNCTION("""COMPUTED_VALUE"""),"Active")</f>
        <v>Active</v>
      </c>
      <c r="E1397" s="4" t="str">
        <f>IFERROR(__xludf.DUMMYFUNCTION("""COMPUTED_VALUE"""),"Delivery Services")</f>
        <v>Delivery Services</v>
      </c>
      <c r="F1397" s="4" t="str">
        <f>IFERROR(__xludf.DUMMYFUNCTION("""COMPUTED_VALUE"""),"Vishal Khare")</f>
        <v>Vishal Khare</v>
      </c>
      <c r="G1397" s="4" t="str">
        <f>IFERROR(__xludf.DUMMYFUNCTION("""COMPUTED_VALUE"""),"Cluster - Sagar")</f>
        <v>Cluster - Sagar</v>
      </c>
      <c r="H1397" s="4" t="str">
        <f>IFERROR(__xludf.DUMMYFUNCTION("""COMPUTED_VALUE"""),"ONIASLNZ3")</f>
        <v>ONIASLNZ3</v>
      </c>
      <c r="I1397" s="5">
        <f>IFERROR(__xludf.DUMMYFUNCTION("""COMPUTED_VALUE"""),5.0)</f>
        <v>5</v>
      </c>
      <c r="J1397" s="4" t="str">
        <f>IFERROR(__xludf.DUMMYFUNCTION("""COMPUTED_VALUE"""),"Tier 4")</f>
        <v>Tier 4</v>
      </c>
      <c r="K1397" s="4" t="str">
        <f>IFERROR(__xludf.DUMMYFUNCTION("""COMPUTED_VALUE"""),"Active")</f>
        <v>Active</v>
      </c>
      <c r="L1397" s="4" t="str">
        <f>IFERROR(__xludf.DUMMYFUNCTION("""COMPUTED_VALUE"""),"Gemini Enterprise Agent Platform")</f>
        <v>Gemini Enterprise Agent Platform</v>
      </c>
    </row>
    <row r="1398">
      <c r="A1398" s="4" t="str">
        <f>IFERROR(__xludf.DUMMYFUNCTION("""COMPUTED_VALUE"""),"DMC1207")</f>
        <v>DMC1207</v>
      </c>
      <c r="B1398" s="4" t="str">
        <f>IFERROR(__xludf.DUMMYFUNCTION("""COMPUTED_VALUE"""),"Ankit Babrule")</f>
        <v>Ankit Babrule</v>
      </c>
      <c r="C1398" s="4" t="str">
        <f>IFERROR(__xludf.DUMMYFUNCTION("""COMPUTED_VALUE"""),"ankit.babrule@onixnet.us")</f>
        <v>ankit.babrule@onixnet.us</v>
      </c>
      <c r="D1398" s="4" t="str">
        <f>IFERROR(__xludf.DUMMYFUNCTION("""COMPUTED_VALUE"""),"Active")</f>
        <v>Active</v>
      </c>
      <c r="E1398" s="4" t="str">
        <f>IFERROR(__xludf.DUMMYFUNCTION("""COMPUTED_VALUE"""),"Corporate Operations")</f>
        <v>Corporate Operations</v>
      </c>
      <c r="F1398" s="4" t="str">
        <f>IFERROR(__xludf.DUMMYFUNCTION("""COMPUTED_VALUE"""),"Nikhil Ashok Shelke")</f>
        <v>Nikhil Ashok Shelke</v>
      </c>
      <c r="G1398" s="4" t="str">
        <f>IFERROR(__xludf.DUMMYFUNCTION("""COMPUTED_VALUE"""),"Cluster - Bishakha")</f>
        <v>Cluster - Bishakha</v>
      </c>
      <c r="H1398" s="4" t="str">
        <f>IFERROR(__xludf.DUMMYFUNCTION("""COMPUTED_VALUE"""),"ONIABRSJ3")</f>
        <v>ONIABRSJ3</v>
      </c>
      <c r="I1398" s="5">
        <f>IFERROR(__xludf.DUMMYFUNCTION("""COMPUTED_VALUE"""),45.0)</f>
        <v>45</v>
      </c>
      <c r="J1398" s="4" t="str">
        <f>IFERROR(__xludf.DUMMYFUNCTION("""COMPUTED_VALUE"""),"Tier 2")</f>
        <v>Tier 2</v>
      </c>
      <c r="K1398" s="4" t="str">
        <f>IFERROR(__xludf.DUMMYFUNCTION("""COMPUTED_VALUE"""),"Active")</f>
        <v>Active</v>
      </c>
      <c r="L1398" s="4" t="str">
        <f>IFERROR(__xludf.DUMMYFUNCTION("""COMPUTED_VALUE"""),"Gemini Enterprise Agent Platform")</f>
        <v>Gemini Enterprise Agent Platform</v>
      </c>
    </row>
    <row r="1399">
      <c r="A1399" s="4" t="str">
        <f>IFERROR(__xludf.DUMMYFUNCTION("""COMPUTED_VALUE"""),"DME3402")</f>
        <v>DME3402</v>
      </c>
      <c r="B1399" s="4" t="str">
        <f>IFERROR(__xludf.DUMMYFUNCTION("""COMPUTED_VALUE"""),"Govindkumar Jha")</f>
        <v>Govindkumar Jha</v>
      </c>
      <c r="C1399" s="4" t="str">
        <f>IFERROR(__xludf.DUMMYFUNCTION("""COMPUTED_VALUE"""),"govindkumar.jha@onixnet.com")</f>
        <v>govindkumar.jha@onixnet.com</v>
      </c>
      <c r="D1399" s="4" t="str">
        <f>IFERROR(__xludf.DUMMYFUNCTION("""COMPUTED_VALUE"""),"Active")</f>
        <v>Active</v>
      </c>
      <c r="E1399" s="4" t="str">
        <f>IFERROR(__xludf.DUMMYFUNCTION("""COMPUTED_VALUE"""),"Delivery Services")</f>
        <v>Delivery Services</v>
      </c>
      <c r="F1399" s="4" t="str">
        <f>IFERROR(__xludf.DUMMYFUNCTION("""COMPUTED_VALUE"""),"Rajinder Thakur")</f>
        <v>Rajinder Thakur</v>
      </c>
      <c r="G1399" s="4" t="str">
        <f>IFERROR(__xludf.DUMMYFUNCTION("""COMPUTED_VALUE"""),"Cluster - Varun")</f>
        <v>Cluster - Varun</v>
      </c>
      <c r="H1399" s="4" t="str">
        <f>IFERROR(__xludf.DUMMYFUNCTION("""COMPUTED_VALUE"""),"ONIGJCYM4")</f>
        <v>ONIGJCYM4</v>
      </c>
      <c r="I1399" s="5">
        <f>IFERROR(__xludf.DUMMYFUNCTION("""COMPUTED_VALUE"""),44.0)</f>
        <v>44</v>
      </c>
      <c r="J1399" s="4" t="str">
        <f>IFERROR(__xludf.DUMMYFUNCTION("""COMPUTED_VALUE"""),"Tier 2")</f>
        <v>Tier 2</v>
      </c>
      <c r="K1399" s="4" t="str">
        <f>IFERROR(__xludf.DUMMYFUNCTION("""COMPUTED_VALUE"""),"Active")</f>
        <v>Active</v>
      </c>
      <c r="L1399" s="4" t="str">
        <f>IFERROR(__xludf.DUMMYFUNCTION("""COMPUTED_VALUE"""),"Google Kubernetes Engine")</f>
        <v>Google Kubernetes Engine</v>
      </c>
    </row>
    <row r="1400">
      <c r="A1400" s="4" t="str">
        <f>IFERROR(__xludf.DUMMYFUNCTION("""COMPUTED_VALUE"""),"DME3354")</f>
        <v>DME3354</v>
      </c>
      <c r="B1400" s="4" t="str">
        <f>IFERROR(__xludf.DUMMYFUNCTION("""COMPUTED_VALUE"""),"Narayan Gauda")</f>
        <v>Narayan Gauda</v>
      </c>
      <c r="C1400" s="4" t="str">
        <f>IFERROR(__xludf.DUMMYFUNCTION("""COMPUTED_VALUE"""),"narayan.gauda@onixnet.com")</f>
        <v>narayan.gauda@onixnet.com</v>
      </c>
      <c r="D1400" s="4" t="str">
        <f>IFERROR(__xludf.DUMMYFUNCTION("""COMPUTED_VALUE"""),"Active")</f>
        <v>Active</v>
      </c>
      <c r="E1400" s="4" t="str">
        <f>IFERROR(__xludf.DUMMYFUNCTION("""COMPUTED_VALUE"""),"Delivery Services")</f>
        <v>Delivery Services</v>
      </c>
      <c r="F1400" s="4" t="str">
        <f>IFERROR(__xludf.DUMMYFUNCTION("""COMPUTED_VALUE"""),"Rajinder Thakur")</f>
        <v>Rajinder Thakur</v>
      </c>
      <c r="G1400" s="4" t="str">
        <f>IFERROR(__xludf.DUMMYFUNCTION("""COMPUTED_VALUE"""),"Cluster - Varun")</f>
        <v>Cluster - Varun</v>
      </c>
      <c r="H1400" s="4" t="str">
        <f>IFERROR(__xludf.DUMMYFUNCTION("""COMPUTED_VALUE"""),"ONINGFYG0")</f>
        <v>ONINGFYG0</v>
      </c>
      <c r="I1400" s="5">
        <f>IFERROR(__xludf.DUMMYFUNCTION("""COMPUTED_VALUE"""),38.0)</f>
        <v>38</v>
      </c>
      <c r="J1400" s="4" t="str">
        <f>IFERROR(__xludf.DUMMYFUNCTION("""COMPUTED_VALUE"""),"Tier 2")</f>
        <v>Tier 2</v>
      </c>
      <c r="K1400" s="4" t="str">
        <f>IFERROR(__xludf.DUMMYFUNCTION("""COMPUTED_VALUE"""),"Active")</f>
        <v>Active</v>
      </c>
      <c r="L1400" s="4" t="str">
        <f>IFERROR(__xludf.DUMMYFUNCTION("""COMPUTED_VALUE"""),"Gemini Enterprise")</f>
        <v>Gemini Enterprise</v>
      </c>
    </row>
    <row r="1401">
      <c r="A1401" s="4" t="str">
        <f>IFERROR(__xludf.DUMMYFUNCTION("""COMPUTED_VALUE"""),"ONIX519")</f>
        <v>ONIX519</v>
      </c>
      <c r="B1401" s="4" t="str">
        <f>IFERROR(__xludf.DUMMYFUNCTION("""COMPUTED_VALUE"""),"Sakshi Saxena")</f>
        <v>Sakshi Saxena</v>
      </c>
      <c r="C1401" s="4" t="str">
        <f>IFERROR(__xludf.DUMMYFUNCTION("""COMPUTED_VALUE"""),"sakshi.saxena@onixnet.com")</f>
        <v>sakshi.saxena@onixnet.com</v>
      </c>
      <c r="D1401" s="4" t="str">
        <f>IFERROR(__xludf.DUMMYFUNCTION("""COMPUTED_VALUE"""),"Active")</f>
        <v>Active</v>
      </c>
      <c r="E1401" s="4" t="str">
        <f>IFERROR(__xludf.DUMMYFUNCTION("""COMPUTED_VALUE"""),"Services")</f>
        <v>Services</v>
      </c>
      <c r="F1401" s="4" t="str">
        <f>IFERROR(__xludf.DUMMYFUNCTION("""COMPUTED_VALUE"""),"Gaurav Agarwaal")</f>
        <v>Gaurav Agarwaal</v>
      </c>
      <c r="G1401" s="4" t="str">
        <f>IFERROR(__xludf.DUMMYFUNCTION("""COMPUTED_VALUE"""),"Portfolio - Gaurav A (Presales)")</f>
        <v>Portfolio - Gaurav A (Presales)</v>
      </c>
      <c r="H1401" s="4" t="str">
        <f>IFERROR(__xludf.DUMMYFUNCTION("""COMPUTED_VALUE"""),"ONISSITX2")</f>
        <v>ONISSITX2</v>
      </c>
      <c r="I1401" s="5">
        <f>IFERROR(__xludf.DUMMYFUNCTION("""COMPUTED_VALUE"""),7.0)</f>
        <v>7</v>
      </c>
      <c r="J1401" s="4" t="str">
        <f>IFERROR(__xludf.DUMMYFUNCTION("""COMPUTED_VALUE"""),"Tier 4")</f>
        <v>Tier 4</v>
      </c>
      <c r="K1401" s="4" t="str">
        <f>IFERROR(__xludf.DUMMYFUNCTION("""COMPUTED_VALUE"""),"Active")</f>
        <v>Active</v>
      </c>
      <c r="L1401" s="4" t="str">
        <f>IFERROR(__xludf.DUMMYFUNCTION("""COMPUTED_VALUE"""),"Gemini Enterprise Agent Platform")</f>
        <v>Gemini Enterprise Agent Platform</v>
      </c>
    </row>
    <row r="1402">
      <c r="A1402" s="4" t="str">
        <f>IFERROR(__xludf.DUMMYFUNCTION("""COMPUTED_VALUE"""),"ONIX815")</f>
        <v>ONIX815</v>
      </c>
      <c r="B1402" s="4" t="str">
        <f>IFERROR(__xludf.DUMMYFUNCTION("""COMPUTED_VALUE"""),"Prathmesh Pethkar")</f>
        <v>Prathmesh Pethkar</v>
      </c>
      <c r="C1402" s="4" t="str">
        <f>IFERROR(__xludf.DUMMYFUNCTION("""COMPUTED_VALUE"""),"prathmesh.pethkar@onixnet.com")</f>
        <v>prathmesh.pethkar@onixnet.com</v>
      </c>
      <c r="D1402" s="4" t="str">
        <f>IFERROR(__xludf.DUMMYFUNCTION("""COMPUTED_VALUE"""),"Active")</f>
        <v>Active</v>
      </c>
      <c r="E1402" s="4" t="str">
        <f>IFERROR(__xludf.DUMMYFUNCTION("""COMPUTED_VALUE"""),"Services")</f>
        <v>Services</v>
      </c>
      <c r="F1402" s="4" t="str">
        <f>IFERROR(__xludf.DUMMYFUNCTION("""COMPUTED_VALUE"""),"Venkat Srinivasan")</f>
        <v>Venkat Srinivasan</v>
      </c>
      <c r="G1402" s="4" t="str">
        <f>IFERROR(__xludf.DUMMYFUNCTION("""COMPUTED_VALUE"""),"Portfolio - Rajesh")</f>
        <v>Portfolio - Rajesh</v>
      </c>
      <c r="H1402" s="4" t="str">
        <f>IFERROR(__xludf.DUMMYFUNCTION("""COMPUTED_VALUE"""),"ONIPPGJB4")</f>
        <v>ONIPPGJB4</v>
      </c>
      <c r="I1402" s="5">
        <f>IFERROR(__xludf.DUMMYFUNCTION("""COMPUTED_VALUE"""),29.0)</f>
        <v>29</v>
      </c>
      <c r="J1402" s="4" t="str">
        <f>IFERROR(__xludf.DUMMYFUNCTION("""COMPUTED_VALUE"""),"Tier 3")</f>
        <v>Tier 3</v>
      </c>
      <c r="K1402" s="4" t="str">
        <f>IFERROR(__xludf.DUMMYFUNCTION("""COMPUTED_VALUE"""),"Active")</f>
        <v>Active</v>
      </c>
      <c r="L1402" s="4" t="str">
        <f>IFERROR(__xludf.DUMMYFUNCTION("""COMPUTED_VALUE"""),"BigQuery")</f>
        <v>BigQuery</v>
      </c>
    </row>
    <row r="1403">
      <c r="A1403" s="4" t="str">
        <f>IFERROR(__xludf.DUMMYFUNCTION("""COMPUTED_VALUE"""),"DME2810")</f>
        <v>DME2810</v>
      </c>
      <c r="B1403" s="4" t="str">
        <f>IFERROR(__xludf.DUMMYFUNCTION("""COMPUTED_VALUE"""),"Rahul Moundekar")</f>
        <v>Rahul Moundekar</v>
      </c>
      <c r="C1403" s="4" t="str">
        <f>IFERROR(__xludf.DUMMYFUNCTION("""COMPUTED_VALUE"""),"rahul.moundekar@onixnet.com")</f>
        <v>rahul.moundekar@onixnet.com</v>
      </c>
      <c r="D1403" s="4" t="str">
        <f>IFERROR(__xludf.DUMMYFUNCTION("""COMPUTED_VALUE"""),"Active")</f>
        <v>Active</v>
      </c>
      <c r="E1403" s="4" t="str">
        <f>IFERROR(__xludf.DUMMYFUNCTION("""COMPUTED_VALUE"""),"Corporate Operations")</f>
        <v>Corporate Operations</v>
      </c>
      <c r="F1403" s="4" t="str">
        <f>IFERROR(__xludf.DUMMYFUNCTION("""COMPUTED_VALUE"""),"Satya Pillai")</f>
        <v>Satya Pillai</v>
      </c>
      <c r="G1403" s="4" t="str">
        <f>IFERROR(__xludf.DUMMYFUNCTION("""COMPUTED_VALUE"""),"Cluster - Satya")</f>
        <v>Cluster - Satya</v>
      </c>
      <c r="H1403" s="4" t="str">
        <f>IFERROR(__xludf.DUMMYFUNCTION("""COMPUTED_VALUE"""),"ONIRMQQT0")</f>
        <v>ONIRMQQT0</v>
      </c>
      <c r="I1403" s="5">
        <f>IFERROR(__xludf.DUMMYFUNCTION("""COMPUTED_VALUE"""),15.0)</f>
        <v>15</v>
      </c>
      <c r="J1403" s="4" t="str">
        <f>IFERROR(__xludf.DUMMYFUNCTION("""COMPUTED_VALUE"""),"Tier 4")</f>
        <v>Tier 4</v>
      </c>
      <c r="K1403" s="4" t="str">
        <f>IFERROR(__xludf.DUMMYFUNCTION("""COMPUTED_VALUE"""),"Active")</f>
        <v>Active</v>
      </c>
      <c r="L1403" s="4" t="str">
        <f>IFERROR(__xludf.DUMMYFUNCTION("""COMPUTED_VALUE"""),"Google Kubernetes Engine")</f>
        <v>Google Kubernetes Engine</v>
      </c>
    </row>
    <row r="1404">
      <c r="A1404" s="4" t="str">
        <f>IFERROR(__xludf.DUMMYFUNCTION("""COMPUTED_VALUE"""),"DMC1201")</f>
        <v>DMC1201</v>
      </c>
      <c r="B1404" s="4" t="str">
        <f>IFERROR(__xludf.DUMMYFUNCTION("""COMPUTED_VALUE"""),"Kaustubh Verma")</f>
        <v>Kaustubh Verma</v>
      </c>
      <c r="C1404" s="4" t="str">
        <f>IFERROR(__xludf.DUMMYFUNCTION("""COMPUTED_VALUE"""),"kaustubh.verma@onixnet.us")</f>
        <v>kaustubh.verma@onixnet.us</v>
      </c>
      <c r="D1404" s="4" t="str">
        <f>IFERROR(__xludf.DUMMYFUNCTION("""COMPUTED_VALUE"""),"Active")</f>
        <v>Active</v>
      </c>
      <c r="E1404" s="4" t="str">
        <f>IFERROR(__xludf.DUMMYFUNCTION("""COMPUTED_VALUE"""),"Corporate Operations")</f>
        <v>Corporate Operations</v>
      </c>
      <c r="F1404" s="4" t="str">
        <f>IFERROR(__xludf.DUMMYFUNCTION("""COMPUTED_VALUE"""),"Nikhil Ashok Shelke")</f>
        <v>Nikhil Ashok Shelke</v>
      </c>
      <c r="G1404" s="4" t="str">
        <f>IFERROR(__xludf.DUMMYFUNCTION("""COMPUTED_VALUE"""),"Cluster - Bishakha")</f>
        <v>Cluster - Bishakha</v>
      </c>
      <c r="H1404" s="4" t="str">
        <f>IFERROR(__xludf.DUMMYFUNCTION("""COMPUTED_VALUE"""),"ONIKVKNZ6")</f>
        <v>ONIKVKNZ6</v>
      </c>
      <c r="I1404" s="5">
        <f>IFERROR(__xludf.DUMMYFUNCTION("""COMPUTED_VALUE"""),10.0)</f>
        <v>10</v>
      </c>
      <c r="J1404" s="4" t="str">
        <f>IFERROR(__xludf.DUMMYFUNCTION("""COMPUTED_VALUE"""),"Tier 4")</f>
        <v>Tier 4</v>
      </c>
      <c r="K1404" s="4" t="str">
        <f>IFERROR(__xludf.DUMMYFUNCTION("""COMPUTED_VALUE"""),"Active")</f>
        <v>Active</v>
      </c>
      <c r="L1404" s="4" t="str">
        <f>IFERROR(__xludf.DUMMYFUNCTION("""COMPUTED_VALUE"""),"Gemini Enterprise Agent Platform")</f>
        <v>Gemini Enterprise Agent Platform</v>
      </c>
    </row>
    <row r="1405">
      <c r="A1405" s="4" t="str">
        <f>IFERROR(__xludf.DUMMYFUNCTION("""COMPUTED_VALUE"""),"DMC1202")</f>
        <v>DMC1202</v>
      </c>
      <c r="B1405" s="4" t="str">
        <f>IFERROR(__xludf.DUMMYFUNCTION("""COMPUTED_VALUE"""),"Varad Naniwadekar")</f>
        <v>Varad Naniwadekar</v>
      </c>
      <c r="C1405" s="4" t="str">
        <f>IFERROR(__xludf.DUMMYFUNCTION("""COMPUTED_VALUE"""),"varad.naniwadekar@onixnet.us")</f>
        <v>varad.naniwadekar@onixnet.us</v>
      </c>
      <c r="D1405" s="4" t="str">
        <f>IFERROR(__xludf.DUMMYFUNCTION("""COMPUTED_VALUE"""),"Active")</f>
        <v>Active</v>
      </c>
      <c r="E1405" s="4" t="str">
        <f>IFERROR(__xludf.DUMMYFUNCTION("""COMPUTED_VALUE"""),"Corporate Operations")</f>
        <v>Corporate Operations</v>
      </c>
      <c r="F1405" s="4" t="str">
        <f>IFERROR(__xludf.DUMMYFUNCTION("""COMPUTED_VALUE"""),"Nikhil Ashok Shelke")</f>
        <v>Nikhil Ashok Shelke</v>
      </c>
      <c r="G1405" s="4" t="str">
        <f>IFERROR(__xludf.DUMMYFUNCTION("""COMPUTED_VALUE"""),"Cluster - Bishakha")</f>
        <v>Cluster - Bishakha</v>
      </c>
      <c r="H1405" s="4" t="str">
        <f>IFERROR(__xludf.DUMMYFUNCTION("""COMPUTED_VALUE"""),"ONIVNJEM0")</f>
        <v>ONIVNJEM0</v>
      </c>
      <c r="I1405" s="5">
        <f>IFERROR(__xludf.DUMMYFUNCTION("""COMPUTED_VALUE"""),5.0)</f>
        <v>5</v>
      </c>
      <c r="J1405" s="4" t="str">
        <f>IFERROR(__xludf.DUMMYFUNCTION("""COMPUTED_VALUE"""),"Tier 4")</f>
        <v>Tier 4</v>
      </c>
      <c r="K1405" s="4" t="str">
        <f>IFERROR(__xludf.DUMMYFUNCTION("""COMPUTED_VALUE"""),"Active")</f>
        <v>Active</v>
      </c>
      <c r="L1405" s="4" t="str">
        <f>IFERROR(__xludf.DUMMYFUNCTION("""COMPUTED_VALUE"""),"Gemini Enterprise Agent Platform")</f>
        <v>Gemini Enterprise Agent Platform</v>
      </c>
    </row>
    <row r="1406">
      <c r="A1406" s="4" t="str">
        <f>IFERROR(__xludf.DUMMYFUNCTION("""COMPUTED_VALUE"""),"DMC1203")</f>
        <v>DMC1203</v>
      </c>
      <c r="B1406" s="4" t="str">
        <f>IFERROR(__xludf.DUMMYFUNCTION("""COMPUTED_VALUE"""),"Nikita Shelke")</f>
        <v>Nikita Shelke</v>
      </c>
      <c r="C1406" s="4" t="str">
        <f>IFERROR(__xludf.DUMMYFUNCTION("""COMPUTED_VALUE"""),"nikita.shelke@onixnet.us")</f>
        <v>nikita.shelke@onixnet.us</v>
      </c>
      <c r="D1406" s="4" t="str">
        <f>IFERROR(__xludf.DUMMYFUNCTION("""COMPUTED_VALUE"""),"Active")</f>
        <v>Active</v>
      </c>
      <c r="E1406" s="4" t="str">
        <f>IFERROR(__xludf.DUMMYFUNCTION("""COMPUTED_VALUE"""),"Corporate Operations")</f>
        <v>Corporate Operations</v>
      </c>
      <c r="F1406" s="4" t="str">
        <f>IFERROR(__xludf.DUMMYFUNCTION("""COMPUTED_VALUE"""),"Nikhil Ashok Shelke")</f>
        <v>Nikhil Ashok Shelke</v>
      </c>
      <c r="G1406" s="4" t="str">
        <f>IFERROR(__xludf.DUMMYFUNCTION("""COMPUTED_VALUE"""),"Cluster - Bishakha")</f>
        <v>Cluster - Bishakha</v>
      </c>
      <c r="H1406" s="4" t="str">
        <f>IFERROR(__xludf.DUMMYFUNCTION("""COMPUTED_VALUE"""),"ONINSUGT2")</f>
        <v>ONINSUGT2</v>
      </c>
      <c r="I1406" s="5">
        <f>IFERROR(__xludf.DUMMYFUNCTION("""COMPUTED_VALUE"""),10.0)</f>
        <v>10</v>
      </c>
      <c r="J1406" s="4" t="str">
        <f>IFERROR(__xludf.DUMMYFUNCTION("""COMPUTED_VALUE"""),"Tier 4")</f>
        <v>Tier 4</v>
      </c>
      <c r="K1406" s="4" t="str">
        <f>IFERROR(__xludf.DUMMYFUNCTION("""COMPUTED_VALUE"""),"Active")</f>
        <v>Active</v>
      </c>
      <c r="L1406" s="4" t="str">
        <f>IFERROR(__xludf.DUMMYFUNCTION("""COMPUTED_VALUE"""),"BigQuery")</f>
        <v>BigQuery</v>
      </c>
    </row>
    <row r="1407">
      <c r="A1407" s="4" t="str">
        <f>IFERROR(__xludf.DUMMYFUNCTION("""COMPUTED_VALUE"""),"DME3403")</f>
        <v>DME3403</v>
      </c>
      <c r="B1407" s="4" t="str">
        <f>IFERROR(__xludf.DUMMYFUNCTION("""COMPUTED_VALUE"""),"Kunal Bhandari")</f>
        <v>Kunal Bhandari</v>
      </c>
      <c r="C1407" s="4" t="str">
        <f>IFERROR(__xludf.DUMMYFUNCTION("""COMPUTED_VALUE"""),"kunal.bhandari@onixnet.com")</f>
        <v>kunal.bhandari@onixnet.com</v>
      </c>
      <c r="D1407" s="4" t="str">
        <f>IFERROR(__xludf.DUMMYFUNCTION("""COMPUTED_VALUE"""),"Active")</f>
        <v>Active</v>
      </c>
      <c r="E1407" s="4" t="str">
        <f>IFERROR(__xludf.DUMMYFUNCTION("""COMPUTED_VALUE"""),"Delivery Services")</f>
        <v>Delivery Services</v>
      </c>
      <c r="F1407" s="4" t="str">
        <f>IFERROR(__xludf.DUMMYFUNCTION("""COMPUTED_VALUE"""),"Amit Argade")</f>
        <v>Amit Argade</v>
      </c>
      <c r="G1407" s="4" t="str">
        <f>IFERROR(__xludf.DUMMYFUNCTION("""COMPUTED_VALUE"""),"Cluster - Sagar")</f>
        <v>Cluster - Sagar</v>
      </c>
      <c r="H1407" s="4" t="str">
        <f>IFERROR(__xludf.DUMMYFUNCTION("""COMPUTED_VALUE"""),"DATKBLWJ3")</f>
        <v>DATKBLWJ3</v>
      </c>
      <c r="I1407" s="5">
        <f>IFERROR(__xludf.DUMMYFUNCTION("""COMPUTED_VALUE"""),22.0)</f>
        <v>22</v>
      </c>
      <c r="J1407" s="4" t="str">
        <f>IFERROR(__xludf.DUMMYFUNCTION("""COMPUTED_VALUE"""),"Tier 3")</f>
        <v>Tier 3</v>
      </c>
      <c r="K1407" s="4" t="str">
        <f>IFERROR(__xludf.DUMMYFUNCTION("""COMPUTED_VALUE"""),"Active")</f>
        <v>Active</v>
      </c>
      <c r="L1407" s="4" t="str">
        <f>IFERROR(__xludf.DUMMYFUNCTION("""COMPUTED_VALUE"""),"BigQuery")</f>
        <v>BigQuery</v>
      </c>
    </row>
    <row r="1408">
      <c r="A1408" s="4" t="str">
        <f>IFERROR(__xludf.DUMMYFUNCTION("""COMPUTED_VALUE"""),"DMUK0010")</f>
        <v>DMUK0010</v>
      </c>
      <c r="B1408" s="4" t="str">
        <f>IFERROR(__xludf.DUMMYFUNCTION("""COMPUTED_VALUE"""),"Siddharth Kalpavriksha")</f>
        <v>Siddharth Kalpavriksha</v>
      </c>
      <c r="C1408" s="4" t="str">
        <f>IFERROR(__xludf.DUMMYFUNCTION("""COMPUTED_VALUE"""),"siddharth.k@onixnet.com")</f>
        <v>siddharth.k@onixnet.com</v>
      </c>
      <c r="D1408" s="4" t="str">
        <f>IFERROR(__xludf.DUMMYFUNCTION("""COMPUTED_VALUE"""),"Active")</f>
        <v>Active</v>
      </c>
      <c r="E1408" s="4" t="str">
        <f>IFERROR(__xludf.DUMMYFUNCTION("""COMPUTED_VALUE"""),"Solutions and Pre-Sales")</f>
        <v>Solutions and Pre-Sales</v>
      </c>
      <c r="F1408" s="4" t="str">
        <f>IFERROR(__xludf.DUMMYFUNCTION("""COMPUTED_VALUE"""),"Vittorio Massimo Sanvito")</f>
        <v>Vittorio Massimo Sanvito</v>
      </c>
      <c r="G1408" s="4" t="str">
        <f>IFERROR(__xludf.DUMMYFUNCTION("""COMPUTED_VALUE"""),"Portfolio - Ankur (Sales)")</f>
        <v>Portfolio - Ankur (Sales)</v>
      </c>
      <c r="H1408" s="4" t="str">
        <f>IFERROR(__xludf.DUMMYFUNCTION("""COMPUTED_VALUE"""),"ONISKAFY0")</f>
        <v>ONISKAFY0</v>
      </c>
      <c r="I1408" s="5">
        <f>IFERROR(__xludf.DUMMYFUNCTION("""COMPUTED_VALUE"""),19.0)</f>
        <v>19</v>
      </c>
      <c r="J1408" s="4" t="str">
        <f>IFERROR(__xludf.DUMMYFUNCTION("""COMPUTED_VALUE"""),"Tier 4")</f>
        <v>Tier 4</v>
      </c>
      <c r="K1408" s="4" t="str">
        <f>IFERROR(__xludf.DUMMYFUNCTION("""COMPUTED_VALUE"""),"Active")</f>
        <v>Active</v>
      </c>
      <c r="L1408" s="4" t="str">
        <f>IFERROR(__xludf.DUMMYFUNCTION("""COMPUTED_VALUE"""),"BigQuery")</f>
        <v>BigQuery</v>
      </c>
    </row>
    <row r="1409">
      <c r="A1409" s="4" t="str">
        <f>IFERROR(__xludf.DUMMYFUNCTION("""COMPUTED_VALUE"""),"DME3332")</f>
        <v>DME3332</v>
      </c>
      <c r="B1409" s="4" t="str">
        <f>IFERROR(__xludf.DUMMYFUNCTION("""COMPUTED_VALUE"""),"Afaf Athar")</f>
        <v>Afaf Athar</v>
      </c>
      <c r="C1409" s="4" t="str">
        <f>IFERROR(__xludf.DUMMYFUNCTION("""COMPUTED_VALUE"""),"afaf.athar@onixnet.com")</f>
        <v>afaf.athar@onixnet.com</v>
      </c>
      <c r="D1409" s="4" t="str">
        <f>IFERROR(__xludf.DUMMYFUNCTION("""COMPUTED_VALUE"""),"Active")</f>
        <v>Active</v>
      </c>
      <c r="E1409" s="4" t="str">
        <f>IFERROR(__xludf.DUMMYFUNCTION("""COMPUTED_VALUE"""),"Delivery Services")</f>
        <v>Delivery Services</v>
      </c>
      <c r="F1409" s="4" t="str">
        <f>IFERROR(__xludf.DUMMYFUNCTION("""COMPUTED_VALUE"""),"Devayani Girish Pillai")</f>
        <v>Devayani Girish Pillai</v>
      </c>
      <c r="G1409" s="4" t="str">
        <f>IFERROR(__xludf.DUMMYFUNCTION("""COMPUTED_VALUE"""),"Cluster - Devayani")</f>
        <v>Cluster - Devayani</v>
      </c>
      <c r="H1409" s="4" t="str">
        <f>IFERROR(__xludf.DUMMYFUNCTION("""COMPUTED_VALUE"""),"ONIAABZY5")</f>
        <v>ONIAABZY5</v>
      </c>
      <c r="I1409" s="5">
        <f>IFERROR(__xludf.DUMMYFUNCTION("""COMPUTED_VALUE"""),0.0)</f>
        <v>0</v>
      </c>
      <c r="J1409" s="4" t="str">
        <f>IFERROR(__xludf.DUMMYFUNCTION("""COMPUTED_VALUE"""),"Tier 4")</f>
        <v>Tier 4</v>
      </c>
      <c r="K1409" s="4" t="str">
        <f>IFERROR(__xludf.DUMMYFUNCTION("""COMPUTED_VALUE"""),"ID Created DRP score 0")</f>
        <v>ID Created DRP score 0</v>
      </c>
      <c r="L1409" s="4"/>
    </row>
    <row r="1410">
      <c r="I1410" s="8"/>
    </row>
    <row r="1411">
      <c r="I1411" s="8"/>
    </row>
    <row r="1412">
      <c r="I1412" s="8"/>
    </row>
    <row r="1413">
      <c r="I1413" s="8"/>
    </row>
    <row r="1414">
      <c r="I1414" s="8"/>
    </row>
    <row r="1415">
      <c r="I1415" s="8"/>
    </row>
    <row r="1416">
      <c r="I1416" s="8"/>
    </row>
    <row r="1417">
      <c r="I1417" s="8"/>
    </row>
    <row r="1418">
      <c r="I1418" s="8"/>
    </row>
    <row r="1419">
      <c r="I1419" s="8"/>
    </row>
    <row r="1420">
      <c r="I1420" s="8"/>
    </row>
    <row r="1421">
      <c r="I1421" s="8"/>
    </row>
    <row r="1422">
      <c r="I1422" s="8"/>
    </row>
    <row r="1423">
      <c r="I1423" s="8"/>
    </row>
    <row r="1424">
      <c r="I1424" s="8"/>
    </row>
    <row r="1425">
      <c r="I1425" s="8"/>
    </row>
    <row r="1426">
      <c r="I1426" s="8"/>
    </row>
    <row r="1427">
      <c r="I1427" s="8"/>
    </row>
    <row r="1428">
      <c r="I1428" s="8"/>
    </row>
    <row r="1429">
      <c r="I1429" s="8"/>
    </row>
    <row r="1430">
      <c r="I1430" s="8"/>
    </row>
    <row r="1431">
      <c r="I1431" s="8"/>
    </row>
    <row r="1432">
      <c r="I1432" s="8"/>
    </row>
    <row r="1433">
      <c r="I1433" s="8"/>
    </row>
    <row r="1434">
      <c r="I1434" s="8"/>
    </row>
    <row r="1435">
      <c r="I1435" s="8"/>
    </row>
    <row r="1436">
      <c r="I1436" s="8"/>
    </row>
    <row r="1437">
      <c r="I1437" s="8"/>
    </row>
    <row r="1438">
      <c r="I1438" s="8"/>
    </row>
    <row r="1439">
      <c r="I1439" s="8"/>
    </row>
    <row r="1440">
      <c r="I1440" s="8"/>
    </row>
    <row r="1441">
      <c r="I1441" s="8"/>
    </row>
    <row r="1442">
      <c r="I1442" s="8"/>
    </row>
    <row r="1443">
      <c r="I1443" s="8"/>
    </row>
    <row r="1444">
      <c r="I1444" s="8"/>
    </row>
    <row r="1445">
      <c r="I1445" s="8"/>
    </row>
    <row r="1446">
      <c r="I1446" s="8"/>
    </row>
    <row r="1447">
      <c r="I1447" s="8"/>
    </row>
    <row r="1448">
      <c r="I1448" s="8"/>
    </row>
    <row r="1449">
      <c r="I1449" s="8"/>
    </row>
    <row r="1450">
      <c r="I1450" s="8"/>
    </row>
    <row r="1451">
      <c r="I1451" s="8"/>
    </row>
    <row r="1452">
      <c r="I1452" s="8"/>
    </row>
    <row r="1453">
      <c r="I1453" s="8"/>
    </row>
    <row r="1454">
      <c r="I1454" s="8"/>
    </row>
    <row r="1455">
      <c r="I1455" s="8"/>
    </row>
    <row r="1456">
      <c r="I1456" s="8"/>
    </row>
    <row r="1457">
      <c r="I1457" s="8"/>
    </row>
    <row r="1458">
      <c r="I1458" s="8"/>
    </row>
    <row r="1459">
      <c r="I1459" s="8"/>
    </row>
    <row r="1460">
      <c r="I1460" s="8"/>
    </row>
    <row r="1461">
      <c r="I1461" s="8"/>
    </row>
    <row r="1462">
      <c r="I1462" s="8"/>
    </row>
    <row r="1463">
      <c r="I1463" s="8"/>
    </row>
    <row r="1464">
      <c r="I1464" s="8"/>
    </row>
    <row r="1465">
      <c r="I1465" s="8"/>
    </row>
    <row r="1466">
      <c r="I1466" s="8"/>
    </row>
    <row r="1467">
      <c r="I1467" s="8"/>
    </row>
    <row r="1468">
      <c r="I1468" s="8"/>
    </row>
    <row r="1469">
      <c r="I1469" s="8"/>
    </row>
    <row r="1470">
      <c r="I1470" s="8"/>
    </row>
    <row r="1471">
      <c r="I1471" s="8"/>
    </row>
    <row r="1472">
      <c r="I1472" s="8"/>
    </row>
    <row r="1473">
      <c r="I1473" s="8"/>
    </row>
    <row r="1474">
      <c r="I1474" s="8"/>
    </row>
    <row r="1475">
      <c r="I1475" s="8"/>
    </row>
    <row r="1476">
      <c r="I1476" s="8"/>
    </row>
    <row r="1477">
      <c r="I1477" s="8"/>
    </row>
    <row r="1478">
      <c r="I1478" s="8"/>
    </row>
    <row r="1479">
      <c r="I1479" s="8"/>
    </row>
    <row r="1480">
      <c r="I1480" s="8"/>
    </row>
    <row r="1481">
      <c r="I1481" s="8"/>
    </row>
    <row r="1482">
      <c r="I1482" s="8"/>
    </row>
    <row r="1483">
      <c r="I1483" s="8"/>
    </row>
    <row r="1484">
      <c r="I1484" s="8"/>
    </row>
    <row r="1485">
      <c r="I1485" s="8"/>
    </row>
    <row r="1486">
      <c r="I1486" s="8"/>
    </row>
    <row r="1487">
      <c r="I1487" s="8"/>
    </row>
    <row r="1488">
      <c r="I1488" s="8"/>
    </row>
    <row r="1489">
      <c r="I1489" s="8"/>
    </row>
    <row r="1490">
      <c r="I1490" s="8"/>
    </row>
    <row r="1491">
      <c r="I1491" s="8"/>
    </row>
    <row r="1492">
      <c r="I1492" s="8"/>
    </row>
    <row r="1493">
      <c r="I1493" s="8"/>
    </row>
    <row r="1494">
      <c r="I1494" s="8"/>
    </row>
    <row r="1495">
      <c r="I1495" s="8"/>
    </row>
    <row r="1496">
      <c r="I1496" s="8"/>
    </row>
    <row r="1497">
      <c r="I1497" s="8"/>
    </row>
    <row r="1498">
      <c r="I1498" s="8"/>
    </row>
    <row r="1499">
      <c r="I1499" s="8"/>
    </row>
    <row r="1500">
      <c r="I1500" s="8"/>
    </row>
    <row r="1501">
      <c r="I1501" s="8"/>
    </row>
    <row r="1502">
      <c r="I1502" s="8"/>
    </row>
    <row r="1503">
      <c r="I1503" s="8"/>
    </row>
    <row r="1504">
      <c r="I1504" s="8"/>
    </row>
    <row r="1505">
      <c r="I1505" s="8"/>
    </row>
    <row r="1506">
      <c r="I1506" s="8"/>
    </row>
    <row r="1507">
      <c r="I1507" s="8"/>
    </row>
    <row r="1508">
      <c r="I1508" s="8"/>
    </row>
    <row r="1509">
      <c r="I1509" s="8"/>
    </row>
    <row r="1510">
      <c r="I1510" s="8"/>
    </row>
    <row r="1511">
      <c r="I1511" s="8"/>
    </row>
    <row r="1512">
      <c r="I1512" s="8"/>
    </row>
    <row r="1513">
      <c r="I1513" s="8"/>
    </row>
    <row r="1514">
      <c r="I1514" s="8"/>
    </row>
    <row r="1515">
      <c r="I1515" s="8"/>
    </row>
    <row r="1516">
      <c r="I1516" s="8"/>
    </row>
    <row r="1517">
      <c r="I1517" s="8"/>
    </row>
    <row r="1518">
      <c r="I1518" s="8"/>
    </row>
    <row r="1519">
      <c r="I1519" s="8"/>
    </row>
    <row r="1520">
      <c r="I1520" s="8"/>
    </row>
    <row r="1521">
      <c r="I1521" s="8"/>
    </row>
    <row r="1522">
      <c r="I1522" s="8"/>
    </row>
    <row r="1523">
      <c r="I1523" s="8"/>
    </row>
    <row r="1524">
      <c r="I1524" s="8"/>
    </row>
    <row r="1525">
      <c r="I1525" s="8"/>
    </row>
    <row r="1526">
      <c r="I1526" s="8"/>
    </row>
    <row r="1527">
      <c r="I1527" s="8"/>
    </row>
    <row r="1528">
      <c r="I1528" s="8"/>
    </row>
    <row r="1529">
      <c r="I1529" s="8"/>
    </row>
    <row r="1530">
      <c r="I1530" s="8"/>
    </row>
    <row r="1531">
      <c r="I1531" s="8"/>
    </row>
    <row r="1532">
      <c r="I1532" s="8"/>
    </row>
    <row r="1533">
      <c r="I1533" s="8"/>
    </row>
    <row r="1534">
      <c r="I1534" s="8"/>
    </row>
    <row r="1535">
      <c r="I1535" s="8"/>
    </row>
    <row r="1536">
      <c r="I1536" s="8"/>
    </row>
    <row r="1537">
      <c r="I1537" s="8"/>
    </row>
    <row r="1538">
      <c r="I1538" s="8"/>
    </row>
    <row r="1539">
      <c r="I1539" s="8"/>
    </row>
    <row r="1540">
      <c r="I1540" s="8"/>
    </row>
    <row r="1541">
      <c r="I1541" s="8"/>
    </row>
    <row r="1542">
      <c r="I1542" s="8"/>
    </row>
    <row r="1543">
      <c r="I1543" s="8"/>
    </row>
    <row r="1544">
      <c r="I1544" s="8"/>
    </row>
    <row r="1545">
      <c r="I1545" s="8"/>
    </row>
    <row r="1546">
      <c r="I1546" s="8"/>
    </row>
    <row r="1547">
      <c r="I1547" s="8"/>
    </row>
    <row r="1548">
      <c r="I1548" s="8"/>
    </row>
    <row r="1549">
      <c r="I1549" s="8"/>
    </row>
    <row r="1550">
      <c r="I1550" s="8"/>
    </row>
    <row r="1551">
      <c r="I1551" s="8"/>
    </row>
    <row r="1552">
      <c r="I1552" s="8"/>
    </row>
    <row r="1553">
      <c r="I1553" s="8"/>
    </row>
    <row r="1554">
      <c r="I1554" s="8"/>
    </row>
    <row r="1555">
      <c r="I1555" s="8"/>
    </row>
    <row r="1556">
      <c r="I1556" s="8"/>
    </row>
    <row r="1557">
      <c r="I1557" s="8"/>
    </row>
    <row r="1558">
      <c r="I1558" s="8"/>
    </row>
    <row r="1559">
      <c r="I1559" s="8"/>
    </row>
    <row r="1560">
      <c r="I1560" s="8"/>
    </row>
    <row r="1561">
      <c r="I1561" s="8"/>
    </row>
    <row r="1562">
      <c r="I1562" s="8"/>
    </row>
    <row r="1563">
      <c r="I1563" s="8"/>
    </row>
    <row r="1564">
      <c r="I1564" s="8"/>
    </row>
    <row r="1565">
      <c r="I1565" s="8"/>
    </row>
    <row r="1566">
      <c r="I1566" s="8"/>
    </row>
    <row r="1567">
      <c r="I1567" s="8"/>
    </row>
    <row r="1568">
      <c r="I1568" s="8"/>
    </row>
    <row r="1569">
      <c r="I1569" s="8"/>
    </row>
    <row r="1570">
      <c r="I1570" s="8"/>
    </row>
    <row r="1571">
      <c r="I1571" s="8"/>
    </row>
    <row r="1572">
      <c r="I1572" s="8"/>
    </row>
    <row r="1573">
      <c r="I1573" s="8"/>
    </row>
    <row r="1574">
      <c r="I1574" s="8"/>
    </row>
    <row r="1575">
      <c r="I1575" s="8"/>
    </row>
    <row r="1576">
      <c r="I1576" s="8"/>
    </row>
    <row r="1577">
      <c r="I1577" s="8"/>
    </row>
    <row r="1578">
      <c r="I1578" s="8"/>
    </row>
    <row r="1579">
      <c r="I1579" s="8"/>
    </row>
    <row r="1580">
      <c r="I1580" s="8"/>
    </row>
    <row r="1581">
      <c r="I1581" s="8"/>
    </row>
    <row r="1582">
      <c r="I1582" s="8"/>
    </row>
    <row r="1583">
      <c r="I1583" s="8"/>
    </row>
    <row r="1584">
      <c r="I1584" s="8"/>
    </row>
    <row r="1585">
      <c r="I1585" s="8"/>
    </row>
    <row r="1586">
      <c r="I1586" s="8"/>
    </row>
    <row r="1587">
      <c r="I1587" s="8"/>
    </row>
    <row r="1588">
      <c r="I1588" s="8"/>
    </row>
    <row r="1589">
      <c r="I1589" s="8"/>
    </row>
    <row r="1590">
      <c r="I1590" s="8"/>
    </row>
    <row r="1591">
      <c r="I1591" s="8"/>
    </row>
    <row r="1592">
      <c r="I1592" s="8"/>
    </row>
    <row r="1593">
      <c r="I1593" s="8"/>
    </row>
    <row r="1594">
      <c r="I1594" s="8"/>
    </row>
    <row r="1595">
      <c r="I1595" s="8"/>
    </row>
    <row r="1596">
      <c r="I1596" s="8"/>
    </row>
    <row r="1597">
      <c r="I1597" s="8"/>
    </row>
    <row r="1598">
      <c r="I1598" s="8"/>
    </row>
    <row r="1599">
      <c r="I1599" s="8"/>
    </row>
    <row r="1600">
      <c r="I1600" s="8"/>
    </row>
    <row r="1601">
      <c r="I1601" s="8"/>
    </row>
    <row r="1602">
      <c r="I1602" s="8"/>
    </row>
    <row r="1603">
      <c r="I1603" s="8"/>
    </row>
    <row r="1604">
      <c r="I1604" s="8"/>
    </row>
    <row r="1605">
      <c r="I1605" s="8"/>
    </row>
    <row r="1606">
      <c r="I1606" s="8"/>
    </row>
    <row r="1607">
      <c r="I1607" s="8"/>
    </row>
    <row r="1608">
      <c r="I1608" s="8"/>
    </row>
    <row r="1609">
      <c r="I1609" s="8"/>
    </row>
    <row r="1610">
      <c r="I1610" s="8"/>
    </row>
    <row r="1611">
      <c r="I1611" s="8"/>
    </row>
    <row r="1612">
      <c r="I1612" s="8"/>
    </row>
    <row r="1613">
      <c r="I1613" s="8"/>
    </row>
    <row r="1614">
      <c r="I1614" s="8"/>
    </row>
    <row r="1615">
      <c r="I1615" s="8"/>
    </row>
    <row r="1616">
      <c r="I1616" s="8"/>
    </row>
    <row r="1617">
      <c r="I1617" s="8"/>
    </row>
    <row r="1618">
      <c r="I1618" s="8"/>
    </row>
    <row r="1619">
      <c r="I1619" s="8"/>
    </row>
    <row r="1620">
      <c r="I1620" s="8"/>
    </row>
    <row r="1621">
      <c r="I1621" s="8"/>
    </row>
    <row r="1622">
      <c r="I1622" s="8"/>
    </row>
    <row r="1623">
      <c r="I1623" s="8"/>
    </row>
    <row r="1624">
      <c r="I1624" s="8"/>
    </row>
    <row r="1625">
      <c r="I1625" s="8"/>
    </row>
    <row r="1626">
      <c r="I1626" s="8"/>
    </row>
    <row r="1627">
      <c r="I1627" s="8"/>
    </row>
    <row r="1628">
      <c r="I1628" s="8"/>
    </row>
    <row r="1629">
      <c r="I1629" s="8"/>
    </row>
    <row r="1630">
      <c r="I1630" s="8"/>
    </row>
    <row r="1631">
      <c r="I1631" s="8"/>
    </row>
    <row r="1632">
      <c r="I1632" s="8"/>
    </row>
    <row r="1633">
      <c r="I1633" s="8"/>
    </row>
    <row r="1634">
      <c r="I1634" s="8"/>
    </row>
    <row r="1635">
      <c r="I1635" s="8"/>
    </row>
    <row r="1636">
      <c r="I1636" s="8"/>
    </row>
    <row r="1637">
      <c r="I1637" s="8"/>
    </row>
    <row r="1638">
      <c r="I1638" s="8"/>
    </row>
    <row r="1639">
      <c r="I1639" s="8"/>
    </row>
    <row r="1640">
      <c r="I1640" s="8"/>
    </row>
    <row r="1641">
      <c r="I1641" s="8"/>
    </row>
    <row r="1642">
      <c r="I1642" s="8"/>
    </row>
    <row r="1643">
      <c r="I1643" s="8"/>
    </row>
    <row r="1644">
      <c r="I1644" s="8"/>
    </row>
    <row r="1645">
      <c r="I1645" s="8"/>
    </row>
    <row r="1646">
      <c r="I1646" s="8"/>
    </row>
    <row r="1647">
      <c r="I1647" s="8"/>
    </row>
    <row r="1648">
      <c r="I1648" s="8"/>
    </row>
    <row r="1649">
      <c r="I1649" s="8"/>
    </row>
    <row r="1650">
      <c r="I1650" s="8"/>
    </row>
    <row r="1651">
      <c r="I1651" s="8"/>
    </row>
    <row r="1652">
      <c r="I1652" s="8"/>
    </row>
    <row r="1653">
      <c r="I1653" s="8"/>
    </row>
    <row r="1654">
      <c r="I1654" s="8"/>
    </row>
    <row r="1655">
      <c r="I1655" s="8"/>
    </row>
    <row r="1656">
      <c r="I1656" s="8"/>
    </row>
    <row r="1657">
      <c r="I1657" s="8"/>
    </row>
    <row r="1658">
      <c r="I1658" s="8"/>
    </row>
    <row r="1659">
      <c r="I1659" s="8"/>
    </row>
    <row r="1660">
      <c r="I1660" s="8"/>
    </row>
    <row r="1661">
      <c r="I1661" s="8"/>
    </row>
    <row r="1662">
      <c r="I1662" s="8"/>
    </row>
    <row r="1663">
      <c r="I1663" s="8"/>
    </row>
    <row r="1664">
      <c r="I1664" s="8"/>
    </row>
    <row r="1665">
      <c r="I1665" s="8"/>
    </row>
    <row r="1666">
      <c r="I1666" s="8"/>
    </row>
    <row r="1667">
      <c r="I1667" s="8"/>
    </row>
    <row r="1668">
      <c r="I1668" s="8"/>
    </row>
    <row r="1669">
      <c r="I1669" s="8"/>
    </row>
    <row r="1670">
      <c r="I1670" s="8"/>
    </row>
    <row r="1671">
      <c r="I1671" s="8"/>
    </row>
    <row r="1672">
      <c r="I1672" s="8"/>
    </row>
    <row r="1673">
      <c r="I1673" s="8"/>
    </row>
    <row r="1674">
      <c r="I1674" s="8"/>
    </row>
    <row r="1675">
      <c r="I1675" s="8"/>
    </row>
    <row r="1676">
      <c r="I1676" s="8"/>
    </row>
    <row r="1677">
      <c r="I1677" s="8"/>
    </row>
    <row r="1678">
      <c r="I1678" s="8"/>
    </row>
    <row r="1679">
      <c r="I1679" s="8"/>
    </row>
    <row r="1680">
      <c r="I1680" s="8"/>
    </row>
    <row r="1681">
      <c r="I1681" s="8"/>
    </row>
    <row r="1682">
      <c r="I1682" s="8"/>
    </row>
    <row r="1683">
      <c r="I1683" s="8"/>
    </row>
    <row r="1684">
      <c r="I1684" s="8"/>
    </row>
    <row r="1685">
      <c r="I1685" s="8"/>
    </row>
    <row r="1686">
      <c r="I1686" s="8"/>
    </row>
    <row r="1687">
      <c r="I1687" s="8"/>
    </row>
    <row r="1688">
      <c r="I1688" s="8"/>
    </row>
    <row r="1689">
      <c r="I1689" s="8"/>
    </row>
    <row r="1690">
      <c r="I1690" s="8"/>
    </row>
    <row r="1691">
      <c r="I1691" s="8"/>
    </row>
    <row r="1692">
      <c r="I1692" s="8"/>
    </row>
    <row r="1693">
      <c r="I1693" s="8"/>
    </row>
    <row r="1694">
      <c r="I1694" s="8"/>
    </row>
    <row r="1695">
      <c r="I1695" s="8"/>
    </row>
    <row r="1696">
      <c r="I1696" s="8"/>
    </row>
    <row r="1697">
      <c r="I1697" s="8"/>
    </row>
    <row r="1698">
      <c r="I1698" s="8"/>
    </row>
    <row r="1699">
      <c r="I1699" s="8"/>
    </row>
    <row r="1700">
      <c r="I1700" s="8"/>
    </row>
    <row r="1701">
      <c r="I1701" s="8"/>
    </row>
    <row r="1702">
      <c r="I1702" s="8"/>
    </row>
    <row r="1703">
      <c r="I1703" s="8"/>
    </row>
    <row r="1704">
      <c r="I1704" s="8"/>
    </row>
    <row r="1705">
      <c r="I1705" s="8"/>
    </row>
    <row r="1706">
      <c r="I1706" s="8"/>
    </row>
    <row r="1707">
      <c r="I1707" s="8"/>
    </row>
    <row r="1708">
      <c r="I1708" s="8"/>
    </row>
    <row r="1709">
      <c r="I1709" s="8"/>
    </row>
    <row r="1710">
      <c r="I1710" s="8"/>
    </row>
    <row r="1711">
      <c r="I1711" s="8"/>
    </row>
    <row r="1712">
      <c r="I1712" s="8"/>
    </row>
    <row r="1713">
      <c r="I1713" s="8"/>
    </row>
    <row r="1714">
      <c r="I1714" s="8"/>
    </row>
    <row r="1715">
      <c r="I1715" s="8"/>
    </row>
    <row r="1716">
      <c r="I1716" s="8"/>
    </row>
    <row r="1717">
      <c r="I1717" s="8"/>
    </row>
    <row r="1718">
      <c r="I1718" s="8"/>
    </row>
    <row r="1719">
      <c r="I1719" s="8"/>
    </row>
    <row r="1720">
      <c r="I1720" s="8"/>
    </row>
    <row r="1721">
      <c r="I1721" s="8"/>
    </row>
    <row r="1722">
      <c r="I1722" s="8"/>
    </row>
    <row r="1723">
      <c r="I1723" s="8"/>
    </row>
    <row r="1724">
      <c r="I1724" s="8"/>
    </row>
    <row r="1725">
      <c r="I1725" s="8"/>
    </row>
    <row r="1726">
      <c r="I1726" s="8"/>
    </row>
    <row r="1727">
      <c r="I1727" s="8"/>
    </row>
    <row r="1728">
      <c r="I1728" s="8"/>
    </row>
    <row r="1729">
      <c r="I1729" s="8"/>
    </row>
    <row r="1730">
      <c r="I1730" s="8"/>
    </row>
    <row r="1731">
      <c r="I1731" s="8"/>
    </row>
    <row r="1732">
      <c r="I1732" s="8"/>
    </row>
    <row r="1733">
      <c r="I1733" s="8"/>
    </row>
    <row r="1734">
      <c r="I1734" s="8"/>
    </row>
    <row r="1735">
      <c r="I1735" s="8"/>
    </row>
    <row r="1736">
      <c r="I1736" s="8"/>
    </row>
    <row r="1737">
      <c r="I1737" s="8"/>
    </row>
    <row r="1738">
      <c r="I1738" s="8"/>
    </row>
    <row r="1739">
      <c r="I1739" s="8"/>
    </row>
    <row r="1740">
      <c r="I1740" s="8"/>
    </row>
    <row r="1741">
      <c r="I1741" s="8"/>
    </row>
    <row r="1742">
      <c r="I1742" s="8"/>
    </row>
    <row r="1743">
      <c r="I1743" s="8"/>
    </row>
    <row r="1744">
      <c r="I1744" s="8"/>
    </row>
    <row r="1745">
      <c r="I1745" s="8"/>
    </row>
    <row r="1746">
      <c r="I1746" s="8"/>
    </row>
    <row r="1747">
      <c r="I1747" s="8"/>
    </row>
    <row r="1748">
      <c r="I1748" s="8"/>
    </row>
    <row r="1749">
      <c r="I1749" s="8"/>
    </row>
    <row r="1750">
      <c r="I1750" s="8"/>
    </row>
    <row r="1751">
      <c r="I1751" s="8"/>
    </row>
    <row r="1752">
      <c r="I1752" s="8"/>
    </row>
    <row r="1753">
      <c r="I1753" s="8"/>
    </row>
    <row r="1754">
      <c r="I1754" s="8"/>
    </row>
    <row r="1755">
      <c r="I1755" s="8"/>
    </row>
    <row r="1756">
      <c r="I1756" s="8"/>
    </row>
    <row r="1757">
      <c r="I1757" s="8"/>
    </row>
    <row r="1758">
      <c r="I1758" s="8"/>
    </row>
    <row r="1759">
      <c r="I1759" s="8"/>
    </row>
    <row r="1760">
      <c r="I1760" s="8"/>
    </row>
    <row r="1761">
      <c r="I1761" s="8"/>
    </row>
    <row r="1762">
      <c r="I1762" s="8"/>
    </row>
    <row r="1763">
      <c r="I1763" s="8"/>
    </row>
    <row r="1764">
      <c r="I1764" s="8"/>
    </row>
    <row r="1765">
      <c r="I1765" s="8"/>
    </row>
    <row r="1766">
      <c r="I1766" s="8"/>
    </row>
    <row r="1767">
      <c r="I1767" s="8"/>
    </row>
    <row r="1768">
      <c r="I1768" s="8"/>
    </row>
    <row r="1769">
      <c r="I1769" s="8"/>
    </row>
    <row r="1770">
      <c r="I1770" s="8"/>
    </row>
    <row r="1771">
      <c r="I1771" s="8"/>
    </row>
    <row r="1772">
      <c r="I1772" s="8"/>
    </row>
    <row r="1773">
      <c r="I1773" s="8"/>
    </row>
    <row r="1774">
      <c r="I1774" s="8"/>
    </row>
    <row r="1775">
      <c r="I1775" s="8"/>
    </row>
    <row r="1776">
      <c r="I1776" s="8"/>
    </row>
    <row r="1777">
      <c r="I1777" s="8"/>
    </row>
    <row r="1778">
      <c r="I1778" s="8"/>
    </row>
    <row r="1779">
      <c r="I1779" s="8"/>
    </row>
    <row r="1780">
      <c r="I1780" s="8"/>
    </row>
    <row r="1781">
      <c r="I1781" s="8"/>
    </row>
    <row r="1782">
      <c r="I1782" s="8"/>
    </row>
    <row r="1783">
      <c r="I1783" s="8"/>
    </row>
    <row r="1784">
      <c r="I1784" s="8"/>
    </row>
    <row r="1785">
      <c r="I1785" s="8"/>
    </row>
    <row r="1786">
      <c r="I1786" s="8"/>
    </row>
    <row r="1787">
      <c r="I1787" s="8"/>
    </row>
    <row r="1788">
      <c r="I1788" s="8"/>
    </row>
    <row r="1789">
      <c r="I1789" s="8"/>
    </row>
    <row r="1790">
      <c r="I1790" s="8"/>
    </row>
    <row r="1791">
      <c r="I1791" s="8"/>
    </row>
    <row r="1792">
      <c r="I1792" s="8"/>
    </row>
    <row r="1793">
      <c r="I1793" s="8"/>
    </row>
    <row r="1794">
      <c r="I1794" s="8"/>
    </row>
    <row r="1795">
      <c r="I1795" s="8"/>
    </row>
    <row r="1796">
      <c r="I1796" s="8"/>
    </row>
    <row r="1797">
      <c r="I1797" s="8"/>
    </row>
    <row r="1798">
      <c r="I1798" s="8"/>
    </row>
    <row r="1799">
      <c r="I1799" s="8"/>
    </row>
    <row r="1800">
      <c r="I1800" s="8"/>
    </row>
    <row r="1801">
      <c r="I1801" s="8"/>
    </row>
    <row r="1802">
      <c r="I1802" s="8"/>
    </row>
    <row r="1803">
      <c r="I1803" s="8"/>
    </row>
    <row r="1804">
      <c r="I1804" s="8"/>
    </row>
    <row r="1805">
      <c r="I1805" s="8"/>
    </row>
    <row r="1806">
      <c r="I1806" s="8"/>
    </row>
    <row r="1807">
      <c r="I1807" s="8"/>
    </row>
    <row r="1808">
      <c r="I1808" s="8"/>
    </row>
    <row r="1809">
      <c r="I1809" s="8"/>
    </row>
    <row r="1810">
      <c r="I1810" s="8"/>
    </row>
    <row r="1811">
      <c r="I1811" s="8"/>
    </row>
    <row r="1812">
      <c r="I1812" s="8"/>
    </row>
    <row r="1813">
      <c r="I1813" s="8"/>
    </row>
    <row r="1814">
      <c r="I1814" s="8"/>
    </row>
    <row r="1815">
      <c r="I1815" s="8"/>
    </row>
    <row r="1816">
      <c r="I1816" s="8"/>
    </row>
    <row r="1817">
      <c r="I1817" s="8"/>
    </row>
    <row r="1818">
      <c r="I1818" s="8"/>
    </row>
    <row r="1819">
      <c r="I1819" s="8"/>
    </row>
    <row r="1820">
      <c r="I1820" s="8"/>
    </row>
    <row r="1821">
      <c r="I1821" s="8"/>
    </row>
    <row r="1822">
      <c r="I1822" s="8"/>
    </row>
    <row r="1823">
      <c r="I1823" s="8"/>
    </row>
    <row r="1824">
      <c r="I1824" s="8"/>
    </row>
    <row r="1825">
      <c r="I1825" s="8"/>
    </row>
    <row r="1826">
      <c r="I1826" s="8"/>
    </row>
    <row r="1827">
      <c r="I1827" s="8"/>
    </row>
    <row r="1828">
      <c r="I1828" s="8"/>
    </row>
    <row r="1829">
      <c r="I1829" s="8"/>
    </row>
    <row r="1830">
      <c r="I1830" s="8"/>
    </row>
    <row r="1831">
      <c r="I1831" s="8"/>
    </row>
    <row r="1832">
      <c r="I1832" s="8"/>
    </row>
    <row r="1833">
      <c r="I1833" s="8"/>
    </row>
    <row r="1834">
      <c r="I1834" s="8"/>
    </row>
    <row r="1835">
      <c r="I1835" s="8"/>
    </row>
    <row r="1836">
      <c r="I1836" s="8"/>
    </row>
    <row r="1837">
      <c r="I1837" s="8"/>
    </row>
    <row r="1838">
      <c r="I1838" s="8"/>
    </row>
    <row r="1839">
      <c r="I1839" s="8"/>
    </row>
    <row r="1840">
      <c r="I1840" s="8"/>
    </row>
    <row r="1841">
      <c r="I1841" s="8"/>
    </row>
    <row r="1842">
      <c r="I1842" s="8"/>
    </row>
    <row r="1843">
      <c r="I1843" s="8"/>
    </row>
    <row r="1844">
      <c r="I1844" s="8"/>
    </row>
    <row r="1845">
      <c r="I1845" s="8"/>
    </row>
    <row r="1846">
      <c r="I1846" s="8"/>
    </row>
    <row r="1847">
      <c r="I1847" s="8"/>
    </row>
    <row r="1848">
      <c r="I1848" s="8"/>
    </row>
    <row r="1849">
      <c r="I1849" s="8"/>
    </row>
    <row r="1850">
      <c r="I1850" s="8"/>
    </row>
    <row r="1851">
      <c r="I1851" s="8"/>
    </row>
    <row r="1852">
      <c r="I1852" s="8"/>
    </row>
    <row r="1853">
      <c r="I1853" s="8"/>
    </row>
    <row r="1854">
      <c r="I1854" s="8"/>
    </row>
    <row r="1855">
      <c r="I1855" s="8"/>
    </row>
    <row r="1856">
      <c r="I1856" s="8"/>
    </row>
    <row r="1857">
      <c r="I1857" s="8"/>
    </row>
    <row r="1858">
      <c r="I1858" s="8"/>
    </row>
    <row r="1859">
      <c r="I1859" s="8"/>
    </row>
    <row r="1860">
      <c r="I1860" s="8"/>
    </row>
    <row r="1861">
      <c r="I1861" s="8"/>
    </row>
    <row r="1862">
      <c r="I1862" s="8"/>
    </row>
    <row r="1863">
      <c r="I1863" s="8"/>
    </row>
    <row r="1864">
      <c r="I1864" s="8"/>
    </row>
    <row r="1865">
      <c r="I1865" s="8"/>
    </row>
    <row r="1866">
      <c r="I1866" s="8"/>
    </row>
    <row r="1867">
      <c r="I1867" s="8"/>
    </row>
    <row r="1868">
      <c r="I1868" s="8"/>
    </row>
    <row r="1869">
      <c r="I1869" s="8"/>
    </row>
    <row r="1870">
      <c r="I1870" s="8"/>
    </row>
    <row r="1871">
      <c r="I1871" s="8"/>
    </row>
    <row r="1872">
      <c r="I1872" s="8"/>
    </row>
    <row r="1873">
      <c r="I1873" s="8"/>
    </row>
    <row r="1874">
      <c r="I1874" s="8"/>
    </row>
    <row r="1875">
      <c r="I1875" s="8"/>
    </row>
    <row r="1876">
      <c r="I1876" s="8"/>
    </row>
    <row r="1877">
      <c r="I1877" s="8"/>
    </row>
    <row r="1878">
      <c r="I1878" s="8"/>
    </row>
    <row r="1879">
      <c r="I1879" s="8"/>
    </row>
    <row r="1880">
      <c r="I1880" s="8"/>
    </row>
    <row r="1881">
      <c r="I1881" s="8"/>
    </row>
    <row r="1882">
      <c r="I1882" s="8"/>
    </row>
    <row r="1883">
      <c r="I1883" s="8"/>
    </row>
    <row r="1884">
      <c r="I1884" s="8"/>
    </row>
    <row r="1885">
      <c r="I1885" s="8"/>
    </row>
    <row r="1886">
      <c r="I1886" s="8"/>
    </row>
    <row r="1887">
      <c r="I1887" s="8"/>
    </row>
    <row r="1888">
      <c r="I1888" s="8"/>
    </row>
    <row r="1889">
      <c r="I1889" s="8"/>
    </row>
    <row r="1890">
      <c r="I1890" s="8"/>
    </row>
    <row r="1891">
      <c r="I1891" s="8"/>
    </row>
    <row r="1892">
      <c r="I1892" s="8"/>
    </row>
    <row r="1893">
      <c r="I1893" s="8"/>
    </row>
    <row r="1894">
      <c r="I1894" s="8"/>
    </row>
    <row r="1895">
      <c r="I1895" s="8"/>
    </row>
    <row r="1896">
      <c r="I1896" s="8"/>
    </row>
    <row r="1897">
      <c r="I1897" s="8"/>
    </row>
    <row r="1898">
      <c r="I1898" s="8"/>
    </row>
    <row r="1899">
      <c r="I1899" s="8"/>
    </row>
    <row r="1900">
      <c r="I1900" s="8"/>
    </row>
    <row r="1901">
      <c r="I1901" s="8"/>
    </row>
    <row r="1902">
      <c r="I1902" s="8"/>
    </row>
    <row r="1903">
      <c r="I1903" s="8"/>
    </row>
    <row r="1904">
      <c r="I1904" s="8"/>
    </row>
    <row r="1905">
      <c r="I1905" s="8"/>
    </row>
    <row r="1906">
      <c r="I1906" s="8"/>
    </row>
    <row r="1907">
      <c r="I1907" s="8"/>
    </row>
    <row r="1908">
      <c r="I1908" s="8"/>
    </row>
    <row r="1909">
      <c r="I1909" s="8"/>
    </row>
    <row r="1910">
      <c r="I1910" s="8"/>
    </row>
    <row r="1911">
      <c r="I1911" s="8"/>
    </row>
    <row r="1912">
      <c r="I1912" s="8"/>
    </row>
    <row r="1913">
      <c r="I1913" s="8"/>
    </row>
    <row r="1914">
      <c r="I1914" s="8"/>
    </row>
    <row r="1915">
      <c r="I1915" s="8"/>
    </row>
    <row r="1916">
      <c r="I1916" s="8"/>
    </row>
    <row r="1917">
      <c r="I1917" s="8"/>
    </row>
    <row r="1918">
      <c r="I1918" s="8"/>
    </row>
    <row r="1919">
      <c r="I1919" s="8"/>
    </row>
    <row r="1920">
      <c r="I1920" s="8"/>
    </row>
    <row r="1921">
      <c r="I1921" s="8"/>
    </row>
    <row r="1922">
      <c r="I1922" s="8"/>
    </row>
    <row r="1923">
      <c r="I1923" s="8"/>
    </row>
    <row r="1924">
      <c r="I1924" s="8"/>
    </row>
    <row r="1925">
      <c r="I1925" s="8"/>
    </row>
    <row r="1926">
      <c r="I1926" s="8"/>
    </row>
    <row r="1927">
      <c r="I1927" s="8"/>
    </row>
    <row r="1928">
      <c r="I1928" s="8"/>
    </row>
    <row r="1929">
      <c r="I1929" s="8"/>
    </row>
    <row r="1930">
      <c r="I1930" s="8"/>
    </row>
    <row r="1931">
      <c r="I1931" s="8"/>
    </row>
    <row r="1932">
      <c r="I1932" s="8"/>
    </row>
    <row r="1933">
      <c r="I1933" s="8"/>
    </row>
    <row r="1934">
      <c r="I1934" s="8"/>
    </row>
    <row r="1935">
      <c r="I1935" s="8"/>
    </row>
    <row r="1936">
      <c r="I1936" s="8"/>
    </row>
    <row r="1937">
      <c r="I1937" s="8"/>
    </row>
    <row r="1938">
      <c r="I1938" s="8"/>
    </row>
    <row r="1939">
      <c r="I1939" s="8"/>
    </row>
    <row r="1940">
      <c r="I1940" s="8"/>
    </row>
    <row r="1941">
      <c r="I1941" s="8"/>
    </row>
    <row r="1942">
      <c r="I1942" s="8"/>
    </row>
    <row r="1943">
      <c r="I1943" s="8"/>
    </row>
    <row r="1944">
      <c r="I1944" s="8"/>
    </row>
    <row r="1945">
      <c r="I1945" s="8"/>
    </row>
    <row r="1946">
      <c r="I1946" s="8"/>
    </row>
    <row r="1947">
      <c r="I1947" s="8"/>
    </row>
    <row r="1948">
      <c r="I1948" s="8"/>
    </row>
    <row r="1949">
      <c r="I1949" s="8"/>
    </row>
    <row r="1950">
      <c r="I1950" s="8"/>
    </row>
    <row r="1951">
      <c r="I1951" s="8"/>
    </row>
    <row r="1952">
      <c r="I1952" s="8"/>
    </row>
    <row r="1953">
      <c r="I1953" s="8"/>
    </row>
    <row r="1954">
      <c r="I1954" s="8"/>
    </row>
    <row r="1955">
      <c r="I1955" s="8"/>
    </row>
    <row r="1956">
      <c r="I1956" s="8"/>
    </row>
    <row r="1957">
      <c r="I1957" s="8"/>
    </row>
    <row r="1958">
      <c r="I1958" s="8"/>
    </row>
    <row r="1959">
      <c r="I1959" s="8"/>
    </row>
    <row r="1960">
      <c r="I1960" s="8"/>
    </row>
    <row r="1961">
      <c r="I1961" s="8"/>
    </row>
    <row r="1962">
      <c r="I1962" s="8"/>
    </row>
    <row r="1963">
      <c r="I1963" s="8"/>
    </row>
    <row r="1964">
      <c r="I1964" s="8"/>
    </row>
    <row r="1965">
      <c r="I1965" s="8"/>
    </row>
    <row r="1966">
      <c r="I1966" s="8"/>
    </row>
    <row r="1967">
      <c r="I1967" s="8"/>
    </row>
    <row r="1968">
      <c r="I1968" s="8"/>
    </row>
    <row r="1969">
      <c r="I1969" s="8"/>
    </row>
    <row r="1970">
      <c r="I1970" s="8"/>
    </row>
    <row r="1971">
      <c r="I1971" s="8"/>
    </row>
    <row r="1972">
      <c r="I1972" s="8"/>
    </row>
    <row r="1973">
      <c r="I1973" s="8"/>
    </row>
    <row r="1974">
      <c r="I1974" s="8"/>
    </row>
    <row r="1975">
      <c r="I1975" s="8"/>
    </row>
    <row r="1976">
      <c r="I1976" s="8"/>
    </row>
    <row r="1977">
      <c r="I1977" s="8"/>
    </row>
  </sheetData>
  <drawing r:id="rId1"/>
</worksheet>
</file>